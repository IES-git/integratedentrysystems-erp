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619b5a079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1a218b117624a74"/>
    <x:sheet xmlns:r="http://schemas.openxmlformats.org/officeDocument/2006/relationships" name="Specs" sheetId="2" r:id="R7e07158431684774"/>
    <x:sheet xmlns:r="http://schemas.openxmlformats.org/officeDocument/2006/relationships" name="Vendor Options" sheetId="3" r:id="Rfa29a66623dc47c9"/>
    <x:sheet xmlns:r="http://schemas.openxmlformats.org/officeDocument/2006/relationships" name="Import Flat" sheetId="4" r:id="Rd003c9b6643d4d88"/>
    <x:sheet xmlns:r="http://schemas.openxmlformats.org/officeDocument/2006/relationships" name="Review Queue" sheetId="5" r:id="R7b197de930384e42"/>
    <x:sheet xmlns:r="http://schemas.openxmlformats.org/officeDocument/2006/relationships" name="Source Crosswalk" sheetId="6" r:id="Re7d80ffa5b5e492c"/>
    <x:sheet xmlns:r="http://schemas.openxmlformats.org/officeDocument/2006/relationships" name="Data Dictionary" sheetId="7" r:id="R7f066dc123fd45d4"/>
    <x:sheet xmlns:r="http://schemas.openxmlformats.org/officeDocument/2006/relationships" name="Aliases" sheetId="8" r:id="R6e80cf45f4ac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.00"/>
    <x:numFmt numFmtId="202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8"/>
      <x:color rgb="FF17365D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0F6B78"/>
      </x:patternFill>
    </x:fill>
    <x:fill>
      <x:patternFill patternType="solid">
        <x:fgColor rgb="FFF3F6F9"/>
      </x:patternFill>
    </x:fill>
  </x:fills>
  <x:borders count="10">
    <x:border/>
    <x:border>
      <x:left style="thin">
        <x:color rgb="FFA9BCD0"/>
      </x:left>
      <x:top style="thin">
        <x:color rgb="FFA9BCD0"/>
      </x:top>
    </x:border>
    <x:border>
      <x:top style="thin">
        <x:color rgb="FFA9BCD0"/>
      </x:top>
    </x:border>
    <x:border>
      <x:right style="thin">
        <x:color rgb="FFA9BCD0"/>
      </x:right>
      <x:top style="thin">
        <x:color rgb="FFA9BCD0"/>
      </x:top>
    </x:border>
    <x:border>
      <x:left style="thin">
        <x:color rgb="FFA9BCD0"/>
      </x:left>
      <x:bottom style="thin">
        <x:color rgb="FFA9BCD0"/>
      </x:bottom>
    </x:border>
    <x:border>
      <x:bottom style="thin">
        <x:color rgb="FFA9BCD0"/>
      </x:bottom>
    </x:border>
    <x:border>
      <x:right style="thin">
        <x:color rgb="FFA9BCD0"/>
      </x:right>
      <x:bottom style="thin">
        <x:color rgb="FFA9BCD0"/>
      </x:bottom>
    </x:border>
    <x:border>
      <x:bottom style="medium">
        <x:color rgb="FF9FBAD0"/>
      </x:bottom>
    </x:border>
    <x:border>
      <x:left style="thin">
        <x:color rgb="FFA9BCD0"/>
      </x:left>
      <x:right style="thin">
        <x:color rgb="FFA9BCD0"/>
      </x:right>
      <x:top style="thin">
        <x:color rgb="FFA9BCD0"/>
      </x:top>
      <x:bottom style="thin">
        <x:color rgb="FFA9BCD0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0" fontId="5" fillId="3" borderId="8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horizont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9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CE6F1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79237f9fb3454c" /><Relationship Type="http://schemas.openxmlformats.org/officeDocument/2006/relationships/theme" Target="/xl/theme/theme1.xml" Id="R4649977eadf4488e" /><Relationship Type="http://schemas.openxmlformats.org/officeDocument/2006/relationships/sharedStrings" Target="/xl/sharedStrings.xml" Id="Rc99dfe02c2214b88" /><Relationship Type="http://schemas.openxmlformats.org/officeDocument/2006/relationships/worksheet" Target="/xl/worksheets/sheet1.xml" Id="R31a218b117624a74" /><Relationship Type="http://schemas.openxmlformats.org/officeDocument/2006/relationships/worksheet" Target="/xl/worksheets/sheet2.xml" Id="R7e07158431684774" /><Relationship Type="http://schemas.openxmlformats.org/officeDocument/2006/relationships/worksheet" Target="/xl/worksheets/sheet3.xml" Id="Rfa29a66623dc47c9" /><Relationship Type="http://schemas.openxmlformats.org/officeDocument/2006/relationships/worksheet" Target="/xl/worksheets/sheet4.xml" Id="Rd003c9b6643d4d88" /><Relationship Type="http://schemas.openxmlformats.org/officeDocument/2006/relationships/worksheet" Target="/xl/worksheets/sheet5.xml" Id="R7b197de930384e42" /><Relationship Type="http://schemas.openxmlformats.org/officeDocument/2006/relationships/worksheet" Target="/xl/worksheets/sheet6.xml" Id="Re7d80ffa5b5e492c" /><Relationship Type="http://schemas.openxmlformats.org/officeDocument/2006/relationships/worksheet" Target="/xl/worksheets/sheet7.xml" Id="R7f066dc123fd45d4" /><Relationship Type="http://schemas.openxmlformats.org/officeDocument/2006/relationships/worksheet" Target="/xl/worksheets/sheet8.xml" Id="R6e80cf45f4ac4791" /></Relationships>
</file>

<file path=xl/tables/table1.xml><?xml version="1.0" encoding="utf-8"?>
<x:table xmlns:x="http://schemas.openxmlformats.org/spreadsheetml/2006/main" id="1" name="HardwareSpecs" displayName="HardwareSpecs" ref="A1:W164" headerRowCount="1" totalsRowCount="0" totalsRowShown="0">
  <x:autoFilter ref="A1:W164"/>
  <x:tableColumns count="23">
    <x:tableColumn id="1" name="Spec_ID"/>
    <x:tableColumn id="2" name="Product_Category"/>
    <x:tableColumn id="3" name="Product_Subtype"/>
    <x:tableColumn id="4" name="Application"/>
    <x:tableColumn id="5" name="Function"/>
    <x:tableColumn id="6" name="Keying"/>
    <x:tableColumn id="7" name="Size"/>
    <x:tableColumn id="8" name="Rating"/>
    <x:tableColumn id="9" name="Duty_Grade"/>
    <x:tableColumn id="10" name="Mounting_Arm"/>
    <x:tableColumn id="11" name="Thickness_Weight"/>
    <x:tableColumn id="12" name="Material"/>
    <x:tableColumn id="13" name="Finish"/>
    <x:tableColumn id="14" name="Electrical"/>
    <x:tableColumn id="15" name="Other_Requirements"/>
    <x:tableColumn id="16" name="Match_Confidence"/>
    <x:tableColumn id="17" name="Vendor_Option_Count"/>
    <x:tableColumn id="18" name="Manufacturer_Count"/>
    <x:tableColumn id="19" name="Priced_Option_Count"/>
    <x:tableColumn id="20" name="Active_Option_Count"/>
    <x:tableColumn id="21" name="Min_Net_Price"/>
    <x:tableColumn id="22" name="Max_Net_Price"/>
    <x:tableColumn id="23" name="Spec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rdwareVendorOptions" displayName="HardwareVendorOptions" ref="A1:S284" headerRowCount="1" totalsRowCount="0" totalsRowShown="0">
  <x:autoFilter ref="A1:S284"/>
  <x:tableColumns count="19">
    <x:tableColumn id="1" name="Offer_ID"/>
    <x:tableColumn id="2" name="Spec_ID"/>
    <x:tableColumn id="3" name="Manufacturer_Vendor"/>
    <x:tableColumn id="4" name="Vendor_Series"/>
    <x:tableColumn id="5" name="Vendor_Model"/>
    <x:tableColumn id="6" name="Vendor_Function_Code"/>
    <x:tableColumn id="7" name="Manufacturer_Part_Number"/>
    <x:tableColumn id="8" name="Product_Description_Raw"/>
    <x:tableColumn id="9" name="Customer_Part_Number"/>
    <x:tableColumn id="10" name="List_Price"/>
    <x:tableColumn id="11" name="Discount_Raw"/>
    <x:tableColumn id="12" name="Discount_1"/>
    <x:tableColumn id="13" name="Discount_2"/>
    <x:tableColumn id="14" name="Net_Price"/>
    <x:tableColumn id="15" name="Currency"/>
    <x:tableColumn id="16" name="Price_Status"/>
    <x:tableColumn id="17" name="Data_Status"/>
    <x:tableColumn id="18" name="QA_Flags"/>
    <x:tableColumn id="19" name="Source_Ro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rdwareImportFlat" displayName="HardwareImportFlat" ref="A1:AJ284" headerRowCount="1" totalsRowCount="0" totalsRowShown="0">
  <x:autoFilter ref="A1:AJ284"/>
  <x:tableColumns count="36">
    <x:tableColumn id="1" name="Spec_ID"/>
    <x:tableColumn id="2" name="Product_Category"/>
    <x:tableColumn id="3" name="Product_Subtype"/>
    <x:tableColumn id="4" name="Application"/>
    <x:tableColumn id="5" name="Function"/>
    <x:tableColumn id="6" name="Keying"/>
    <x:tableColumn id="7" name="Size"/>
    <x:tableColumn id="8" name="Rating"/>
    <x:tableColumn id="9" name="Duty_Grade"/>
    <x:tableColumn id="10" name="Mounting_Arm"/>
    <x:tableColumn id="11" name="Thickness_Weight"/>
    <x:tableColumn id="12" name="Material"/>
    <x:tableColumn id="13" name="Finish"/>
    <x:tableColumn id="14" name="Electrical"/>
    <x:tableColumn id="15" name="Other_Requirements"/>
    <x:tableColumn id="16" name="Match_Confidence"/>
    <x:tableColumn id="17" name="Vendor_Option_Count"/>
    <x:tableColumn id="18" name="Manufacturer_Count"/>
    <x:tableColumn id="19" name="Offer_ID"/>
    <x:tableColumn id="20" name="Manufacturer_Vendor"/>
    <x:tableColumn id="21" name="Vendor_Series"/>
    <x:tableColumn id="22" name="Vendor_Model"/>
    <x:tableColumn id="23" name="Vendor_Function_Code"/>
    <x:tableColumn id="24" name="Manufacturer_Part_Number"/>
    <x:tableColumn id="25" name="Product_Description_Raw"/>
    <x:tableColumn id="26" name="Customer_Part_Number"/>
    <x:tableColumn id="27" name="List_Price"/>
    <x:tableColumn id="28" name="Discount_Raw"/>
    <x:tableColumn id="29" name="Discount_1"/>
    <x:tableColumn id="30" name="Discount_2"/>
    <x:tableColumn id="31" name="Net_Price"/>
    <x:tableColumn id="32" name="Currency"/>
    <x:tableColumn id="33" name="Price_Status"/>
    <x:tableColumn id="34" name="Data_Status"/>
    <x:tableColumn id="35" name="QA_Flags"/>
    <x:tableColumn id="36" name="Source_Ro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rdwareReviewQueue" displayName="HardwareReviewQueue" ref="A1:G265" headerRowCount="1" totalsRowCount="0" totalsRowShown="0">
  <x:autoFilter ref="A1:G265"/>
  <x:tableColumns count="7">
    <x:tableColumn id="1" name="Severity"/>
    <x:tableColumn id="2" name="Issue_Type"/>
    <x:tableColumn id="3" name="Offer_ID"/>
    <x:tableColumn id="4" name="Spec_ID"/>
    <x:tableColumn id="5" name="Source_Row"/>
    <x:tableColumn id="6" name="Record_Summary"/>
    <x:tableColumn id="7" name="Recommended_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rdwareSourceCrosswalk" displayName="HardwareSourceCrosswalk" ref="A1:P301" headerRowCount="1" totalsRowCount="0" totalsRowShown="0">
  <x:autoFilter ref="A1:P301"/>
  <x:tableColumns count="16">
    <x:tableColumn id="1" name="Source_Row"/>
    <x:tableColumn id="2" name="Included_In_Import"/>
    <x:tableColumn id="3" name="Duplicate_Of_Source_Row"/>
    <x:tableColumn id="4" name="Offer_ID"/>
    <x:tableColumn id="5" name="Spec_ID"/>
    <x:tableColumn id="6" name="GROUP"/>
    <x:tableColumn id="7" name="FAMILY_FUNCTION"/>
    <x:tableColumn id="8" name="VENDOR"/>
    <x:tableColumn id="9" name="SIZE_MODEL"/>
    <x:tableColumn id="10" name="FUNCTION"/>
    <x:tableColumn id="11" name="THICKNESS_WT"/>
    <x:tableColumn id="12" name="MATERIAL_FINISH"/>
    <x:tableColumn id="13" name="PART_NUMBER_RAW"/>
    <x:tableColumn id="14" name="CUSTOMER_PART_NUMBER"/>
    <x:tableColumn id="15" name="VENDOR_LIST_PRICE"/>
    <x:tableColumn id="16" name="DISCOUNT_RA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rdwareDataDictionary" displayName="HardwareDataDictionary" ref="A1:F28" headerRowCount="1" totalsRowCount="0" totalsRowShown="0">
  <x:autoFilter ref="A1:F28"/>
  <x:tableColumns count="6">
    <x:tableColumn id="1" name="Sheet"/>
    <x:tableColumn id="2" name="Field"/>
    <x:tableColumn id="3" name="Data_Type"/>
    <x:tableColumn id="4" name="Required"/>
    <x:tableColumn id="5" name="Definition"/>
    <x:tableColumn id="6" name="Recommended_Database_Fiel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ardwareAliases" displayName="HardwareAliases" ref="A1:D16" headerRowCount="1" totalsRowCount="0" totalsRowShown="0">
  <x:autoFilter ref="A1:D16"/>
  <x:tableColumns count="4">
    <x:tableColumn id="1" name="Field"/>
    <x:tableColumn id="2" name="Source_Value"/>
    <x:tableColumn id="3" name="Canonical_Value"/>
    <x:tableColumn id="4" name="Rul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d73a6111194f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bc307e069542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2cda5642c04f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224dfe3a1447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b277132e1742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c61f56e1f145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5b1a4bd61749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1.600000381469727" hidden="0" customHeight="1">
      <x:c r="A1" s="3" t="str">
        <x:v>Hardware Pricing — Optimized Spec-First Model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The estimate builder selects the required specification first, then returns every matching manufacturer/vendor option for final price selection.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UNIQUE VENDOR OPTIONS</x:v>
      </x:c>
      <x:c r="B4" s="10" t="str"/>
      <x:c r="C4" s="10" t="str">
        <x:v>DISTINCT SPECS</x:v>
      </x:c>
      <x:c r="D4" s="10" t="str"/>
      <x:c r="E4" s="10" t="str">
        <x:v>PRICED OPTIONS</x:v>
      </x:c>
      <x:c r="F4" s="10" t="str"/>
      <x:c r="G4" s="10" t="str">
        <x:v>UNPRICED OPTIONS</x:v>
      </x:c>
      <x:c r="H4" s="10" t="str"/>
    </x:row>
    <x:row r="5">
      <x:c r="A5" s="25" t="n">
        <x:f>COUNTA('Vendor Options'!$A$2:$A$284)</x:f>
        <x:v>283</x:v>
      </x:c>
      <x:c r="B5" s="26"/>
      <x:c r="C5" s="26" t="n">
        <x:f>COUNTA('Specs'!$A$2:$A$164)</x:f>
        <x:v>163</x:v>
      </x:c>
      <x:c r="D5" s="26"/>
      <x:c r="E5" s="26" t="n">
        <x:f>COUNTIF('Vendor Options'!$P$2:$P$284,"PRICED")</x:f>
        <x:v>167</x:v>
      </x:c>
      <x:c r="F5" s="26"/>
      <x:c r="G5" s="26" t="n">
        <x:f>COUNTIF('Vendor Options'!$P$2:$P$284,"UNPRICED")</x:f>
        <x:v>116</x:v>
      </x:c>
      <x:c r="H5" s="27"/>
    </x:row>
    <x:row r="6">
      <x:c r="A6" s="28"/>
      <x:c r="B6" s="29"/>
      <x:c r="C6" s="29"/>
      <x:c r="D6" s="29"/>
      <x:c r="E6" s="29"/>
      <x:c r="F6" s="29"/>
      <x:c r="G6" s="29"/>
      <x:c r="H6" s="30"/>
    </x:row>
    <x:row r="8">
      <x:c r="A8" s="10" t="str">
        <x:v>DUPLICATE ROWS REMOVED</x:v>
      </x:c>
      <x:c r="B8" s="10" t="str"/>
      <x:c r="C8" s="10" t="str">
        <x:v>MULTI-VENDOR SPECS</x:v>
      </x:c>
      <x:c r="D8" s="10" t="str"/>
      <x:c r="E8" s="10" t="str">
        <x:v>OPTIONS REQUIRING REVIEW</x:v>
      </x:c>
      <x:c r="F8" s="10" t="str"/>
      <x:c r="G8" s="10" t="str">
        <x:v>QA ISSUE RECORDS</x:v>
      </x:c>
      <x:c r="H8" s="10" t="str"/>
    </x:row>
    <x:row r="9">
      <x:c r="A9" s="25" t="n">
        <x:v>17</x:v>
      </x:c>
      <x:c r="B9" s="26"/>
      <x:c r="C9" s="26" t="n">
        <x:f>COUNTIF('Specs'!$R$2:$R$164,"&gt;1")</x:f>
        <x:v>45</x:v>
      </x:c>
      <x:c r="D9" s="26"/>
      <x:c r="E9" s="26" t="n">
        <x:f>COUNTIF('Vendor Options'!$Q$2:$Q$284,"REVIEW")</x:f>
        <x:v>123</x:v>
      </x:c>
      <x:c r="F9" s="26"/>
      <x:c r="G9" s="26" t="n">
        <x:f>COUNTA('Review Queue'!$A$2:$A$265)</x:f>
        <x:v>264</x:v>
      </x:c>
      <x:c r="H9" s="27"/>
    </x:row>
    <x:row r="10">
      <x:c r="A10" s="28"/>
      <x:c r="B10" s="29"/>
      <x:c r="C10" s="29"/>
      <x:c r="D10" s="29"/>
      <x:c r="E10" s="29"/>
      <x:c r="F10" s="29"/>
      <x:c r="G10" s="29"/>
      <x:c r="H10" s="30"/>
    </x:row>
    <x:row r="12">
      <x:c r="A12" s="34" t="str">
        <x:v>Estimate Builder Selection Flow</x:v>
      </x:c>
      <x:c r="B12" s="34"/>
      <x:c r="C12" s="34"/>
      <x:c r="D12" s="34"/>
      <x:c r="E12" s="34"/>
      <x:c r="F12" s="34"/>
      <x:c r="G12" s="34"/>
      <x:c r="H12" s="34"/>
    </x:row>
    <x:row r="13">
      <x:c r="A13" s="39" t="str">
        <x:v>1. CATEGORY
Hinge, closer, lock, exit device, trim</x:v>
      </x:c>
      <x:c r="B13" s="39"/>
      <x:c r="C13" s="39" t="str">
        <x:v>2. REQUIRED SPEC
Function, size, rating, finish, keying, duty</x:v>
      </x:c>
      <x:c r="D13" s="39"/>
      <x:c r="E13" s="39" t="str">
        <x:v>3. MATCHING OPTIONS
Query Vendor Options by spec_id</x:v>
      </x:c>
      <x:c r="F13" s="39"/>
      <x:c r="G13" s="39" t="str">
        <x:v>4. FINAL SELECTION
User selects manufacturer/product and price</x:v>
      </x:c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7">
      <x:c r="A17" s="34" t="str">
        <x:v>Analysis Findings</x:v>
      </x:c>
      <x:c r="B17" s="34"/>
      <x:c r="C17" s="34"/>
      <x:c r="D17" s="34"/>
      <x:c r="E17" s="34"/>
      <x:c r="F17" s="34"/>
      <x:c r="G17" s="34"/>
      <x:c r="H17" s="34"/>
    </x:row>
    <x:row r="18">
      <x:c r="A18" s="41" t="str">
        <x:v>Source cleanup</x:v>
      </x:c>
      <x:c r="B18" s="47" t="str">
        <x:v>300 populated product rows were identified; 17 exact duplicate rows were excluded from the active import.</x:v>
      </x:c>
      <x:c r="C18" s="47"/>
      <x:c r="D18" s="47"/>
      <x:c r="E18" s="47"/>
      <x:c r="F18" s="47"/>
      <x:c r="G18" s="47"/>
      <x:c r="H18" s="47"/>
    </x:row>
    <x:row r="19">
      <x:c r="A19" s="41" t="str">
        <x:v>Price completeness</x:v>
      </x:c>
      <x:c r="B19" s="47" t="str">
        <x:v>167 of 283 unique vendor options (59.0%) have a list price. Unpriced rows remain staged and traceable.</x:v>
      </x:c>
      <x:c r="C19" s="47"/>
      <x:c r="D19" s="47"/>
      <x:c r="E19" s="47"/>
      <x:c r="F19" s="47"/>
      <x:c r="G19" s="47"/>
      <x:c r="H19" s="47"/>
    </x:row>
    <x:row r="20">
      <x:c r="A20" s="41" t="str">
        <x:v>Spec-first matching</x:v>
      </x:c>
      <x:c r="B20" s="47" t="str">
        <x:v>45 canonical specs currently return options from more than one vendor. Vendor series/model/part fields are excluded from the spec key.</x:v>
      </x:c>
      <x:c r="C20" s="47"/>
      <x:c r="D20" s="47"/>
      <x:c r="E20" s="47"/>
      <x:c r="F20" s="47"/>
      <x:c r="G20" s="47"/>
      <x:c r="H20" s="47"/>
    </x:row>
    <x:row r="21">
      <x:c r="A21" s="41" t="str">
        <x:v>Discount handling</x:v>
      </x:c>
      <x:c r="B21" s="47" t="str">
        <x:v>Decimal discounts and chained discounts such as 50/70 are split into discount_1 and discount_2; net price is formula-driven.</x:v>
      </x:c>
      <x:c r="C21" s="47"/>
      <x:c r="D21" s="47"/>
      <x:c r="E21" s="47"/>
      <x:c r="F21" s="47"/>
      <x:c r="G21" s="47"/>
      <x:c r="H21" s="47"/>
    </x:row>
    <x:row r="22">
      <x:c r="A22" s="42" t="str">
        <x:v>High-risk source issues</x:v>
      </x:c>
      <x:c r="B22" s="48" t="str">
        <x:v>The review queue flags missing vendors/parts/prices, conflicting reuse of part numbers, a 48-inch/36-inch part-description mismatch, and possible pricing outliers.</x:v>
      </x:c>
      <x:c r="C22" s="48"/>
      <x:c r="D22" s="48"/>
      <x:c r="E22" s="48"/>
      <x:c r="F22" s="48"/>
      <x:c r="G22" s="48"/>
      <x:c r="H22" s="48"/>
    </x:row>
    <x:row r="24">
      <x:c r="A24" s="34" t="str">
        <x:v>Recommended Database Ingestion</x:v>
      </x:c>
      <x:c r="B24" s="34"/>
      <x:c r="C24" s="34"/>
      <x:c r="D24" s="34"/>
      <x:c r="E24" s="34"/>
      <x:c r="F24" s="34"/>
      <x:c r="G24" s="34"/>
      <x:c r="H24" s="34"/>
    </x:row>
    <x:row r="25">
      <x:c r="A25" s="49" t="str">
        <x:v>1</x:v>
      </x:c>
      <x:c r="B25" s="51" t="str">
        <x:v>Load Specs</x:v>
      </x:c>
      <x:c r="C25" s="47" t="str">
        <x:v>Use spec_id as the stable primary key for the user's specification selections.</x:v>
      </x:c>
      <x:c r="D25" s="47" t="str"/>
      <x:c r="E25" s="47" t="str"/>
      <x:c r="F25" s="47" t="str"/>
      <x:c r="G25" s="47" t="str"/>
      <x:c r="H25" s="47" t="str"/>
    </x:row>
    <x:row r="26">
      <x:c r="A26" s="49" t="str">
        <x:v>2</x:v>
      </x:c>
      <x:c r="B26" s="51" t="str">
        <x:v>Load Vendor Options</x:v>
      </x:c>
      <x:c r="C26" s="47" t="str">
        <x:v>Use offer_id as the primary key and spec_id as the foreign key. Publish only data_status = ACTIVE; keep REVIEW rows in staging.</x:v>
      </x:c>
      <x:c r="D26" s="47" t="str"/>
      <x:c r="E26" s="47" t="str"/>
      <x:c r="F26" s="47" t="str"/>
      <x:c r="G26" s="47" t="str"/>
      <x:c r="H26" s="47" t="str"/>
    </x:row>
    <x:row r="27">
      <x:c r="A27" s="49" t="str">
        <x:v>3</x:v>
      </x:c>
      <x:c r="B27" s="51" t="str">
        <x:v>Estimate query</x:v>
      </x:c>
      <x:c r="C27" s="47" t="str">
        <x:v>Filter Specs by selections, then return Vendor Options for the chosen spec_id. Sort final options by net_price, vendor, and series.</x:v>
      </x:c>
      <x:c r="D27" s="47" t="str"/>
      <x:c r="E27" s="47" t="str"/>
      <x:c r="F27" s="47" t="str"/>
      <x:c r="G27" s="47" t="str"/>
      <x:c r="H27" s="47" t="str"/>
    </x:row>
    <x:row r="28">
      <x:c r="A28" s="50" t="str">
        <x:v>4</x:v>
      </x:c>
      <x:c r="B28" s="52" t="str">
        <x:v>Price maintenance</x:v>
      </x:c>
      <x:c r="C28" s="48" t="str">
        <x:v>Add price_effective_date and source_document/version in production. Never overwrite price history; close the prior record and insert a new one.</x:v>
      </x:c>
      <x:c r="D28" s="48" t="str"/>
      <x:c r="E28" s="48" t="str"/>
      <x:c r="F28" s="48" t="str"/>
      <x:c r="G28" s="48" t="str"/>
      <x:c r="H28" s="48" t="str"/>
    </x:row>
  </x:sheetData>
  <x:mergeCells>
    <x:mergeCell ref="A1:H1"/>
    <x:mergeCell ref="A2:H2"/>
    <x:mergeCell ref="A5:B6"/>
    <x:mergeCell ref="C5:D6"/>
    <x:mergeCell ref="E5:F6"/>
    <x:mergeCell ref="G5:H6"/>
    <x:mergeCell ref="A9:B10"/>
    <x:mergeCell ref="C9:D10"/>
    <x:mergeCell ref="E9:F10"/>
    <x:mergeCell ref="G9:H10"/>
    <x:mergeCell ref="A12:H12"/>
    <x:mergeCell ref="A13:B15"/>
    <x:mergeCell ref="C13:D15"/>
    <x:mergeCell ref="E13:F15"/>
    <x:mergeCell ref="G13:H15"/>
    <x:mergeCell ref="A17:H17"/>
    <x:mergeCell ref="B18:H18"/>
    <x:mergeCell ref="B19:H19"/>
    <x:mergeCell ref="B20:H20"/>
    <x:mergeCell ref="B21:H21"/>
    <x:mergeCell ref="B22:H22"/>
    <x:mergeCell ref="A24:H24"/>
    <x:mergeCell ref="C25:H25"/>
    <x:mergeCell ref="C26:H26"/>
    <x:mergeCell ref="C27:H27"/>
    <x:mergeCell ref="C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7" hidden="0" customWidth="1"/>
    <x:col min="3" max="3" width="27" hidden="0" customWidth="1"/>
    <x:col min="4" max="4" width="14" hidden="0" customWidth="1"/>
    <x:col min="5" max="5" width="24" hidden="0" customWidth="1"/>
    <x:col min="6" max="6" width="16" hidden="0" customWidth="1"/>
    <x:col min="7" max="7" width="15" hidden="0" customWidth="1"/>
    <x:col min="8" max="8" width="14" hidden="0" customWidth="1"/>
    <x:col min="9" max="9" width="18" hidden="0" customWidth="1"/>
    <x:col min="10" max="10" width="23" hidden="0" customWidth="1"/>
    <x:col min="11" max="11" width="18" hidden="0" customWidth="1"/>
    <x:col min="12" max="12" width="23" hidden="0" customWidth="1"/>
    <x:col min="13" max="13" width="16" hidden="0" customWidth="1"/>
    <x:col min="14" max="14" width="25" hidden="0" customWidth="1"/>
    <x:col min="15" max="15" width="26" hidden="0" customWidth="1"/>
    <x:col min="16" max="16" width="18" hidden="0" customWidth="1"/>
    <x:col min="17" max="17" width="16" hidden="0" customWidth="1"/>
    <x:col min="18" max="18" width="17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34" hidden="0" customHeight="1">
      <x:c r="A1" s="34" t="str">
        <x:v>Spec_ID</x:v>
      </x:c>
      <x:c r="B1" s="34" t="str">
        <x:v>Product_Category</x:v>
      </x:c>
      <x:c r="C1" s="34" t="str">
        <x:v>Product_Subtype</x:v>
      </x:c>
      <x:c r="D1" s="34" t="str">
        <x:v>Application</x:v>
      </x:c>
      <x:c r="E1" s="34" t="str">
        <x:v>Function</x:v>
      </x:c>
      <x:c r="F1" s="34" t="str">
        <x:v>Keying</x:v>
      </x:c>
      <x:c r="G1" s="34" t="str">
        <x:v>Size</x:v>
      </x:c>
      <x:c r="H1" s="34" t="str">
        <x:v>Rating</x:v>
      </x:c>
      <x:c r="I1" s="34" t="str">
        <x:v>Duty_Grade</x:v>
      </x:c>
      <x:c r="J1" s="34" t="str">
        <x:v>Mounting_Arm</x:v>
      </x:c>
      <x:c r="K1" s="34" t="str">
        <x:v>Thickness_Weight</x:v>
      </x:c>
      <x:c r="L1" s="34" t="str">
        <x:v>Material</x:v>
      </x:c>
      <x:c r="M1" s="34" t="str">
        <x:v>Finish</x:v>
      </x:c>
      <x:c r="N1" s="34" t="str">
        <x:v>Electrical</x:v>
      </x:c>
      <x:c r="O1" s="34" t="str">
        <x:v>Other_Requirements</x:v>
      </x:c>
      <x:c r="P1" s="34" t="str">
        <x:v>Match_Confidence</x:v>
      </x:c>
      <x:c r="Q1" s="34" t="str">
        <x:v>Vendor_Option_Count</x:v>
      </x:c>
      <x:c r="R1" s="34" t="str">
        <x:v>Manufacturer_Count</x:v>
      </x:c>
      <x:c r="S1" s="34" t="str">
        <x:v>Priced_Option_Count</x:v>
      </x:c>
      <x:c r="T1" s="34" t="str">
        <x:v>Active_Option_Count</x:v>
      </x:c>
      <x:c r="U1" s="34" t="str">
        <x:v>Min_Net_Price</x:v>
      </x:c>
      <x:c r="V1" s="34" t="str">
        <x:v>Max_Net_Price</x:v>
      </x:c>
      <x:c r="W1" s="34" t="str">
        <x:v>Spec_Status</x:v>
      </x:c>
    </x:row>
    <x:row r="2" ht="15" hidden="0" customHeight="1">
      <x:c r="A2" s="43" t="str">
        <x:v>SPEC-2F127E570436</x:v>
      </x:c>
      <x:c r="B2" s="43" t="str">
        <x:v>CLOSER</x:v>
      </x:c>
      <x:c r="C2" s="43" t="str">
        <x:v>SURFACE CLOSER</x:v>
      </x:c>
      <x:c r="D2" s="43" t="str"/>
      <x:c r="E2" s="43" t="str">
        <x:v>DOOR CLOSER</x:v>
      </x:c>
      <x:c r="F2" s="43" t="str">
        <x:v>NOT APPLICABLE</x:v>
      </x:c>
      <x:c r="G2" s="43" t="str"/>
      <x:c r="H2" s="43" t="str"/>
      <x:c r="I2" s="43" t="str">
        <x:v>HEAVY DUTY</x:v>
      </x:c>
      <x:c r="J2" s="43" t="str">
        <x:v>REGULAR ARM</x:v>
      </x:c>
      <x:c r="K2" s="43" t="str">
        <x:v>AF86 NFHD</x:v>
      </x:c>
      <x:c r="L2" s="43" t="str"/>
      <x:c r="M2" s="43" t="str"/>
      <x:c r="N2" s="43" t="str"/>
      <x:c r="O2" s="43" t="str">
        <x:v>NFHD</x:v>
      </x:c>
      <x:c r="P2" s="43" t="str">
        <x:v>HIGH</x:v>
      </x:c>
      <x:c r="Q2" s="53" t="n">
        <x:f>COUNTIF('Vendor Options'!$B$2:$B$284,A2)</x:f>
        <x:v>1</x:v>
      </x:c>
      <x:c r="R2" s="53" t="n">
        <x:f>COUNTA(_xlfn.UNIQUE(_xlfn._xlws.FILTER('Vendor Options'!$C$2:$C$284,'Vendor Options'!$B$2:$B$284=A2)))</x:f>
        <x:v>1</x:v>
      </x:c>
      <x:c r="S2" s="53" t="n">
        <x:f>COUNTIFS('Vendor Options'!$B$2:$B$284,A2,'Vendor Options'!$P$2:$P$284,"PRICED")</x:f>
        <x:v>0</x:v>
      </x:c>
      <x:c r="T2" s="53" t="n">
        <x:f>COUNTIFS('Vendor Options'!$B$2:$B$284,A2,'Vendor Options'!$Q$2:$Q$284,"ACTIVE")</x:f>
        <x:v>1</x:v>
      </x:c>
      <x:c r="U2" s="54" t="str">
        <x:f>IF(S2=0,"",MIN(_xlfn._xlws.FILTER('Vendor Options'!$N$2:$N$284,('Vendor Options'!$B$2:$B$284=A2)*('Vendor Options'!$P$2:$P$284="PRICED"))))</x:f>
      </x:c>
      <x:c r="V2" s="54" t="str">
        <x:f>IF(S2=0,"",MAXIFS('Vendor Options'!$N$2:$N$284,'Vendor Options'!$B$2:$B$284,A2,'Vendor Options'!$P$2:$P$284,"PRICED"))</x:f>
      </x:c>
      <x:c r="W2" s="43" t="str">
        <x:f>IF(P2="REVIEW","REVIEW",IF(T2=0,"REVIEW",IF(S2=0,"NEEDS PRICE","READY")))</x:f>
        <x:v>NEEDS PRICE</x:v>
      </x:c>
    </x:row>
    <x:row r="3" ht="15" hidden="0" customHeight="1">
      <x:c r="A3" s="43" t="str">
        <x:v>SPEC-31B6EA026CF7</x:v>
      </x:c>
      <x:c r="B3" s="43" t="str">
        <x:v>CLOSER</x:v>
      </x:c>
      <x:c r="C3" s="43" t="str">
        <x:v>SURFACE CLOSER</x:v>
      </x:c>
      <x:c r="D3" s="43" t="str"/>
      <x:c r="E3" s="43" t="str">
        <x:v>DOOR CLOSER</x:v>
      </x:c>
      <x:c r="F3" s="43" t="str">
        <x:v>NOT APPLICABLE</x:v>
      </x:c>
      <x:c r="G3" s="43" t="str"/>
      <x:c r="H3" s="43" t="str"/>
      <x:c r="I3" s="43" t="str"/>
      <x:c r="J3" s="43" t="str">
        <x:v>HOLD OPEN CUSHION</x:v>
      </x:c>
      <x:c r="K3" s="43" t="str">
        <x:v>DST</x:v>
      </x:c>
      <x:c r="L3" s="43" t="str"/>
      <x:c r="M3" s="43" t="str"/>
      <x:c r="N3" s="43" t="str"/>
      <x:c r="O3" s="43" t="str"/>
      <x:c r="P3" s="43" t="str">
        <x:v>HIGH</x:v>
      </x:c>
      <x:c r="Q3" s="53" t="n">
        <x:f>COUNTIF('Vendor Options'!$B$2:$B$284,A3)</x:f>
        <x:v>1</x:v>
      </x:c>
      <x:c r="R3" s="53" t="n">
        <x:f>COUNTA(_xlfn.UNIQUE(_xlfn._xlws.FILTER('Vendor Options'!$C$2:$C$284,'Vendor Options'!$B$2:$B$284=A3)))</x:f>
        <x:v>1</x:v>
      </x:c>
      <x:c r="S3" s="53" t="n">
        <x:f>COUNTIFS('Vendor Options'!$B$2:$B$284,A3,'Vendor Options'!$P$2:$P$284,"PRICED")</x:f>
        <x:v>0</x:v>
      </x:c>
      <x:c r="T3" s="53" t="n">
        <x:f>COUNTIFS('Vendor Options'!$B$2:$B$284,A3,'Vendor Options'!$Q$2:$Q$284,"ACTIVE")</x:f>
        <x:v>1</x:v>
      </x:c>
      <x:c r="U3" s="54" t="str">
        <x:f>IF(S3=0,"",MIN(_xlfn._xlws.FILTER('Vendor Options'!$N$2:$N$284,('Vendor Options'!$B$2:$B$284=A3)*('Vendor Options'!$P$2:$P$284="PRICED"))))</x:f>
      </x:c>
      <x:c r="V3" s="54" t="str">
        <x:f>IF(S3=0,"",MAXIFS('Vendor Options'!$N$2:$N$284,'Vendor Options'!$B$2:$B$284,A3,'Vendor Options'!$P$2:$P$284,"PRICED"))</x:f>
      </x:c>
      <x:c r="W3" s="43" t="str">
        <x:f>IF(P3="REVIEW","REVIEW",IF(T3=0,"REVIEW",IF(S3=0,"NEEDS PRICE","READY")))</x:f>
        <x:v>NEEDS PRICE</x:v>
      </x:c>
    </x:row>
    <x:row r="4" ht="15" hidden="0" customHeight="1">
      <x:c r="A4" s="43" t="str">
        <x:v>SPEC-34F37FF68132</x:v>
      </x:c>
      <x:c r="B4" s="43" t="str">
        <x:v>CLOSER</x:v>
      </x:c>
      <x:c r="C4" s="43" t="str">
        <x:v>SURFACE CLOSER</x:v>
      </x:c>
      <x:c r="D4" s="43" t="str"/>
      <x:c r="E4" s="43" t="str">
        <x:v>DOOR CLOSER</x:v>
      </x:c>
      <x:c r="F4" s="43" t="str">
        <x:v>NOT APPLICABLE</x:v>
      </x:c>
      <x:c r="G4" s="43" t="str"/>
      <x:c r="H4" s="43" t="str"/>
      <x:c r="I4" s="43" t="str">
        <x:v>INSTITUTIONAL</x:v>
      </x:c>
      <x:c r="J4" s="43" t="str"/>
      <x:c r="K4" s="43" t="str"/>
      <x:c r="L4" s="43" t="str">
        <x:v>CAST BODY</x:v>
      </x:c>
      <x:c r="M4" s="43" t="str"/>
      <x:c r="N4" s="43" t="str"/>
      <x:c r="O4" s="43" t="str"/>
      <x:c r="P4" s="43" t="str">
        <x:v>HIGH</x:v>
      </x:c>
      <x:c r="Q4" s="53" t="n">
        <x:f>COUNTIF('Vendor Options'!$B$2:$B$284,A4)</x:f>
        <x:v>3</x:v>
      </x:c>
      <x:c r="R4" s="53" t="n">
        <x:f>COUNTA(_xlfn.UNIQUE(_xlfn._xlws.FILTER('Vendor Options'!$C$2:$C$284,'Vendor Options'!$B$2:$B$284=A4)))</x:f>
        <x:v>2</x:v>
      </x:c>
      <x:c r="S4" s="53" t="n">
        <x:f>COUNTIFS('Vendor Options'!$B$2:$B$284,A4,'Vendor Options'!$P$2:$P$284,"PRICED")</x:f>
        <x:v>2</x:v>
      </x:c>
      <x:c r="T4" s="53" t="n">
        <x:f>COUNTIFS('Vendor Options'!$B$2:$B$284,A4,'Vendor Options'!$Q$2:$Q$284,"ACTIVE")</x:f>
        <x:v>1</x:v>
      </x:c>
      <x:c r="U4" s="54" t="n">
        <x:f>IF(S4=0,"",MIN(_xlfn._xlws.FILTER('Vendor Options'!$N$2:$N$284,('Vendor Options'!$B$2:$B$284=A4)*('Vendor Options'!$P$2:$P$284="PRICED"))))</x:f>
        <x:v>122.72</x:v>
      </x:c>
      <x:c r="V4" s="54" t="n">
        <x:f>IF(S4=0,"",MAXIFS('Vendor Options'!$N$2:$N$284,'Vendor Options'!$B$2:$B$284,A4,'Vendor Options'!$P$2:$P$284,"PRICED"))</x:f>
        <x:v>177.04</x:v>
      </x:c>
      <x:c r="W4" s="43" t="str">
        <x:f>IF(P4="REVIEW","REVIEW",IF(T4=0,"REVIEW",IF(S4=0,"NEEDS PRICE","READY")))</x:f>
        <x:v>READY</x:v>
      </x:c>
    </x:row>
    <x:row r="5" ht="15" hidden="0" customHeight="1">
      <x:c r="A5" s="43" t="str">
        <x:v>SPEC-454350D47BF8</x:v>
      </x:c>
      <x:c r="B5" s="43" t="str">
        <x:v>CLOSER</x:v>
      </x:c>
      <x:c r="C5" s="43" t="str">
        <x:v>SURFACE CLOSER</x:v>
      </x:c>
      <x:c r="D5" s="43" t="str"/>
      <x:c r="E5" s="43" t="str">
        <x:v>DOOR CLOSER</x:v>
      </x:c>
      <x:c r="F5" s="43" t="str">
        <x:v>NOT APPLICABLE</x:v>
      </x:c>
      <x:c r="G5" s="43" t="str"/>
      <x:c r="H5" s="43" t="str"/>
      <x:c r="I5" s="43" t="str">
        <x:v>HEAVY DUTY</x:v>
      </x:c>
      <x:c r="J5" s="43" t="str">
        <x:v>HOLD OPEN CUSHION</x:v>
      </x:c>
      <x:c r="K5" s="43" t="str">
        <x:v>DS</x:v>
      </x:c>
      <x:c r="L5" s="43" t="str"/>
      <x:c r="M5" s="43" t="str"/>
      <x:c r="N5" s="43" t="str"/>
      <x:c r="O5" s="43" t="str"/>
      <x:c r="P5" s="43" t="str">
        <x:v>HIGH</x:v>
      </x:c>
      <x:c r="Q5" s="53" t="n">
        <x:f>COUNTIF('Vendor Options'!$B$2:$B$284,A5)</x:f>
        <x:v>2</x:v>
      </x:c>
      <x:c r="R5" s="53" t="n">
        <x:f>COUNTA(_xlfn.UNIQUE(_xlfn._xlws.FILTER('Vendor Options'!$C$2:$C$284,'Vendor Options'!$B$2:$B$284=A5)))</x:f>
        <x:v>1</x:v>
      </x:c>
      <x:c r="S5" s="53" t="n">
        <x:f>COUNTIFS('Vendor Options'!$B$2:$B$284,A5,'Vendor Options'!$P$2:$P$284,"PRICED")</x:f>
        <x:v>0</x:v>
      </x:c>
      <x:c r="T5" s="53" t="n">
        <x:f>COUNTIFS('Vendor Options'!$B$2:$B$284,A5,'Vendor Options'!$Q$2:$Q$284,"ACTIVE")</x:f>
        <x:v>2</x:v>
      </x:c>
      <x:c r="U5" s="54" t="str">
        <x:f>IF(S5=0,"",MIN(_xlfn._xlws.FILTER('Vendor Options'!$N$2:$N$284,('Vendor Options'!$B$2:$B$284=A5)*('Vendor Options'!$P$2:$P$284="PRICED"))))</x:f>
      </x:c>
      <x:c r="V5" s="54" t="str">
        <x:f>IF(S5=0,"",MAXIFS('Vendor Options'!$N$2:$N$284,'Vendor Options'!$B$2:$B$284,A5,'Vendor Options'!$P$2:$P$284,"PRICED"))</x:f>
      </x:c>
      <x:c r="W5" s="43" t="str">
        <x:f>IF(P5="REVIEW","REVIEW",IF(T5=0,"REVIEW",IF(S5=0,"NEEDS PRICE","READY")))</x:f>
        <x:v>NEEDS PRICE</x:v>
      </x:c>
    </x:row>
    <x:row r="6" ht="15" hidden="0" customHeight="1">
      <x:c r="A6" s="43" t="str">
        <x:v>SPEC-5AD426F6A2C6</x:v>
      </x:c>
      <x:c r="B6" s="43" t="str">
        <x:v>CLOSER</x:v>
      </x:c>
      <x:c r="C6" s="43" t="str">
        <x:v>SURFACE CLOSER</x:v>
      </x:c>
      <x:c r="D6" s="43" t="str"/>
      <x:c r="E6" s="43" t="str">
        <x:v>DOOR CLOSER</x:v>
      </x:c>
      <x:c r="F6" s="43" t="str">
        <x:v>NOT APPLICABLE</x:v>
      </x:c>
      <x:c r="G6" s="43" t="str"/>
      <x:c r="H6" s="43" t="str"/>
      <x:c r="I6" s="43" t="str"/>
      <x:c r="J6" s="43" t="str">
        <x:v>REGULAR ARM</x:v>
      </x:c>
      <x:c r="K6" s="43" t="str">
        <x:v>AF89</x:v>
      </x:c>
      <x:c r="L6" s="43" t="str"/>
      <x:c r="M6" s="43" t="str"/>
      <x:c r="N6" s="43" t="str"/>
      <x:c r="O6" s="43" t="str"/>
      <x:c r="P6" s="43" t="str">
        <x:v>HIGH</x:v>
      </x:c>
      <x:c r="Q6" s="53" t="n">
        <x:f>COUNTIF('Vendor Options'!$B$2:$B$284,A6)</x:f>
        <x:v>1</x:v>
      </x:c>
      <x:c r="R6" s="53" t="n">
        <x:f>COUNTA(_xlfn.UNIQUE(_xlfn._xlws.FILTER('Vendor Options'!$C$2:$C$284,'Vendor Options'!$B$2:$B$284=A6)))</x:f>
        <x:v>1</x:v>
      </x:c>
      <x:c r="S6" s="53" t="n">
        <x:f>COUNTIFS('Vendor Options'!$B$2:$B$284,A6,'Vendor Options'!$P$2:$P$284,"PRICED")</x:f>
        <x:v>0</x:v>
      </x:c>
      <x:c r="T6" s="53" t="n">
        <x:f>COUNTIFS('Vendor Options'!$B$2:$B$284,A6,'Vendor Options'!$Q$2:$Q$284,"ACTIVE")</x:f>
        <x:v>1</x:v>
      </x:c>
      <x:c r="U6" s="54" t="str">
        <x:f>IF(S6=0,"",MIN(_xlfn._xlws.FILTER('Vendor Options'!$N$2:$N$284,('Vendor Options'!$B$2:$B$284=A6)*('Vendor Options'!$P$2:$P$284="PRICED"))))</x:f>
      </x:c>
      <x:c r="V6" s="54" t="str">
        <x:f>IF(S6=0,"",MAXIFS('Vendor Options'!$N$2:$N$284,'Vendor Options'!$B$2:$B$284,A6,'Vendor Options'!$P$2:$P$284,"PRICED"))</x:f>
      </x:c>
      <x:c r="W6" s="43" t="str">
        <x:f>IF(P6="REVIEW","REVIEW",IF(T6=0,"REVIEW",IF(S6=0,"NEEDS PRICE","READY")))</x:f>
        <x:v>NEEDS PRICE</x:v>
      </x:c>
    </x:row>
    <x:row r="7" ht="15" hidden="0" customHeight="1">
      <x:c r="A7" s="43" t="str">
        <x:v>SPEC-68878C8F942A</x:v>
      </x:c>
      <x:c r="B7" s="43" t="str">
        <x:v>CLOSER</x:v>
      </x:c>
      <x:c r="C7" s="43" t="str">
        <x:v>SURFACE CLOSER</x:v>
      </x:c>
      <x:c r="D7" s="43" t="str"/>
      <x:c r="E7" s="43" t="str">
        <x:v>DOOR CLOSER</x:v>
      </x:c>
      <x:c r="F7" s="43" t="str">
        <x:v>NOT APPLICABLE</x:v>
      </x:c>
      <x:c r="G7" s="43" t="str"/>
      <x:c r="H7" s="43" t="str"/>
      <x:c r="I7" s="43" t="str">
        <x:v>HEAVY DUTY</x:v>
      </x:c>
      <x:c r="J7" s="43" t="str">
        <x:v>REGULAR ARM</x:v>
      </x:c>
      <x:c r="K7" s="43" t="str">
        <x:v>AF86</x:v>
      </x:c>
      <x:c r="L7" s="43" t="str"/>
      <x:c r="M7" s="43" t="str"/>
      <x:c r="N7" s="43" t="str"/>
      <x:c r="O7" s="43" t="str"/>
      <x:c r="P7" s="43" t="str">
        <x:v>HIGH</x:v>
      </x:c>
      <x:c r="Q7" s="53" t="n">
        <x:f>COUNTIF('Vendor Options'!$B$2:$B$284,A7)</x:f>
        <x:v>1</x:v>
      </x:c>
      <x:c r="R7" s="53" t="n">
        <x:f>COUNTA(_xlfn.UNIQUE(_xlfn._xlws.FILTER('Vendor Options'!$C$2:$C$284,'Vendor Options'!$B$2:$B$284=A7)))</x:f>
        <x:v>1</x:v>
      </x:c>
      <x:c r="S7" s="53" t="n">
        <x:f>COUNTIFS('Vendor Options'!$B$2:$B$284,A7,'Vendor Options'!$P$2:$P$284,"PRICED")</x:f>
        <x:v>0</x:v>
      </x:c>
      <x:c r="T7" s="53" t="n">
        <x:f>COUNTIFS('Vendor Options'!$B$2:$B$284,A7,'Vendor Options'!$Q$2:$Q$284,"ACTIVE")</x:f>
        <x:v>1</x:v>
      </x:c>
      <x:c r="U7" s="54" t="str">
        <x:f>IF(S7=0,"",MIN(_xlfn._xlws.FILTER('Vendor Options'!$N$2:$N$284,('Vendor Options'!$B$2:$B$284=A7)*('Vendor Options'!$P$2:$P$284="PRICED"))))</x:f>
      </x:c>
      <x:c r="V7" s="54" t="str">
        <x:f>IF(S7=0,"",MAXIFS('Vendor Options'!$N$2:$N$284,'Vendor Options'!$B$2:$B$284,A7,'Vendor Options'!$P$2:$P$284,"PRICED"))</x:f>
      </x:c>
      <x:c r="W7" s="43" t="str">
        <x:f>IF(P7="REVIEW","REVIEW",IF(T7=0,"REVIEW",IF(S7=0,"NEEDS PRICE","READY")))</x:f>
        <x:v>NEEDS PRICE</x:v>
      </x:c>
    </x:row>
    <x:row r="8" ht="15" hidden="0" customHeight="1">
      <x:c r="A8" s="43" t="str">
        <x:v>SPEC-83B89DDE240B</x:v>
      </x:c>
      <x:c r="B8" s="43" t="str">
        <x:v>CLOSER</x:v>
      </x:c>
      <x:c r="C8" s="43" t="str">
        <x:v>SURFACE CLOSER</x:v>
      </x:c>
      <x:c r="D8" s="43" t="str"/>
      <x:c r="E8" s="43" t="str">
        <x:v>DOOR CLOSER</x:v>
      </x:c>
      <x:c r="F8" s="43" t="str">
        <x:v>NOT APPLICABLE</x:v>
      </x:c>
      <x:c r="G8" s="43" t="str"/>
      <x:c r="H8" s="43" t="str"/>
      <x:c r="I8" s="43" t="str">
        <x:v>HEAVY DUTY</x:v>
      </x:c>
      <x:c r="J8" s="43" t="str">
        <x:v>HOLD OPEN CUSHION</x:v>
      </x:c>
      <x:c r="K8" s="43" t="str">
        <x:v>DS NFHD</x:v>
      </x:c>
      <x:c r="L8" s="43" t="str"/>
      <x:c r="M8" s="43" t="str"/>
      <x:c r="N8" s="43" t="str"/>
      <x:c r="O8" s="43" t="str">
        <x:v>NFHD</x:v>
      </x:c>
      <x:c r="P8" s="43" t="str">
        <x:v>HIGH</x:v>
      </x:c>
      <x:c r="Q8" s="53" t="n">
        <x:f>COUNTIF('Vendor Options'!$B$2:$B$284,A8)</x:f>
        <x:v>2</x:v>
      </x:c>
      <x:c r="R8" s="53" t="n">
        <x:f>COUNTA(_xlfn.UNIQUE(_xlfn._xlws.FILTER('Vendor Options'!$C$2:$C$284,'Vendor Options'!$B$2:$B$284=A8)))</x:f>
        <x:v>1</x:v>
      </x:c>
      <x:c r="S8" s="53" t="n">
        <x:f>COUNTIFS('Vendor Options'!$B$2:$B$284,A8,'Vendor Options'!$P$2:$P$284,"PRICED")</x:f>
        <x:v>0</x:v>
      </x:c>
      <x:c r="T8" s="53" t="n">
        <x:f>COUNTIFS('Vendor Options'!$B$2:$B$284,A8,'Vendor Options'!$Q$2:$Q$284,"ACTIVE")</x:f>
        <x:v>2</x:v>
      </x:c>
      <x:c r="U8" s="54" t="str">
        <x:f>IF(S8=0,"",MIN(_xlfn._xlws.FILTER('Vendor Options'!$N$2:$N$284,('Vendor Options'!$B$2:$B$284=A8)*('Vendor Options'!$P$2:$P$284="PRICED"))))</x:f>
      </x:c>
      <x:c r="V8" s="54" t="str">
        <x:f>IF(S8=0,"",MAXIFS('Vendor Options'!$N$2:$N$284,'Vendor Options'!$B$2:$B$284,A8,'Vendor Options'!$P$2:$P$284,"PRICED"))</x:f>
      </x:c>
      <x:c r="W8" s="43" t="str">
        <x:f>IF(P8="REVIEW","REVIEW",IF(T8=0,"REVIEW",IF(S8=0,"NEEDS PRICE","READY")))</x:f>
        <x:v>NEEDS PRICE</x:v>
      </x:c>
    </x:row>
    <x:row r="9" ht="15" hidden="0" customHeight="1">
      <x:c r="A9" s="43" t="str">
        <x:v>SPEC-84956FA5E7F7</x:v>
      </x:c>
      <x:c r="B9" s="43" t="str">
        <x:v>CLOSER</x:v>
      </x:c>
      <x:c r="C9" s="43" t="str">
        <x:v>SURFACE CLOSER</x:v>
      </x:c>
      <x:c r="D9" s="43" t="str"/>
      <x:c r="E9" s="43" t="str">
        <x:v>DOOR CLOSER</x:v>
      </x:c>
      <x:c r="F9" s="43" t="str">
        <x:v>NOT APPLICABLE</x:v>
      </x:c>
      <x:c r="G9" s="43" t="str"/>
      <x:c r="H9" s="43" t="str"/>
      <x:c r="I9" s="43" t="str"/>
      <x:c r="J9" s="43" t="str">
        <x:v>HOLD OPEN CUSHION</x:v>
      </x:c>
      <x:c r="K9" s="43" t="str">
        <x:v>DST NFHD</x:v>
      </x:c>
      <x:c r="L9" s="43" t="str"/>
      <x:c r="M9" s="43" t="str"/>
      <x:c r="N9" s="43" t="str"/>
      <x:c r="O9" s="43" t="str">
        <x:v>NFHD</x:v>
      </x:c>
      <x:c r="P9" s="43" t="str">
        <x:v>HIGH</x:v>
      </x:c>
      <x:c r="Q9" s="53" t="n">
        <x:f>COUNTIF('Vendor Options'!$B$2:$B$284,A9)</x:f>
        <x:v>1</x:v>
      </x:c>
      <x:c r="R9" s="53" t="n">
        <x:f>COUNTA(_xlfn.UNIQUE(_xlfn._xlws.FILTER('Vendor Options'!$C$2:$C$284,'Vendor Options'!$B$2:$B$284=A9)))</x:f>
        <x:v>1</x:v>
      </x:c>
      <x:c r="S9" s="53" t="n">
        <x:f>COUNTIFS('Vendor Options'!$B$2:$B$284,A9,'Vendor Options'!$P$2:$P$284,"PRICED")</x:f>
        <x:v>0</x:v>
      </x:c>
      <x:c r="T9" s="53" t="n">
        <x:f>COUNTIFS('Vendor Options'!$B$2:$B$284,A9,'Vendor Options'!$Q$2:$Q$284,"ACTIVE")</x:f>
        <x:v>1</x:v>
      </x:c>
      <x:c r="U9" s="54" t="str">
        <x:f>IF(S9=0,"",MIN(_xlfn._xlws.FILTER('Vendor Options'!$N$2:$N$284,('Vendor Options'!$B$2:$B$284=A9)*('Vendor Options'!$P$2:$P$284="PRICED"))))</x:f>
      </x:c>
      <x:c r="V9" s="54" t="str">
        <x:f>IF(S9=0,"",MAXIFS('Vendor Options'!$N$2:$N$284,'Vendor Options'!$B$2:$B$284,A9,'Vendor Options'!$P$2:$P$284,"PRICED"))</x:f>
      </x:c>
      <x:c r="W9" s="43" t="str">
        <x:f>IF(P9="REVIEW","REVIEW",IF(T9=0,"REVIEW",IF(S9=0,"NEEDS PRICE","READY")))</x:f>
        <x:v>NEEDS PRICE</x:v>
      </x:c>
    </x:row>
    <x:row r="10" ht="15" hidden="0" customHeight="1">
      <x:c r="A10" s="43" t="str">
        <x:v>SPEC-927A1E98A57A</x:v>
      </x:c>
      <x:c r="B10" s="43" t="str">
        <x:v>CLOSER</x:v>
      </x:c>
      <x:c r="C10" s="43" t="str">
        <x:v>SURFACE CLOSER</x:v>
      </x:c>
      <x:c r="D10" s="43" t="str"/>
      <x:c r="E10" s="43" t="str">
        <x:v>DOOR CLOSER</x:v>
      </x:c>
      <x:c r="F10" s="43" t="str">
        <x:v>NOT APPLICABLE</x:v>
      </x:c>
      <x:c r="G10" s="43" t="str"/>
      <x:c r="H10" s="43" t="str"/>
      <x:c r="I10" s="43" t="str"/>
      <x:c r="J10" s="43" t="str">
        <x:v>REGULAR ARM</x:v>
      </x:c>
      <x:c r="K10" s="43" t="str">
        <x:v>AF89 NFHD</x:v>
      </x:c>
      <x:c r="L10" s="43" t="str"/>
      <x:c r="M10" s="43" t="str"/>
      <x:c r="N10" s="43" t="str"/>
      <x:c r="O10" s="43" t="str">
        <x:v>NFHD</x:v>
      </x:c>
      <x:c r="P10" s="43" t="str">
        <x:v>HIGH</x:v>
      </x:c>
      <x:c r="Q10" s="53" t="n">
        <x:f>COUNTIF('Vendor Options'!$B$2:$B$284,A10)</x:f>
        <x:v>1</x:v>
      </x:c>
      <x:c r="R10" s="53" t="n">
        <x:f>COUNTA(_xlfn.UNIQUE(_xlfn._xlws.FILTER('Vendor Options'!$C$2:$C$284,'Vendor Options'!$B$2:$B$284=A10)))</x:f>
        <x:v>1</x:v>
      </x:c>
      <x:c r="S10" s="53" t="n">
        <x:f>COUNTIFS('Vendor Options'!$B$2:$B$284,A10,'Vendor Options'!$P$2:$P$284,"PRICED")</x:f>
        <x:v>0</x:v>
      </x:c>
      <x:c r="T10" s="53" t="n">
        <x:f>COUNTIFS('Vendor Options'!$B$2:$B$284,A10,'Vendor Options'!$Q$2:$Q$284,"ACTIVE")</x:f>
        <x:v>0</x:v>
      </x:c>
      <x:c r="U10" s="54" t="str">
        <x:f>IF(S10=0,"",MIN(_xlfn._xlws.FILTER('Vendor Options'!$N$2:$N$284,('Vendor Options'!$B$2:$B$284=A10)*('Vendor Options'!$P$2:$P$284="PRICED"))))</x:f>
      </x:c>
      <x:c r="V10" s="54" t="str">
        <x:f>IF(S10=0,"",MAXIFS('Vendor Options'!$N$2:$N$284,'Vendor Options'!$B$2:$B$284,A10,'Vendor Options'!$P$2:$P$284,"PRICED"))</x:f>
      </x:c>
      <x:c r="W10" s="43" t="str">
        <x:f>IF(P10="REVIEW","REVIEW",IF(T10=0,"REVIEW",IF(S10=0,"NEEDS PRICE","READY")))</x:f>
        <x:v>REVIEW</x:v>
      </x:c>
    </x:row>
    <x:row r="11" ht="15" hidden="0" customHeight="1">
      <x:c r="A11" s="43" t="str">
        <x:v>SPEC-ACD801228BB0</x:v>
      </x:c>
      <x:c r="B11" s="43" t="str">
        <x:v>CLOSER</x:v>
      </x:c>
      <x:c r="C11" s="43" t="str">
        <x:v>SURFACE CLOSER</x:v>
      </x:c>
      <x:c r="D11" s="43" t="str"/>
      <x:c r="E11" s="43" t="str">
        <x:v>DOOR CLOSER</x:v>
      </x:c>
      <x:c r="F11" s="43" t="str">
        <x:v>NOT APPLICABLE</x:v>
      </x:c>
      <x:c r="G11" s="43" t="str"/>
      <x:c r="H11" s="43" t="str"/>
      <x:c r="I11" s="43" t="str"/>
      <x:c r="J11" s="43" t="str">
        <x:v>CUSHION STOP</x:v>
      </x:c>
      <x:c r="K11" s="43" t="str">
        <x:v>DS</x:v>
      </x:c>
      <x:c r="L11" s="43" t="str"/>
      <x:c r="M11" s="43" t="str"/>
      <x:c r="N11" s="43" t="str"/>
      <x:c r="O11" s="43" t="str"/>
      <x:c r="P11" s="43" t="str">
        <x:v>HIGH</x:v>
      </x:c>
      <x:c r="Q11" s="53" t="n">
        <x:f>COUNTIF('Vendor Options'!$B$2:$B$284,A11)</x:f>
        <x:v>1</x:v>
      </x:c>
      <x:c r="R11" s="53" t="n">
        <x:f>COUNTA(_xlfn.UNIQUE(_xlfn._xlws.FILTER('Vendor Options'!$C$2:$C$284,'Vendor Options'!$B$2:$B$284=A11)))</x:f>
        <x:v>1</x:v>
      </x:c>
      <x:c r="S11" s="53" t="n">
        <x:f>COUNTIFS('Vendor Options'!$B$2:$B$284,A11,'Vendor Options'!$P$2:$P$284,"PRICED")</x:f>
        <x:v>0</x:v>
      </x:c>
      <x:c r="T11" s="53" t="n">
        <x:f>COUNTIFS('Vendor Options'!$B$2:$B$284,A11,'Vendor Options'!$Q$2:$Q$284,"ACTIVE")</x:f>
        <x:v>1</x:v>
      </x:c>
      <x:c r="U11" s="54" t="str">
        <x:f>IF(S11=0,"",MIN(_xlfn._xlws.FILTER('Vendor Options'!$N$2:$N$284,('Vendor Options'!$B$2:$B$284=A11)*('Vendor Options'!$P$2:$P$284="PRICED"))))</x:f>
      </x:c>
      <x:c r="V11" s="54" t="str">
        <x:f>IF(S11=0,"",MAXIFS('Vendor Options'!$N$2:$N$284,'Vendor Options'!$B$2:$B$284,A11,'Vendor Options'!$P$2:$P$284,"PRICED"))</x:f>
      </x:c>
      <x:c r="W11" s="43" t="str">
        <x:f>IF(P11="REVIEW","REVIEW",IF(T11=0,"REVIEW",IF(S11=0,"NEEDS PRICE","READY")))</x:f>
        <x:v>NEEDS PRICE</x:v>
      </x:c>
    </x:row>
    <x:row r="12" ht="15" hidden="0" customHeight="1">
      <x:c r="A12" s="43" t="str">
        <x:v>SPEC-BB70F917EE11</x:v>
      </x:c>
      <x:c r="B12" s="43" t="str">
        <x:v>CLOSER</x:v>
      </x:c>
      <x:c r="C12" s="43" t="str">
        <x:v>SURFACE CLOSER</x:v>
      </x:c>
      <x:c r="D12" s="43" t="str"/>
      <x:c r="E12" s="43" t="str">
        <x:v>DOOR CLOSER</x:v>
      </x:c>
      <x:c r="F12" s="43" t="str">
        <x:v>NOT APPLICABLE</x:v>
      </x:c>
      <x:c r="G12" s="43" t="str"/>
      <x:c r="H12" s="43" t="str"/>
      <x:c r="I12" s="43" t="str"/>
      <x:c r="J12" s="43" t="str">
        <x:v>CUSHION STOP</x:v>
      </x:c>
      <x:c r="K12" s="43" t="str">
        <x:v>DS NFHD</x:v>
      </x:c>
      <x:c r="L12" s="43" t="str"/>
      <x:c r="M12" s="43" t="str"/>
      <x:c r="N12" s="43" t="str"/>
      <x:c r="O12" s="43" t="str">
        <x:v>NFHD</x:v>
      </x:c>
      <x:c r="P12" s="43" t="str">
        <x:v>HIGH</x:v>
      </x:c>
      <x:c r="Q12" s="53" t="n">
        <x:f>COUNTIF('Vendor Options'!$B$2:$B$284,A12)</x:f>
        <x:v>1</x:v>
      </x:c>
      <x:c r="R12" s="53" t="n">
        <x:f>COUNTA(_xlfn.UNIQUE(_xlfn._xlws.FILTER('Vendor Options'!$C$2:$C$284,'Vendor Options'!$B$2:$B$284=A12)))</x:f>
        <x:v>1</x:v>
      </x:c>
      <x:c r="S12" s="53" t="n">
        <x:f>COUNTIFS('Vendor Options'!$B$2:$B$284,A12,'Vendor Options'!$P$2:$P$284,"PRICED")</x:f>
        <x:v>0</x:v>
      </x:c>
      <x:c r="T12" s="53" t="n">
        <x:f>COUNTIFS('Vendor Options'!$B$2:$B$284,A12,'Vendor Options'!$Q$2:$Q$284,"ACTIVE")</x:f>
        <x:v>0</x:v>
      </x:c>
      <x:c r="U12" s="54" t="str">
        <x:f>IF(S12=0,"",MIN(_xlfn._xlws.FILTER('Vendor Options'!$N$2:$N$284,('Vendor Options'!$B$2:$B$284=A12)*('Vendor Options'!$P$2:$P$284="PRICED"))))</x:f>
      </x:c>
      <x:c r="V12" s="54" t="str">
        <x:f>IF(S12=0,"",MAXIFS('Vendor Options'!$N$2:$N$284,'Vendor Options'!$B$2:$B$284,A12,'Vendor Options'!$P$2:$P$284,"PRICED"))</x:f>
      </x:c>
      <x:c r="W12" s="43" t="str">
        <x:f>IF(P12="REVIEW","REVIEW",IF(T12=0,"REVIEW",IF(S12=0,"NEEDS PRICE","READY")))</x:f>
        <x:v>REVIEW</x:v>
      </x:c>
    </x:row>
    <x:row r="13" ht="15" hidden="0" customHeight="1">
      <x:c r="A13" s="43" t="str">
        <x:v>SPEC-D20D6C31AF5E</x:v>
      </x:c>
      <x:c r="B13" s="43" t="str">
        <x:v>CLOSER</x:v>
      </x:c>
      <x:c r="C13" s="43" t="str">
        <x:v>SURFACE CLOSER</x:v>
      </x:c>
      <x:c r="D13" s="43" t="str"/>
      <x:c r="E13" s="43" t="str">
        <x:v>DOOR CLOSER</x:v>
      </x:c>
      <x:c r="F13" s="43" t="str">
        <x:v>NOT APPLICABLE</x:v>
      </x:c>
      <x:c r="G13" s="43" t="str"/>
      <x:c r="H13" s="43" t="str"/>
      <x:c r="I13" s="43" t="str">
        <x:v>MEDIUM DUTY</x:v>
      </x:c>
      <x:c r="J13" s="43" t="str"/>
      <x:c r="K13" s="43" t="str"/>
      <x:c r="L13" s="43" t="str">
        <x:v>ALUMINUM BODY</x:v>
      </x:c>
      <x:c r="M13" s="43" t="str"/>
      <x:c r="N13" s="43" t="str"/>
      <x:c r="O13" s="43" t="str"/>
      <x:c r="P13" s="43" t="str">
        <x:v>HIGH</x:v>
      </x:c>
      <x:c r="Q13" s="53" t="n">
        <x:f>COUNTIF('Vendor Options'!$B$2:$B$284,A13)</x:f>
        <x:v>3</x:v>
      </x:c>
      <x:c r="R13" s="53" t="n">
        <x:f>COUNTA(_xlfn.UNIQUE(_xlfn._xlws.FILTER('Vendor Options'!$C$2:$C$284,'Vendor Options'!$B$2:$B$284=A13)))</x:f>
        <x:v>2</x:v>
      </x:c>
      <x:c r="S13" s="53" t="n">
        <x:f>COUNTIFS('Vendor Options'!$B$2:$B$284,A13,'Vendor Options'!$P$2:$P$284,"PRICED")</x:f>
        <x:v>1</x:v>
      </x:c>
      <x:c r="T13" s="53" t="n">
        <x:f>COUNTIFS('Vendor Options'!$B$2:$B$284,A13,'Vendor Options'!$Q$2:$Q$284,"ACTIVE")</x:f>
        <x:v>3</x:v>
      </x:c>
      <x:c r="U13" s="54" t="n">
        <x:f>IF(S13=0,"",MIN(_xlfn._xlws.FILTER('Vendor Options'!$N$2:$N$284,('Vendor Options'!$B$2:$B$284=A13)*('Vendor Options'!$P$2:$P$284="PRICED"))))</x:f>
        <x:v>126.64</x:v>
      </x:c>
      <x:c r="V13" s="54" t="n">
        <x:f>IF(S13=0,"",MAXIFS('Vendor Options'!$N$2:$N$284,'Vendor Options'!$B$2:$B$284,A13,'Vendor Options'!$P$2:$P$284,"PRICED"))</x:f>
        <x:v>126.64</x:v>
      </x:c>
      <x:c r="W13" s="43" t="str">
        <x:f>IF(P13="REVIEW","REVIEW",IF(T13=0,"REVIEW",IF(S13=0,"NEEDS PRICE","READY")))</x:f>
        <x:v>READY</x:v>
      </x:c>
    </x:row>
    <x:row r="14" ht="15" hidden="0" customHeight="1">
      <x:c r="A14" s="43" t="str">
        <x:v>SPEC-E002DFF25150</x:v>
      </x:c>
      <x:c r="B14" s="43" t="str">
        <x:v>CLOSER</x:v>
      </x:c>
      <x:c r="C14" s="43" t="str">
        <x:v>SURFACE CLOSER</x:v>
      </x:c>
      <x:c r="D14" s="43" t="str"/>
      <x:c r="E14" s="43" t="str">
        <x:v>DOOR CLOSER</x:v>
      </x:c>
      <x:c r="F14" s="43" t="str">
        <x:v>NOT APPLICABLE</x:v>
      </x:c>
      <x:c r="G14" s="43" t="str"/>
      <x:c r="H14" s="43" t="str"/>
      <x:c r="I14" s="43" t="str">
        <x:v>LIGHT COMMERCIAL</x:v>
      </x:c>
      <x:c r="J14" s="43" t="str"/>
      <x:c r="K14" s="43" t="str"/>
      <x:c r="L14" s="43" t="str">
        <x:v>ALUMINUM BODY</x:v>
      </x:c>
      <x:c r="M14" s="43" t="str"/>
      <x:c r="N14" s="43" t="str"/>
      <x:c r="O14" s="43" t="str"/>
      <x:c r="P14" s="43" t="str">
        <x:v>HIGH</x:v>
      </x:c>
      <x:c r="Q14" s="53" t="n">
        <x:f>COUNTIF('Vendor Options'!$B$2:$B$284,A14)</x:f>
        <x:v>1</x:v>
      </x:c>
      <x:c r="R14" s="53" t="n">
        <x:f>COUNTA(_xlfn.UNIQUE(_xlfn._xlws.FILTER('Vendor Options'!$C$2:$C$284,'Vendor Options'!$B$2:$B$284=A14)))</x:f>
        <x:v>1</x:v>
      </x:c>
      <x:c r="S14" s="53" t="n">
        <x:f>COUNTIFS('Vendor Options'!$B$2:$B$284,A14,'Vendor Options'!$P$2:$P$284,"PRICED")</x:f>
        <x:v>0</x:v>
      </x:c>
      <x:c r="T14" s="53" t="n">
        <x:f>COUNTIFS('Vendor Options'!$B$2:$B$284,A14,'Vendor Options'!$Q$2:$Q$284,"ACTIVE")</x:f>
        <x:v>1</x:v>
      </x:c>
      <x:c r="U14" s="54" t="str">
        <x:f>IF(S14=0,"",MIN(_xlfn._xlws.FILTER('Vendor Options'!$N$2:$N$284,('Vendor Options'!$B$2:$B$284=A14)*('Vendor Options'!$P$2:$P$284="PRICED"))))</x:f>
      </x:c>
      <x:c r="V14" s="54" t="str">
        <x:f>IF(S14=0,"",MAXIFS('Vendor Options'!$N$2:$N$284,'Vendor Options'!$B$2:$B$284,A14,'Vendor Options'!$P$2:$P$284,"PRICED"))</x:f>
      </x:c>
      <x:c r="W14" s="43" t="str">
        <x:f>IF(P14="REVIEW","REVIEW",IF(T14=0,"REVIEW",IF(S14=0,"NEEDS PRICE","READY")))</x:f>
        <x:v>NEEDS PRICE</x:v>
      </x:c>
    </x:row>
    <x:row r="15" ht="15" hidden="0" customHeight="1">
      <x:c r="A15" s="43" t="str">
        <x:v>SPEC-B4C1DFD4E28A</x:v>
      </x:c>
      <x:c r="B15" s="43" t="str">
        <x:v>CLOSER</x:v>
      </x:c>
      <x:c r="C15" s="43" t="str">
        <x:v>SURFACE CLOSER</x:v>
      </x:c>
      <x:c r="D15" s="43" t="str"/>
      <x:c r="E15" s="43" t="str">
        <x:v>DOOR CLOSER</x:v>
      </x:c>
      <x:c r="F15" s="43" t="str">
        <x:v>NOT APPLICABLE</x:v>
      </x:c>
      <x:c r="G15" s="43" t="str"/>
      <x:c r="H15" s="43" t="str"/>
      <x:c r="I15" s="43" t="str"/>
      <x:c r="J15" s="43" t="str">
        <x:v>SLIDE TRACK HOLD OPEN</x:v>
      </x:c>
      <x:c r="K15" s="43" t="str"/>
      <x:c r="L15" s="43" t="str"/>
      <x:c r="M15" s="43" t="str">
        <x:v>630</x:v>
      </x:c>
      <x:c r="N15" s="43" t="str"/>
      <x:c r="O15" s="43" t="str"/>
      <x:c r="P15" s="43" t="str">
        <x:v>HIGH</x:v>
      </x:c>
      <x:c r="Q15" s="53" t="n">
        <x:f>COUNTIF('Vendor Options'!$B$2:$B$284,A15)</x:f>
        <x:v>1</x:v>
      </x:c>
      <x:c r="R15" s="53" t="n">
        <x:f>COUNTA(_xlfn.UNIQUE(_xlfn._xlws.FILTER('Vendor Options'!$C$2:$C$284,'Vendor Options'!$B$2:$B$284=A15)))</x:f>
        <x:v>1</x:v>
      </x:c>
      <x:c r="S15" s="53" t="n">
        <x:f>COUNTIFS('Vendor Options'!$B$2:$B$284,A15,'Vendor Options'!$P$2:$P$284,"PRICED")</x:f>
        <x:v>0</x:v>
      </x:c>
      <x:c r="T15" s="53" t="n">
        <x:f>COUNTIFS('Vendor Options'!$B$2:$B$284,A15,'Vendor Options'!$Q$2:$Q$284,"ACTIVE")</x:f>
        <x:v>0</x:v>
      </x:c>
      <x:c r="U15" s="54" t="str">
        <x:f>IF(S15=0,"",MIN(_xlfn._xlws.FILTER('Vendor Options'!$N$2:$N$284,('Vendor Options'!$B$2:$B$284=A15)*('Vendor Options'!$P$2:$P$284="PRICED"))))</x:f>
      </x:c>
      <x:c r="V15" s="54" t="str">
        <x:f>IF(S15=0,"",MAXIFS('Vendor Options'!$N$2:$N$284,'Vendor Options'!$B$2:$B$284,A15,'Vendor Options'!$P$2:$P$284,"PRICED"))</x:f>
      </x:c>
      <x:c r="W15" s="43" t="str">
        <x:f>IF(P15="REVIEW","REVIEW",IF(T15=0,"REVIEW",IF(S15=0,"NEEDS PRICE","READY")))</x:f>
        <x:v>REVIEW</x:v>
      </x:c>
    </x:row>
    <x:row r="16" ht="15" hidden="0" customHeight="1">
      <x:c r="A16" s="43" t="str">
        <x:v>SPEC-05BEAB991446</x:v>
      </x:c>
      <x:c r="B16" s="43" t="str">
        <x:v>CLOSER</x:v>
      </x:c>
      <x:c r="C16" s="43" t="str">
        <x:v>SURFACE CLOSER</x:v>
      </x:c>
      <x:c r="D16" s="43" t="str"/>
      <x:c r="E16" s="43" t="str">
        <x:v>DOOR CLOSER</x:v>
      </x:c>
      <x:c r="F16" s="43" t="str">
        <x:v>NOT APPLICABLE</x:v>
      </x:c>
      <x:c r="G16" s="43" t="str"/>
      <x:c r="H16" s="43" t="str"/>
      <x:c r="I16" s="43" t="str"/>
      <x:c r="J16" s="43" t="str"/>
      <x:c r="K16" s="43" t="str"/>
      <x:c r="L16" s="43" t="str"/>
      <x:c r="M16" s="43" t="str">
        <x:v>689</x:v>
      </x:c>
      <x:c r="N16" s="43" t="str"/>
      <x:c r="O16" s="43" t="str"/>
      <x:c r="P16" s="43" t="str">
        <x:v>REVIEW</x:v>
      </x:c>
      <x:c r="Q16" s="53" t="n">
        <x:f>COUNTIF('Vendor Options'!$B$2:$B$284,A16)</x:f>
        <x:v>1</x:v>
      </x:c>
      <x:c r="R16" s="53" t="n">
        <x:f>COUNTA(_xlfn.UNIQUE(_xlfn._xlws.FILTER('Vendor Options'!$C$2:$C$284,'Vendor Options'!$B$2:$B$284=A16)))</x:f>
        <x:v>1</x:v>
      </x:c>
      <x:c r="S16" s="53" t="n">
        <x:f>COUNTIFS('Vendor Options'!$B$2:$B$284,A16,'Vendor Options'!$P$2:$P$284,"PRICED")</x:f>
        <x:v>0</x:v>
      </x:c>
      <x:c r="T16" s="53" t="n">
        <x:f>COUNTIFS('Vendor Options'!$B$2:$B$284,A16,'Vendor Options'!$Q$2:$Q$284,"ACTIVE")</x:f>
        <x:v>0</x:v>
      </x:c>
      <x:c r="U16" s="54" t="str">
        <x:f>IF(S16=0,"",MIN(_xlfn._xlws.FILTER('Vendor Options'!$N$2:$N$284,('Vendor Options'!$B$2:$B$284=A16)*('Vendor Options'!$P$2:$P$284="PRICED"))))</x:f>
      </x:c>
      <x:c r="V16" s="54" t="str">
        <x:f>IF(S16=0,"",MAXIFS('Vendor Options'!$N$2:$N$284,'Vendor Options'!$B$2:$B$284,A16,'Vendor Options'!$P$2:$P$284,"PRICED"))</x:f>
      </x:c>
      <x:c r="W16" s="43" t="str">
        <x:f>IF(P16="REVIEW","REVIEW",IF(T16=0,"REVIEW",IF(S16=0,"NEEDS PRICE","READY")))</x:f>
        <x:v>REVIEW</x:v>
      </x:c>
    </x:row>
    <x:row r="17" ht="15" hidden="0" customHeight="1">
      <x:c r="A17" s="43" t="str">
        <x:v>SPEC-2F178D1F8472</x:v>
      </x:c>
      <x:c r="B17" s="43" t="str">
        <x:v>CLOSER</x:v>
      </x:c>
      <x:c r="C17" s="43" t="str">
        <x:v>SURFACE CLOSER</x:v>
      </x:c>
      <x:c r="D17" s="43" t="str"/>
      <x:c r="E17" s="43" t="str">
        <x:v>DOOR CLOSER</x:v>
      </x:c>
      <x:c r="F17" s="43" t="str">
        <x:v>NOT APPLICABLE</x:v>
      </x:c>
      <x:c r="G17" s="43" t="str"/>
      <x:c r="H17" s="43" t="str"/>
      <x:c r="I17" s="43" t="str"/>
      <x:c r="J17" s="43" t="str">
        <x:v>HOLD OPEN SPRING CUSHION</x:v>
      </x:c>
      <x:c r="K17" s="43" t="str"/>
      <x:c r="L17" s="43" t="str"/>
      <x:c r="M17" s="43" t="str">
        <x:v>689</x:v>
      </x:c>
      <x:c r="N17" s="43" t="str"/>
      <x:c r="O17" s="43" t="str"/>
      <x:c r="P17" s="43" t="str">
        <x:v>HIGH</x:v>
      </x:c>
      <x:c r="Q17" s="53" t="n">
        <x:f>COUNTIF('Vendor Options'!$B$2:$B$284,A17)</x:f>
        <x:v>1</x:v>
      </x:c>
      <x:c r="R17" s="53" t="n">
        <x:f>COUNTA(_xlfn.UNIQUE(_xlfn._xlws.FILTER('Vendor Options'!$C$2:$C$284,'Vendor Options'!$B$2:$B$284=A17)))</x:f>
        <x:v>1</x:v>
      </x:c>
      <x:c r="S17" s="53" t="n">
        <x:f>COUNTIFS('Vendor Options'!$B$2:$B$284,A17,'Vendor Options'!$P$2:$P$284,"PRICED")</x:f>
        <x:v>0</x:v>
      </x:c>
      <x:c r="T17" s="53" t="n">
        <x:f>COUNTIFS('Vendor Options'!$B$2:$B$284,A17,'Vendor Options'!$Q$2:$Q$284,"ACTIVE")</x:f>
        <x:v>1</x:v>
      </x:c>
      <x:c r="U17" s="54" t="str">
        <x:f>IF(S17=0,"",MIN(_xlfn._xlws.FILTER('Vendor Options'!$N$2:$N$284,('Vendor Options'!$B$2:$B$284=A17)*('Vendor Options'!$P$2:$P$284="PRICED"))))</x:f>
      </x:c>
      <x:c r="V17" s="54" t="str">
        <x:f>IF(S17=0,"",MAXIFS('Vendor Options'!$N$2:$N$284,'Vendor Options'!$B$2:$B$284,A17,'Vendor Options'!$P$2:$P$284,"PRICED"))</x:f>
      </x:c>
      <x:c r="W17" s="43" t="str">
        <x:f>IF(P17="REVIEW","REVIEW",IF(T17=0,"REVIEW",IF(S17=0,"NEEDS PRICE","READY")))</x:f>
        <x:v>NEEDS PRICE</x:v>
      </x:c>
    </x:row>
    <x:row r="18" ht="15" hidden="0" customHeight="1">
      <x:c r="A18" s="43" t="str">
        <x:v>SPEC-7396E555AC12</x:v>
      </x:c>
      <x:c r="B18" s="43" t="str">
        <x:v>CLOSER</x:v>
      </x:c>
      <x:c r="C18" s="43" t="str">
        <x:v>SURFACE CLOSER</x:v>
      </x:c>
      <x:c r="D18" s="43" t="str"/>
      <x:c r="E18" s="43" t="str">
        <x:v>DOOR CLOSER</x:v>
      </x:c>
      <x:c r="F18" s="43" t="str">
        <x:v>NOT APPLICABLE</x:v>
      </x:c>
      <x:c r="G18" s="43" t="str"/>
      <x:c r="H18" s="43" t="str"/>
      <x:c r="I18" s="43" t="str"/>
      <x:c r="J18" s="43" t="str">
        <x:v>REGULAR ARM</x:v>
      </x:c>
      <x:c r="K18" s="43" t="str"/>
      <x:c r="L18" s="43" t="str"/>
      <x:c r="M18" s="43" t="str">
        <x:v>689</x:v>
      </x:c>
      <x:c r="N18" s="43" t="str"/>
      <x:c r="O18" s="43" t="str"/>
      <x:c r="P18" s="43" t="str">
        <x:v>HIGH</x:v>
      </x:c>
      <x:c r="Q18" s="53" t="n">
        <x:f>COUNTIF('Vendor Options'!$B$2:$B$284,A18)</x:f>
        <x:v>6</x:v>
      </x:c>
      <x:c r="R18" s="53" t="n">
        <x:f>COUNTA(_xlfn.UNIQUE(_xlfn._xlws.FILTER('Vendor Options'!$C$2:$C$284,'Vendor Options'!$B$2:$B$284=A18)))</x:f>
        <x:v>3</x:v>
      </x:c>
      <x:c r="S18" s="53" t="n">
        <x:f>COUNTIFS('Vendor Options'!$B$2:$B$284,A18,'Vendor Options'!$P$2:$P$284,"PRICED")</x:f>
        <x:v>0</x:v>
      </x:c>
      <x:c r="T18" s="53" t="n">
        <x:f>COUNTIFS('Vendor Options'!$B$2:$B$284,A18,'Vendor Options'!$Q$2:$Q$284,"ACTIVE")</x:f>
        <x:v>6</x:v>
      </x:c>
      <x:c r="U18" s="54" t="str">
        <x:f>IF(S18=0,"",MIN(_xlfn._xlws.FILTER('Vendor Options'!$N$2:$N$284,('Vendor Options'!$B$2:$B$284=A18)*('Vendor Options'!$P$2:$P$284="PRICED"))))</x:f>
      </x:c>
      <x:c r="V18" s="54" t="str">
        <x:f>IF(S18=0,"",MAXIFS('Vendor Options'!$N$2:$N$284,'Vendor Options'!$B$2:$B$284,A18,'Vendor Options'!$P$2:$P$284,"PRICED"))</x:f>
      </x:c>
      <x:c r="W18" s="43" t="str">
        <x:f>IF(P18="REVIEW","REVIEW",IF(T18=0,"REVIEW",IF(S18=0,"NEEDS PRICE","READY")))</x:f>
        <x:v>NEEDS PRICE</x:v>
      </x:c>
    </x:row>
    <x:row r="19" ht="15" hidden="0" customHeight="1">
      <x:c r="A19" s="43" t="str">
        <x:v>SPEC-B28DC94068D5</x:v>
      </x:c>
      <x:c r="B19" s="43" t="str">
        <x:v>CLOSER</x:v>
      </x:c>
      <x:c r="C19" s="43" t="str">
        <x:v>SURFACE CLOSER</x:v>
      </x:c>
      <x:c r="D19" s="43" t="str"/>
      <x:c r="E19" s="43" t="str">
        <x:v>DOOR CLOSER</x:v>
      </x:c>
      <x:c r="F19" s="43" t="str">
        <x:v>NOT APPLICABLE</x:v>
      </x:c>
      <x:c r="G19" s="43" t="str"/>
      <x:c r="H19" s="43" t="str"/>
      <x:c r="I19" s="43" t="str"/>
      <x:c r="J19" s="43" t="str"/>
      <x:c r="K19" s="43" t="str"/>
      <x:c r="L19" s="43" t="str"/>
      <x:c r="M19" s="43" t="str">
        <x:v>689</x:v>
      </x:c>
      <x:c r="N19" s="43" t="str"/>
      <x:c r="O19" s="43" t="str"/>
      <x:c r="P19" s="43" t="str">
        <x:v>REVIEW</x:v>
      </x:c>
      <x:c r="Q19" s="53" t="n">
        <x:f>COUNTIF('Vendor Options'!$B$2:$B$284,A19)</x:f>
        <x:v>1</x:v>
      </x:c>
      <x:c r="R19" s="53" t="n">
        <x:f>COUNTA(_xlfn.UNIQUE(_xlfn._xlws.FILTER('Vendor Options'!$C$2:$C$284,'Vendor Options'!$B$2:$B$284=A19)))</x:f>
        <x:v>1</x:v>
      </x:c>
      <x:c r="S19" s="53" t="n">
        <x:f>COUNTIFS('Vendor Options'!$B$2:$B$284,A19,'Vendor Options'!$P$2:$P$284,"PRICED")</x:f>
        <x:v>0</x:v>
      </x:c>
      <x:c r="T19" s="53" t="n">
        <x:f>COUNTIFS('Vendor Options'!$B$2:$B$284,A19,'Vendor Options'!$Q$2:$Q$284,"ACTIVE")</x:f>
        <x:v>0</x:v>
      </x:c>
      <x:c r="U19" s="54" t="str">
        <x:f>IF(S19=0,"",MIN(_xlfn._xlws.FILTER('Vendor Options'!$N$2:$N$284,('Vendor Options'!$B$2:$B$284=A19)*('Vendor Options'!$P$2:$P$284="PRICED"))))</x:f>
      </x:c>
      <x:c r="V19" s="54" t="str">
        <x:f>IF(S19=0,"",MAXIFS('Vendor Options'!$N$2:$N$284,'Vendor Options'!$B$2:$B$284,A19,'Vendor Options'!$P$2:$P$284,"PRICED"))</x:f>
      </x:c>
      <x:c r="W19" s="43" t="str">
        <x:f>IF(P19="REVIEW","REVIEW",IF(T19=0,"REVIEW",IF(S19=0,"NEEDS PRICE","READY")))</x:f>
        <x:v>REVIEW</x:v>
      </x:c>
    </x:row>
    <x:row r="20" ht="15" hidden="0" customHeight="1">
      <x:c r="A20" s="43" t="str">
        <x:v>SPEC-B3940214D4B6</x:v>
      </x:c>
      <x:c r="B20" s="43" t="str">
        <x:v>CLOSER</x:v>
      </x:c>
      <x:c r="C20" s="43" t="str">
        <x:v>SURFACE CLOSER</x:v>
      </x:c>
      <x:c r="D20" s="43" t="str"/>
      <x:c r="E20" s="43" t="str">
        <x:v>DOOR CLOSER</x:v>
      </x:c>
      <x:c r="F20" s="43" t="str">
        <x:v>NOT APPLICABLE</x:v>
      </x:c>
      <x:c r="G20" s="43" t="str"/>
      <x:c r="H20" s="43" t="str"/>
      <x:c r="I20" s="43" t="str"/>
      <x:c r="J20" s="43" t="str"/>
      <x:c r="K20" s="43" t="str"/>
      <x:c r="L20" s="43" t="str"/>
      <x:c r="M20" s="43" t="str">
        <x:v>689</x:v>
      </x:c>
      <x:c r="N20" s="43" t="str"/>
      <x:c r="O20" s="43" t="str"/>
      <x:c r="P20" s="43" t="str">
        <x:v>REVIEW</x:v>
      </x:c>
      <x:c r="Q20" s="53" t="n">
        <x:f>COUNTIF('Vendor Options'!$B$2:$B$284,A20)</x:f>
        <x:v>1</x:v>
      </x:c>
      <x:c r="R20" s="53" t="n">
        <x:f>COUNTA(_xlfn.UNIQUE(_xlfn._xlws.FILTER('Vendor Options'!$C$2:$C$284,'Vendor Options'!$B$2:$B$284=A20)))</x:f>
        <x:v>1</x:v>
      </x:c>
      <x:c r="S20" s="53" t="n">
        <x:f>COUNTIFS('Vendor Options'!$B$2:$B$284,A20,'Vendor Options'!$P$2:$P$284,"PRICED")</x:f>
        <x:v>0</x:v>
      </x:c>
      <x:c r="T20" s="53" t="n">
        <x:f>COUNTIFS('Vendor Options'!$B$2:$B$284,A20,'Vendor Options'!$Q$2:$Q$284,"ACTIVE")</x:f>
        <x:v>0</x:v>
      </x:c>
      <x:c r="U20" s="54" t="str">
        <x:f>IF(S20=0,"",MIN(_xlfn._xlws.FILTER('Vendor Options'!$N$2:$N$284,('Vendor Options'!$B$2:$B$284=A20)*('Vendor Options'!$P$2:$P$284="PRICED"))))</x:f>
      </x:c>
      <x:c r="V20" s="54" t="str">
        <x:f>IF(S20=0,"",MAXIFS('Vendor Options'!$N$2:$N$284,'Vendor Options'!$B$2:$B$284,A20,'Vendor Options'!$P$2:$P$284,"PRICED"))</x:f>
      </x:c>
      <x:c r="W20" s="43" t="str">
        <x:f>IF(P20="REVIEW","REVIEW",IF(T20=0,"REVIEW",IF(S20=0,"NEEDS PRICE","READY")))</x:f>
        <x:v>REVIEW</x:v>
      </x:c>
    </x:row>
    <x:row r="21" ht="15" hidden="0" customHeight="1">
      <x:c r="A21" s="43" t="str">
        <x:v>SPEC-E61CB9AEB56F</x:v>
      </x:c>
      <x:c r="B21" s="43" t="str">
        <x:v>CLOSER</x:v>
      </x:c>
      <x:c r="C21" s="43" t="str">
        <x:v>SURFACE CLOSER</x:v>
      </x:c>
      <x:c r="D21" s="43" t="str"/>
      <x:c r="E21" s="43" t="str">
        <x:v>DOOR CLOSER</x:v>
      </x:c>
      <x:c r="F21" s="43" t="str">
        <x:v>NOT APPLICABLE</x:v>
      </x:c>
      <x:c r="G21" s="43" t="str"/>
      <x:c r="H21" s="43" t="str"/>
      <x:c r="I21" s="43" t="str"/>
      <x:c r="J21" s="43" t="str">
        <x:v>HOLD OPEN CUSHION</x:v>
      </x:c>
      <x:c r="K21" s="43" t="str"/>
      <x:c r="L21" s="43" t="str"/>
      <x:c r="M21" s="43" t="str">
        <x:v>689</x:v>
      </x:c>
      <x:c r="N21" s="43" t="str"/>
      <x:c r="O21" s="43" t="str"/>
      <x:c r="P21" s="43" t="str">
        <x:v>HIGH</x:v>
      </x:c>
      <x:c r="Q21" s="53" t="n">
        <x:f>COUNTIF('Vendor Options'!$B$2:$B$284,A21)</x:f>
        <x:v>2</x:v>
      </x:c>
      <x:c r="R21" s="53" t="n">
        <x:f>COUNTA(_xlfn.UNIQUE(_xlfn._xlws.FILTER('Vendor Options'!$C$2:$C$284,'Vendor Options'!$B$2:$B$284=A21)))</x:f>
        <x:v>1</x:v>
      </x:c>
      <x:c r="S21" s="53" t="n">
        <x:f>COUNTIFS('Vendor Options'!$B$2:$B$284,A21,'Vendor Options'!$P$2:$P$284,"PRICED")</x:f>
        <x:v>0</x:v>
      </x:c>
      <x:c r="T21" s="53" t="n">
        <x:f>COUNTIFS('Vendor Options'!$B$2:$B$284,A21,'Vendor Options'!$Q$2:$Q$284,"ACTIVE")</x:f>
        <x:v>2</x:v>
      </x:c>
      <x:c r="U21" s="54" t="str">
        <x:f>IF(S21=0,"",MIN(_xlfn._xlws.FILTER('Vendor Options'!$N$2:$N$284,('Vendor Options'!$B$2:$B$284=A21)*('Vendor Options'!$P$2:$P$284="PRICED"))))</x:f>
      </x:c>
      <x:c r="V21" s="54" t="str">
        <x:f>IF(S21=0,"",MAXIFS('Vendor Options'!$N$2:$N$284,'Vendor Options'!$B$2:$B$284,A21,'Vendor Options'!$P$2:$P$284,"PRICED"))</x:f>
      </x:c>
      <x:c r="W21" s="43" t="str">
        <x:f>IF(P21="REVIEW","REVIEW",IF(T21=0,"REVIEW",IF(S21=0,"NEEDS PRICE","READY")))</x:f>
        <x:v>NEEDS PRICE</x:v>
      </x:c>
    </x:row>
    <x:row r="22" ht="15" hidden="0" customHeight="1">
      <x:c r="A22" s="43" t="str">
        <x:v>SPEC-F1DE3D632C62</x:v>
      </x:c>
      <x:c r="B22" s="43" t="str">
        <x:v>CLOSER</x:v>
      </x:c>
      <x:c r="C22" s="43" t="str">
        <x:v>SURFACE CLOSER</x:v>
      </x:c>
      <x:c r="D22" s="43" t="str"/>
      <x:c r="E22" s="43" t="str">
        <x:v>DOOR CLOSER</x:v>
      </x:c>
      <x:c r="F22" s="43" t="str">
        <x:v>NOT APPLICABLE</x:v>
      </x:c>
      <x:c r="G22" s="43" t="str"/>
      <x:c r="H22" s="43" t="str"/>
      <x:c r="I22" s="43" t="str"/>
      <x:c r="J22" s="43" t="str">
        <x:v>HOLD OPEN ARM</x:v>
      </x:c>
      <x:c r="K22" s="43" t="str"/>
      <x:c r="L22" s="43" t="str"/>
      <x:c r="M22" s="43" t="str">
        <x:v>689</x:v>
      </x:c>
      <x:c r="N22" s="43" t="str"/>
      <x:c r="O22" s="43" t="str"/>
      <x:c r="P22" s="43" t="str">
        <x:v>HIGH</x:v>
      </x:c>
      <x:c r="Q22" s="53" t="n">
        <x:f>COUNTIF('Vendor Options'!$B$2:$B$284,A22)</x:f>
        <x:v>2</x:v>
      </x:c>
      <x:c r="R22" s="53" t="n">
        <x:f>COUNTA(_xlfn.UNIQUE(_xlfn._xlws.FILTER('Vendor Options'!$C$2:$C$284,'Vendor Options'!$B$2:$B$284=A22)))</x:f>
        <x:v>1</x:v>
      </x:c>
      <x:c r="S22" s="53" t="n">
        <x:f>COUNTIFS('Vendor Options'!$B$2:$B$284,A22,'Vendor Options'!$P$2:$P$284,"PRICED")</x:f>
        <x:v>0</x:v>
      </x:c>
      <x:c r="T22" s="53" t="n">
        <x:f>COUNTIFS('Vendor Options'!$B$2:$B$284,A22,'Vendor Options'!$Q$2:$Q$284,"ACTIVE")</x:f>
        <x:v>2</x:v>
      </x:c>
      <x:c r="U22" s="54" t="str">
        <x:f>IF(S22=0,"",MIN(_xlfn._xlws.FILTER('Vendor Options'!$N$2:$N$284,('Vendor Options'!$B$2:$B$284=A22)*('Vendor Options'!$P$2:$P$284="PRICED"))))</x:f>
      </x:c>
      <x:c r="V22" s="54" t="str">
        <x:f>IF(S22=0,"",MAXIFS('Vendor Options'!$N$2:$N$284,'Vendor Options'!$B$2:$B$284,A22,'Vendor Options'!$P$2:$P$284,"PRICED"))</x:f>
      </x:c>
      <x:c r="W22" s="43" t="str">
        <x:f>IF(P22="REVIEW","REVIEW",IF(T22=0,"REVIEW",IF(S22=0,"NEEDS PRICE","READY")))</x:f>
        <x:v>NEEDS PRICE</x:v>
      </x:c>
    </x:row>
    <x:row r="23" ht="15" hidden="0" customHeight="1">
      <x:c r="A23" s="43" t="str">
        <x:v>SPEC-163ABA1E6026</x:v>
      </x:c>
      <x:c r="B23" s="43" t="str">
        <x:v>CLOSER</x:v>
      </x:c>
      <x:c r="C23" s="43" t="str">
        <x:v>SURFACE CLOSER</x:v>
      </x:c>
      <x:c r="D23" s="43" t="str"/>
      <x:c r="E23" s="43" t="str">
        <x:v>DOOR CLOSER</x:v>
      </x:c>
      <x:c r="F23" s="43" t="str">
        <x:v>NOT APPLICABLE</x:v>
      </x:c>
      <x:c r="G23" s="43" t="str"/>
      <x:c r="H23" s="43" t="str"/>
      <x:c r="I23" s="43" t="str">
        <x:v>INSTITUTIONAL</x:v>
      </x:c>
      <x:c r="J23" s="43" t="str"/>
      <x:c r="K23" s="43" t="str"/>
      <x:c r="L23" s="43" t="str"/>
      <x:c r="M23" s="43" t="str">
        <x:v>ALUMINUM SPRAY</x:v>
      </x:c>
      <x:c r="N23" s="43" t="str"/>
      <x:c r="O23" s="43" t="str"/>
      <x:c r="P23" s="43" t="str">
        <x:v>HIGH</x:v>
      </x:c>
      <x:c r="Q23" s="53" t="n">
        <x:f>COUNTIF('Vendor Options'!$B$2:$B$284,A23)</x:f>
        <x:v>1</x:v>
      </x:c>
      <x:c r="R23" s="53" t="n">
        <x:f>COUNTA(_xlfn.UNIQUE(_xlfn._xlws.FILTER('Vendor Options'!$C$2:$C$284,'Vendor Options'!$B$2:$B$284=A23)))</x:f>
        <x:v>1</x:v>
      </x:c>
      <x:c r="S23" s="53" t="n">
        <x:f>COUNTIFS('Vendor Options'!$B$2:$B$284,A23,'Vendor Options'!$P$2:$P$284,"PRICED")</x:f>
        <x:v>0</x:v>
      </x:c>
      <x:c r="T23" s="53" t="n">
        <x:f>COUNTIFS('Vendor Options'!$B$2:$B$284,A23,'Vendor Options'!$Q$2:$Q$284,"ACTIVE")</x:f>
        <x:v>1</x:v>
      </x:c>
      <x:c r="U23" s="54" t="str">
        <x:f>IF(S23=0,"",MIN(_xlfn._xlws.FILTER('Vendor Options'!$N$2:$N$284,('Vendor Options'!$B$2:$B$284=A23)*('Vendor Options'!$P$2:$P$284="PRICED"))))</x:f>
      </x:c>
      <x:c r="V23" s="54" t="str">
        <x:f>IF(S23=0,"",MAXIFS('Vendor Options'!$N$2:$N$284,'Vendor Options'!$B$2:$B$284,A23,'Vendor Options'!$P$2:$P$284,"PRICED"))</x:f>
      </x:c>
      <x:c r="W23" s="43" t="str">
        <x:f>IF(P23="REVIEW","REVIEW",IF(T23=0,"REVIEW",IF(S23=0,"NEEDS PRICE","READY")))</x:f>
        <x:v>NEEDS PRICE</x:v>
      </x:c>
    </x:row>
    <x:row r="24" ht="15" hidden="0" customHeight="1">
      <x:c r="A24" s="43" t="str">
        <x:v>SPEC-2A2BB6A51907</x:v>
      </x:c>
      <x:c r="B24" s="43" t="str">
        <x:v>CLOSER</x:v>
      </x:c>
      <x:c r="C24" s="43" t="str">
        <x:v>SURFACE CLOSER</x:v>
      </x:c>
      <x:c r="D24" s="43" t="str"/>
      <x:c r="E24" s="43" t="str">
        <x:v>DOOR CLOSER</x:v>
      </x:c>
      <x:c r="F24" s="43" t="str">
        <x:v>NOT APPLICABLE</x:v>
      </x:c>
      <x:c r="G24" s="43" t="str"/>
      <x:c r="H24" s="43" t="str"/>
      <x:c r="I24" s="43" t="str">
        <x:v>MEDIUM DUTY</x:v>
      </x:c>
      <x:c r="J24" s="43" t="str">
        <x:v>HOLD OPEN ARM</x:v>
      </x:c>
      <x:c r="K24" s="43" t="str"/>
      <x:c r="L24" s="43" t="str"/>
      <x:c r="M24" s="43" t="str">
        <x:v>ALUMINUM SPRAY</x:v>
      </x:c>
      <x:c r="N24" s="43" t="str"/>
      <x:c r="O24" s="43" t="str"/>
      <x:c r="P24" s="43" t="str">
        <x:v>HIGH</x:v>
      </x:c>
      <x:c r="Q24" s="53" t="n">
        <x:f>COUNTIF('Vendor Options'!$B$2:$B$284,A24)</x:f>
        <x:v>1</x:v>
      </x:c>
      <x:c r="R24" s="53" t="n">
        <x:f>COUNTA(_xlfn.UNIQUE(_xlfn._xlws.FILTER('Vendor Options'!$C$2:$C$284,'Vendor Options'!$B$2:$B$284=A24)))</x:f>
        <x:v>1</x:v>
      </x:c>
      <x:c r="S24" s="53" t="n">
        <x:f>COUNTIFS('Vendor Options'!$B$2:$B$284,A24,'Vendor Options'!$P$2:$P$284,"PRICED")</x:f>
        <x:v>0</x:v>
      </x:c>
      <x:c r="T24" s="53" t="n">
        <x:f>COUNTIFS('Vendor Options'!$B$2:$B$284,A24,'Vendor Options'!$Q$2:$Q$284,"ACTIVE")</x:f>
        <x:v>1</x:v>
      </x:c>
      <x:c r="U24" s="54" t="str">
        <x:f>IF(S24=0,"",MIN(_xlfn._xlws.FILTER('Vendor Options'!$N$2:$N$284,('Vendor Options'!$B$2:$B$284=A24)*('Vendor Options'!$P$2:$P$284="PRICED"))))</x:f>
      </x:c>
      <x:c r="V24" s="54" t="str">
        <x:f>IF(S24=0,"",MAXIFS('Vendor Options'!$N$2:$N$284,'Vendor Options'!$B$2:$B$284,A24,'Vendor Options'!$P$2:$P$284,"PRICED"))</x:f>
      </x:c>
      <x:c r="W24" s="43" t="str">
        <x:f>IF(P24="REVIEW","REVIEW",IF(T24=0,"REVIEW",IF(S24=0,"NEEDS PRICE","READY")))</x:f>
        <x:v>NEEDS PRICE</x:v>
      </x:c>
    </x:row>
    <x:row r="25" ht="15" hidden="0" customHeight="1">
      <x:c r="A25" s="43" t="str">
        <x:v>SPEC-7C72CC593688</x:v>
      </x:c>
      <x:c r="B25" s="43" t="str">
        <x:v>DEADBOLT</x:v>
      </x:c>
      <x:c r="C25" s="43" t="str">
        <x:v>CLASSROOM DEADBOLT</x:v>
      </x:c>
      <x:c r="D25" s="43" t="str"/>
      <x:c r="E25" s="43" t="str">
        <x:v>CLASSROOM</x:v>
      </x:c>
      <x:c r="F25" s="43" t="str">
        <x:v>LFIC</x:v>
      </x:c>
      <x:c r="G25" s="43" t="str"/>
      <x:c r="H25" s="43" t="str"/>
      <x:c r="I25" s="43" t="str"/>
      <x:c r="J25" s="43" t="str"/>
      <x:c r="K25" s="43" t="str"/>
      <x:c r="L25" s="43" t="str"/>
      <x:c r="M25" s="43" t="str">
        <x:v>626</x:v>
      </x:c>
      <x:c r="N25" s="43" t="str"/>
      <x:c r="O25" s="43" t="str"/>
      <x:c r="P25" s="43" t="str">
        <x:v>HIGH</x:v>
      </x:c>
      <x:c r="Q25" s="53" t="n">
        <x:f>COUNTIF('Vendor Options'!$B$2:$B$284,A25)</x:f>
        <x:v>1</x:v>
      </x:c>
      <x:c r="R25" s="53" t="n">
        <x:f>COUNTA(_xlfn.UNIQUE(_xlfn._xlws.FILTER('Vendor Options'!$C$2:$C$284,'Vendor Options'!$B$2:$B$284=A25)))</x:f>
        <x:v>1</x:v>
      </x:c>
      <x:c r="S25" s="53" t="n">
        <x:f>COUNTIFS('Vendor Options'!$B$2:$B$284,A25,'Vendor Options'!$P$2:$P$284,"PRICED")</x:f>
        <x:v>1</x:v>
      </x:c>
      <x:c r="T25" s="53" t="n">
        <x:f>COUNTIFS('Vendor Options'!$B$2:$B$284,A25,'Vendor Options'!$Q$2:$Q$284,"ACTIVE")</x:f>
        <x:v>1</x:v>
      </x:c>
      <x:c r="U25" s="54" t="n">
        <x:f>IF(S25=0,"",MIN(_xlfn._xlws.FILTER('Vendor Options'!$N$2:$N$284,('Vendor Options'!$B$2:$B$284=A25)*('Vendor Options'!$P$2:$P$284="PRICED"))))</x:f>
        <x:v>150.89</x:v>
      </x:c>
      <x:c r="V25" s="54" t="n">
        <x:f>IF(S25=0,"",MAXIFS('Vendor Options'!$N$2:$N$284,'Vendor Options'!$B$2:$B$284,A25,'Vendor Options'!$P$2:$P$284,"PRICED"))</x:f>
        <x:v>150.89</x:v>
      </x:c>
      <x:c r="W25" s="43" t="str">
        <x:f>IF(P25="REVIEW","REVIEW",IF(T25=0,"REVIEW",IF(S25=0,"NEEDS PRICE","READY")))</x:f>
        <x:v>READY</x:v>
      </x:c>
    </x:row>
    <x:row r="26" ht="15" hidden="0" customHeight="1">
      <x:c r="A26" s="43" t="str">
        <x:v>SPEC-7F8EB42856A9</x:v>
      </x:c>
      <x:c r="B26" s="43" t="str">
        <x:v>DEADBOLT</x:v>
      </x:c>
      <x:c r="C26" s="43" t="str">
        <x:v>CLASSROOM DEADBOLT</x:v>
      </x:c>
      <x:c r="D26" s="43" t="str"/>
      <x:c r="E26" s="43" t="str">
        <x:v>CLASSROOM</x:v>
      </x:c>
      <x:c r="F26" s="43" t="str">
        <x:v>SFIC</x:v>
      </x:c>
      <x:c r="G26" s="43" t="str"/>
      <x:c r="H26" s="43" t="str"/>
      <x:c r="I26" s="43" t="str"/>
      <x:c r="J26" s="43" t="str"/>
      <x:c r="K26" s="43" t="str"/>
      <x:c r="L26" s="43" t="str"/>
      <x:c r="M26" s="43" t="str">
        <x:v>626</x:v>
      </x:c>
      <x:c r="N26" s="43" t="str"/>
      <x:c r="O26" s="43" t="str"/>
      <x:c r="P26" s="43" t="str">
        <x:v>HIGH</x:v>
      </x:c>
      <x:c r="Q26" s="53" t="n">
        <x:f>COUNTIF('Vendor Options'!$B$2:$B$284,A26)</x:f>
        <x:v>2</x:v>
      </x:c>
      <x:c r="R26" s="53" t="n">
        <x:f>COUNTA(_xlfn.UNIQUE(_xlfn._xlws.FILTER('Vendor Options'!$C$2:$C$284,'Vendor Options'!$B$2:$B$284=A26)))</x:f>
        <x:v>2</x:v>
      </x:c>
      <x:c r="S26" s="53" t="n">
        <x:f>COUNTIFS('Vendor Options'!$B$2:$B$284,A26,'Vendor Options'!$P$2:$P$284,"PRICED")</x:f>
        <x:v>2</x:v>
      </x:c>
      <x:c r="T26" s="53" t="n">
        <x:f>COUNTIFS('Vendor Options'!$B$2:$B$284,A26,'Vendor Options'!$Q$2:$Q$284,"ACTIVE")</x:f>
        <x:v>2</x:v>
      </x:c>
      <x:c r="U26" s="54" t="n">
        <x:f>IF(S26=0,"",MIN(_xlfn._xlws.FILTER('Vendor Options'!$N$2:$N$284,('Vendor Options'!$B$2:$B$284=A26)*('Vendor Options'!$P$2:$P$284="PRICED"))))</x:f>
        <x:v>110.96</x:v>
      </x:c>
      <x:c r="V26" s="54" t="n">
        <x:f>IF(S26=0,"",MAXIFS('Vendor Options'!$N$2:$N$284,'Vendor Options'!$B$2:$B$284,A26,'Vendor Options'!$P$2:$P$284,"PRICED"))</x:f>
        <x:v>179.5</x:v>
      </x:c>
      <x:c r="W26" s="43" t="str">
        <x:f>IF(P26="REVIEW","REVIEW",IF(T26=0,"REVIEW",IF(S26=0,"NEEDS PRICE","READY")))</x:f>
        <x:v>READY</x:v>
      </x:c>
    </x:row>
    <x:row r="27" ht="15" hidden="0" customHeight="1">
      <x:c r="A27" s="43" t="str">
        <x:v>SPEC-7EAD2E558CB5</x:v>
      </x:c>
      <x:c r="B27" s="43" t="str">
        <x:v>DEADBOLT</x:v>
      </x:c>
      <x:c r="C27" s="43" t="str">
        <x:v>CLASSROOM DEADBOLT</x:v>
      </x:c>
      <x:c r="D27" s="43" t="str"/>
      <x:c r="E27" s="43" t="str">
        <x:v>CLASSROOM</x:v>
      </x:c>
      <x:c r="F27" s="43" t="str">
        <x:v>STANDARD</x:v>
      </x:c>
      <x:c r="G27" s="43" t="str"/>
      <x:c r="H27" s="43" t="str"/>
      <x:c r="I27" s="43" t="str"/>
      <x:c r="J27" s="43" t="str"/>
      <x:c r="K27" s="43" t="str"/>
      <x:c r="L27" s="43" t="str"/>
      <x:c r="M27" s="43" t="str">
        <x:v>626</x:v>
      </x:c>
      <x:c r="N27" s="43" t="str"/>
      <x:c r="O27" s="43" t="str"/>
      <x:c r="P27" s="43" t="str">
        <x:v>HIGH</x:v>
      </x:c>
      <x:c r="Q27" s="53" t="n">
        <x:f>COUNTIF('Vendor Options'!$B$2:$B$284,A27)</x:f>
        <x:v>1</x:v>
      </x:c>
      <x:c r="R27" s="53" t="n">
        <x:f>COUNTA(_xlfn.UNIQUE(_xlfn._xlws.FILTER('Vendor Options'!$C$2:$C$284,'Vendor Options'!$B$2:$B$284=A27)))</x:f>
        <x:v>1</x:v>
      </x:c>
      <x:c r="S27" s="53" t="n">
        <x:f>COUNTIFS('Vendor Options'!$B$2:$B$284,A27,'Vendor Options'!$P$2:$P$284,"PRICED")</x:f>
        <x:v>1</x:v>
      </x:c>
      <x:c r="T27" s="53" t="n">
        <x:f>COUNTIFS('Vendor Options'!$B$2:$B$284,A27,'Vendor Options'!$Q$2:$Q$284,"ACTIVE")</x:f>
        <x:v>0</x:v>
      </x:c>
      <x:c r="U27" s="54" t="n">
        <x:f>IF(S27=0,"",MIN(_xlfn._xlws.FILTER('Vendor Options'!$N$2:$N$284,('Vendor Options'!$B$2:$B$284=A27)*('Vendor Options'!$P$2:$P$284="PRICED"))))</x:f>
        <x:v>110.96</x:v>
      </x:c>
      <x:c r="V27" s="54" t="n">
        <x:f>IF(S27=0,"",MAXIFS('Vendor Options'!$N$2:$N$284,'Vendor Options'!$B$2:$B$284,A27,'Vendor Options'!$P$2:$P$284,"PRICED"))</x:f>
        <x:v>110.96</x:v>
      </x:c>
      <x:c r="W27" s="43" t="str">
        <x:f>IF(P27="REVIEW","REVIEW",IF(T27=0,"REVIEW",IF(S27=0,"NEEDS PRICE","READY")))</x:f>
        <x:v>REVIEW</x:v>
      </x:c>
    </x:row>
    <x:row r="28" ht="15" hidden="0" customHeight="1">
      <x:c r="A28" s="43" t="str">
        <x:v>SPEC-4CA2AA9D327A</x:v>
      </x:c>
      <x:c r="B28" s="43" t="str">
        <x:v>DEADBOLT</x:v>
      </x:c>
      <x:c r="C28" s="43" t="str">
        <x:v>DEADBOLT</x:v>
      </x:c>
      <x:c r="D28" s="43" t="str"/>
      <x:c r="E28" s="43" t="str">
        <x:v>8 SERIES G1 STD DB</x:v>
      </x:c>
      <x:c r="F28" s="43" t="str">
        <x:v>SFIC</x:v>
      </x:c>
      <x:c r="G28" s="43" t="str"/>
      <x:c r="H28" s="43" t="str"/>
      <x:c r="I28" s="43" t="str"/>
      <x:c r="J28" s="43" t="str"/>
      <x:c r="K28" s="43" t="str"/>
      <x:c r="L28" s="43" t="str"/>
      <x:c r="M28" s="43" t="str">
        <x:v>626</x:v>
      </x:c>
      <x:c r="N28" s="43" t="str"/>
      <x:c r="O28" s="43" t="str"/>
      <x:c r="P28" s="43" t="str">
        <x:v>HIGH</x:v>
      </x:c>
      <x:c r="Q28" s="53" t="n">
        <x:f>COUNTIF('Vendor Options'!$B$2:$B$284,A28)</x:f>
        <x:v>1</x:v>
      </x:c>
      <x:c r="R28" s="53" t="n">
        <x:f>COUNTA(_xlfn.UNIQUE(_xlfn._xlws.FILTER('Vendor Options'!$C$2:$C$284,'Vendor Options'!$B$2:$B$284=A28)))</x:f>
        <x:v>1</x:v>
      </x:c>
      <x:c r="S28" s="53" t="n">
        <x:f>COUNTIFS('Vendor Options'!$B$2:$B$284,A28,'Vendor Options'!$P$2:$P$284,"PRICED")</x:f>
        <x:v>1</x:v>
      </x:c>
      <x:c r="T28" s="53" t="n">
        <x:f>COUNTIFS('Vendor Options'!$B$2:$B$284,A28,'Vendor Options'!$Q$2:$Q$284,"ACTIVE")</x:f>
        <x:v>1</x:v>
      </x:c>
      <x:c r="U28" s="54" t="n">
        <x:f>IF(S28=0,"",MIN(_xlfn._xlws.FILTER('Vendor Options'!$N$2:$N$284,('Vendor Options'!$B$2:$B$284=A28)*('Vendor Options'!$P$2:$P$284="PRICED"))))</x:f>
        <x:v>179.5</x:v>
      </x:c>
      <x:c r="V28" s="54" t="n">
        <x:f>IF(S28=0,"",MAXIFS('Vendor Options'!$N$2:$N$284,'Vendor Options'!$B$2:$B$284,A28,'Vendor Options'!$P$2:$P$284,"PRICED"))</x:f>
        <x:v>179.5</x:v>
      </x:c>
      <x:c r="W28" s="43" t="str">
        <x:f>IF(P28="REVIEW","REVIEW",IF(T28=0,"REVIEW",IF(S28=0,"NEEDS PRICE","READY")))</x:f>
        <x:v>READY</x:v>
      </x:c>
    </x:row>
    <x:row r="29" ht="15" hidden="0" customHeight="1">
      <x:c r="A29" s="43" t="str">
        <x:v>SPEC-F8964A11918A</x:v>
      </x:c>
      <x:c r="B29" s="43" t="str">
        <x:v>DEADBOLT</x:v>
      </x:c>
      <x:c r="C29" s="43" t="str">
        <x:v>DEADBOLT</x:v>
      </x:c>
      <x:c r="D29" s="43" t="str"/>
      <x:c r="E29" s="43" t="str">
        <x:v>B660B G1 6 PIN INDICATOR</x:v>
      </x:c>
      <x:c r="F29" s="43" t="str">
        <x:v>SFIC</x:v>
      </x:c>
      <x:c r="G29" s="43" t="str"/>
      <x:c r="H29" s="43" t="str"/>
      <x:c r="I29" s="43" t="str"/>
      <x:c r="J29" s="43" t="str"/>
      <x:c r="K29" s="43" t="str"/>
      <x:c r="L29" s="43" t="str"/>
      <x:c r="M29" s="43" t="str"/>
      <x:c r="N29" s="43" t="str"/>
      <x:c r="O29" s="43" t="str"/>
      <x:c r="P29" s="43" t="str">
        <x:v>MEDIUM</x:v>
      </x:c>
      <x:c r="Q29" s="53" t="n">
        <x:f>COUNTIF('Vendor Options'!$B$2:$B$284,A29)</x:f>
        <x:v>1</x:v>
      </x:c>
      <x:c r="R29" s="53" t="n">
        <x:f>COUNTA(_xlfn.UNIQUE(_xlfn._xlws.FILTER('Vendor Options'!$C$2:$C$284,'Vendor Options'!$B$2:$B$284=A29)))</x:f>
        <x:v>1</x:v>
      </x:c>
      <x:c r="S29" s="53" t="n">
        <x:f>COUNTIFS('Vendor Options'!$B$2:$B$284,A29,'Vendor Options'!$P$2:$P$284,"PRICED")</x:f>
        <x:v>1</x:v>
      </x:c>
      <x:c r="T29" s="53" t="n">
        <x:f>COUNTIFS('Vendor Options'!$B$2:$B$284,A29,'Vendor Options'!$Q$2:$Q$284,"ACTIVE")</x:f>
        <x:v>0</x:v>
      </x:c>
      <x:c r="U29" s="54" t="n">
        <x:f>IF(S29=0,"",MIN(_xlfn._xlws.FILTER('Vendor Options'!$N$2:$N$284,('Vendor Options'!$B$2:$B$284=A29)*('Vendor Options'!$P$2:$P$284="PRICED"))))</x:f>
        <x:v>207.84</x:v>
      </x:c>
      <x:c r="V29" s="54" t="n">
        <x:f>IF(S29=0,"",MAXIFS('Vendor Options'!$N$2:$N$284,'Vendor Options'!$B$2:$B$284,A29,'Vendor Options'!$P$2:$P$284,"PRICED"))</x:f>
        <x:v>207.84</x:v>
      </x:c>
      <x:c r="W29" s="43" t="str">
        <x:f>IF(P29="REVIEW","REVIEW",IF(T29=0,"REVIEW",IF(S29=0,"NEEDS PRICE","READY")))</x:f>
        <x:v>REVIEW</x:v>
      </x:c>
    </x:row>
    <x:row r="30" ht="15" hidden="0" customHeight="1">
      <x:c r="A30" s="43" t="str">
        <x:v>SPEC-C2F54366822D</x:v>
      </x:c>
      <x:c r="B30" s="43" t="str">
        <x:v>DEADBOLT</x:v>
      </x:c>
      <x:c r="C30" s="43" t="str">
        <x:v>DEADBOLT</x:v>
      </x:c>
      <x:c r="D30" s="43" t="str"/>
      <x:c r="E30" s="43" t="str">
        <x:v>B660P G1 6 PIN INDICATOR</x:v>
      </x:c>
      <x:c r="F30" s="43" t="str">
        <x:v>STANDARD</x:v>
      </x:c>
      <x:c r="G30" s="43" t="str"/>
      <x:c r="H30" s="43" t="str"/>
      <x:c r="I30" s="43" t="str"/>
      <x:c r="J30" s="43" t="str"/>
      <x:c r="K30" s="43" t="str"/>
      <x:c r="L30" s="43" t="str"/>
      <x:c r="M30" s="43" t="str"/>
      <x:c r="N30" s="43" t="str"/>
      <x:c r="O30" s="43" t="str"/>
      <x:c r="P30" s="43" t="str">
        <x:v>MEDIUM</x:v>
      </x:c>
      <x:c r="Q30" s="53" t="n">
        <x:f>COUNTIF('Vendor Options'!$B$2:$B$284,A30)</x:f>
        <x:v>1</x:v>
      </x:c>
      <x:c r="R30" s="53" t="n">
        <x:f>COUNTA(_xlfn.UNIQUE(_xlfn._xlws.FILTER('Vendor Options'!$C$2:$C$284,'Vendor Options'!$B$2:$B$284=A30)))</x:f>
        <x:v>1</x:v>
      </x:c>
      <x:c r="S30" s="53" t="n">
        <x:f>COUNTIFS('Vendor Options'!$B$2:$B$284,A30,'Vendor Options'!$P$2:$P$284,"PRICED")</x:f>
        <x:v>1</x:v>
      </x:c>
      <x:c r="T30" s="53" t="n">
        <x:f>COUNTIFS('Vendor Options'!$B$2:$B$284,A30,'Vendor Options'!$Q$2:$Q$284,"ACTIVE")</x:f>
        <x:v>0</x:v>
      </x:c>
      <x:c r="U30" s="54" t="n">
        <x:f>IF(S30=0,"",MIN(_xlfn._xlws.FILTER('Vendor Options'!$N$2:$N$284,('Vendor Options'!$B$2:$B$284=A30)*('Vendor Options'!$P$2:$P$284="PRICED"))))</x:f>
        <x:v>207.84</x:v>
      </x:c>
      <x:c r="V30" s="54" t="n">
        <x:f>IF(S30=0,"",MAXIFS('Vendor Options'!$N$2:$N$284,'Vendor Options'!$B$2:$B$284,A30,'Vendor Options'!$P$2:$P$284,"PRICED"))</x:f>
        <x:v>207.84</x:v>
      </x:c>
      <x:c r="W30" s="43" t="str">
        <x:f>IF(P30="REVIEW","REVIEW",IF(T30=0,"REVIEW",IF(S30=0,"NEEDS PRICE","READY")))</x:f>
        <x:v>REVIEW</x:v>
      </x:c>
    </x:row>
    <x:row r="31" ht="15" hidden="0" customHeight="1">
      <x:c r="A31" s="43" t="str">
        <x:v>SPEC-26D5BBD2F119</x:v>
      </x:c>
      <x:c r="B31" s="43" t="str">
        <x:v>DEADBOLT</x:v>
      </x:c>
      <x:c r="C31" s="43" t="str">
        <x:v>DEADBOLT</x:v>
      </x:c>
      <x:c r="D31" s="43" t="str"/>
      <x:c r="E31" s="43" t="str">
        <x:v>D1S SGL CYL DEADBOLT SFIC</x:v>
      </x:c>
      <x:c r="F31" s="43" t="str">
        <x:v>SFIC</x:v>
      </x:c>
      <x:c r="G31" s="43" t="str">
        <x:v>2.75" BACKSET</x:v>
      </x:c>
      <x:c r="H31" s="43" t="str"/>
      <x:c r="I31" s="43" t="str"/>
      <x:c r="J31" s="43" t="str"/>
      <x:c r="K31" s="43" t="str"/>
      <x:c r="L31" s="43" t="str"/>
      <x:c r="M31" s="43" t="str">
        <x:v>626</x:v>
      </x:c>
      <x:c r="N31" s="43" t="str"/>
      <x:c r="O31" s="43" t="str"/>
      <x:c r="P31" s="43" t="str">
        <x:v>HIGH</x:v>
      </x:c>
      <x:c r="Q31" s="53" t="n">
        <x:f>COUNTIF('Vendor Options'!$B$2:$B$284,A31)</x:f>
        <x:v>1</x:v>
      </x:c>
      <x:c r="R31" s="53" t="n">
        <x:f>COUNTA(_xlfn.UNIQUE(_xlfn._xlws.FILTER('Vendor Options'!$C$2:$C$284,'Vendor Options'!$B$2:$B$284=A31)))</x:f>
        <x:v>1</x:v>
      </x:c>
      <x:c r="S31" s="53" t="n">
        <x:f>COUNTIFS('Vendor Options'!$B$2:$B$284,A31,'Vendor Options'!$P$2:$P$284,"PRICED")</x:f>
        <x:v>1</x:v>
      </x:c>
      <x:c r="T31" s="53" t="n">
        <x:f>COUNTIFS('Vendor Options'!$B$2:$B$284,A31,'Vendor Options'!$Q$2:$Q$284,"ACTIVE")</x:f>
        <x:v>1</x:v>
      </x:c>
      <x:c r="U31" s="54" t="n">
        <x:f>IF(S31=0,"",MIN(_xlfn._xlws.FILTER('Vendor Options'!$N$2:$N$284,('Vendor Options'!$B$2:$B$284=A31)*('Vendor Options'!$P$2:$P$284="PRICED"))))</x:f>
        <x:v>138.25</x:v>
      </x:c>
      <x:c r="V31" s="54" t="n">
        <x:f>IF(S31=0,"",MAXIFS('Vendor Options'!$N$2:$N$284,'Vendor Options'!$B$2:$B$284,A31,'Vendor Options'!$P$2:$P$284,"PRICED"))</x:f>
        <x:v>138.25</x:v>
      </x:c>
      <x:c r="W31" s="43" t="str">
        <x:f>IF(P31="REVIEW","REVIEW",IF(T31=0,"REVIEW",IF(S31=0,"NEEDS PRICE","READY")))</x:f>
        <x:v>READY</x:v>
      </x:c>
    </x:row>
    <x:row r="32" ht="15" hidden="0" customHeight="1">
      <x:c r="A32" s="43" t="str">
        <x:v>SPEC-510A92415613</x:v>
      </x:c>
      <x:c r="B32" s="43" t="str">
        <x:v>DEADBOLT</x:v>
      </x:c>
      <x:c r="C32" s="43" t="str">
        <x:v>DEADBOLT</x:v>
      </x:c>
      <x:c r="D32" s="43" t="str"/>
      <x:c r="E32" s="43" t="str">
        <x:v>D1S SGL CYL DEADBOLT</x:v>
      </x:c>
      <x:c r="F32" s="43" t="str">
        <x:v>STANDARD</x:v>
      </x:c>
      <x:c r="G32" s="43" t="str">
        <x:v>2.75" BACKSET</x:v>
      </x:c>
      <x:c r="H32" s="43" t="str"/>
      <x:c r="I32" s="43" t="str"/>
      <x:c r="J32" s="43" t="str"/>
      <x:c r="K32" s="43" t="str"/>
      <x:c r="L32" s="43" t="str"/>
      <x:c r="M32" s="43" t="str">
        <x:v>626</x:v>
      </x:c>
      <x:c r="N32" s="43" t="str"/>
      <x:c r="O32" s="43" t="str"/>
      <x:c r="P32" s="43" t="str">
        <x:v>HIGH</x:v>
      </x:c>
      <x:c r="Q32" s="53" t="n">
        <x:f>COUNTIF('Vendor Options'!$B$2:$B$284,A32)</x:f>
        <x:v>1</x:v>
      </x:c>
      <x:c r="R32" s="53" t="n">
        <x:f>COUNTA(_xlfn.UNIQUE(_xlfn._xlws.FILTER('Vendor Options'!$C$2:$C$284,'Vendor Options'!$B$2:$B$284=A32)))</x:f>
        <x:v>1</x:v>
      </x:c>
      <x:c r="S32" s="53" t="n">
        <x:f>COUNTIFS('Vendor Options'!$B$2:$B$284,A32,'Vendor Options'!$P$2:$P$284,"PRICED")</x:f>
        <x:v>1</x:v>
      </x:c>
      <x:c r="T32" s="53" t="n">
        <x:f>COUNTIFS('Vendor Options'!$B$2:$B$284,A32,'Vendor Options'!$Q$2:$Q$284,"ACTIVE")</x:f>
        <x:v>1</x:v>
      </x:c>
      <x:c r="U32" s="54" t="n">
        <x:f>IF(S32=0,"",MIN(_xlfn._xlws.FILTER('Vendor Options'!$N$2:$N$284,('Vendor Options'!$B$2:$B$284=A32)*('Vendor Options'!$P$2:$P$284="PRICED"))))</x:f>
        <x:v>138.25</x:v>
      </x:c>
      <x:c r="V32" s="54" t="n">
        <x:f>IF(S32=0,"",MAXIFS('Vendor Options'!$N$2:$N$284,'Vendor Options'!$B$2:$B$284,A32,'Vendor Options'!$P$2:$P$284,"PRICED"))</x:f>
        <x:v>138.25</x:v>
      </x:c>
      <x:c r="W32" s="43" t="str">
        <x:f>IF(P32="REVIEW","REVIEW",IF(T32=0,"REVIEW",IF(S32=0,"NEEDS PRICE","READY")))</x:f>
        <x:v>READY</x:v>
      </x:c>
    </x:row>
    <x:row r="33" ht="15" hidden="0" customHeight="1">
      <x:c r="A33" s="43" t="str">
        <x:v>SPEC-84C1D93020B1</x:v>
      </x:c>
      <x:c r="B33" s="43" t="str">
        <x:v>DEADBOLT</x:v>
      </x:c>
      <x:c r="C33" s="43" t="str">
        <x:v>DEADBOLT</x:v>
      </x:c>
      <x:c r="D33" s="43" t="str"/>
      <x:c r="E33" s="43" t="str">
        <x:v>D2S SGL CYL DEADBOLT SFIC</x:v>
      </x:c>
      <x:c r="F33" s="43" t="str">
        <x:v>SFIC</x:v>
      </x:c>
      <x:c r="G33" s="43" t="str">
        <x:v>2.75" BACKSET</x:v>
      </x:c>
      <x:c r="H33" s="43" t="str"/>
      <x:c r="I33" s="43" t="str"/>
      <x:c r="J33" s="43" t="str"/>
      <x:c r="K33" s="43" t="str"/>
      <x:c r="L33" s="43" t="str"/>
      <x:c r="M33" s="43" t="str">
        <x:v>626</x:v>
      </x:c>
      <x:c r="N33" s="43" t="str"/>
      <x:c r="O33" s="43" t="str"/>
      <x:c r="P33" s="43" t="str">
        <x:v>HIGH</x:v>
      </x:c>
      <x:c r="Q33" s="53" t="n">
        <x:f>COUNTIF('Vendor Options'!$B$2:$B$284,A33)</x:f>
        <x:v>1</x:v>
      </x:c>
      <x:c r="R33" s="53" t="n">
        <x:f>COUNTA(_xlfn.UNIQUE(_xlfn._xlws.FILTER('Vendor Options'!$C$2:$C$284,'Vendor Options'!$B$2:$B$284=A33)))</x:f>
        <x:v>1</x:v>
      </x:c>
      <x:c r="S33" s="53" t="n">
        <x:f>COUNTIFS('Vendor Options'!$B$2:$B$284,A33,'Vendor Options'!$P$2:$P$284,"PRICED")</x:f>
        <x:v>1</x:v>
      </x:c>
      <x:c r="T33" s="53" t="n">
        <x:f>COUNTIFS('Vendor Options'!$B$2:$B$284,A33,'Vendor Options'!$Q$2:$Q$284,"ACTIVE")</x:f>
        <x:v>1</x:v>
      </x:c>
      <x:c r="U33" s="54" t="n">
        <x:f>IF(S33=0,"",MIN(_xlfn._xlws.FILTER('Vendor Options'!$N$2:$N$284,('Vendor Options'!$B$2:$B$284=A33)*('Vendor Options'!$P$2:$P$284="PRICED"))))</x:f>
        <x:v>88.95</x:v>
      </x:c>
      <x:c r="V33" s="54" t="n">
        <x:f>IF(S33=0,"",MAXIFS('Vendor Options'!$N$2:$N$284,'Vendor Options'!$B$2:$B$284,A33,'Vendor Options'!$P$2:$P$284,"PRICED"))</x:f>
        <x:v>88.95</x:v>
      </x:c>
      <x:c r="W33" s="43" t="str">
        <x:f>IF(P33="REVIEW","REVIEW",IF(T33=0,"REVIEW",IF(S33=0,"NEEDS PRICE","READY")))</x:f>
        <x:v>READY</x:v>
      </x:c>
    </x:row>
    <x:row r="34" ht="15" hidden="0" customHeight="1">
      <x:c r="A34" s="43" t="str">
        <x:v>SPEC-E24F62A042A6</x:v>
      </x:c>
      <x:c r="B34" s="43" t="str">
        <x:v>DEADBOLT</x:v>
      </x:c>
      <x:c r="C34" s="43" t="str">
        <x:v>DEADBOLT</x:v>
      </x:c>
      <x:c r="D34" s="43" t="str"/>
      <x:c r="E34" s="43" t="str">
        <x:v>D2S SGL CYL DEADBOLT</x:v>
      </x:c>
      <x:c r="F34" s="43" t="str">
        <x:v>STANDARD</x:v>
      </x:c>
      <x:c r="G34" s="43" t="str">
        <x:v>2.75" BACKSET</x:v>
      </x:c>
      <x:c r="H34" s="43" t="str"/>
      <x:c r="I34" s="43" t="str"/>
      <x:c r="J34" s="43" t="str"/>
      <x:c r="K34" s="43" t="str"/>
      <x:c r="L34" s="43" t="str"/>
      <x:c r="M34" s="43" t="str">
        <x:v>626</x:v>
      </x:c>
      <x:c r="N34" s="43" t="str"/>
      <x:c r="O34" s="43" t="str"/>
      <x:c r="P34" s="43" t="str">
        <x:v>HIGH</x:v>
      </x:c>
      <x:c r="Q34" s="53" t="n">
        <x:f>COUNTIF('Vendor Options'!$B$2:$B$284,A34)</x:f>
        <x:v>1</x:v>
      </x:c>
      <x:c r="R34" s="53" t="n">
        <x:f>COUNTA(_xlfn.UNIQUE(_xlfn._xlws.FILTER('Vendor Options'!$C$2:$C$284,'Vendor Options'!$B$2:$B$284=A34)))</x:f>
        <x:v>1</x:v>
      </x:c>
      <x:c r="S34" s="53" t="n">
        <x:f>COUNTIFS('Vendor Options'!$B$2:$B$284,A34,'Vendor Options'!$P$2:$P$284,"PRICED")</x:f>
        <x:v>1</x:v>
      </x:c>
      <x:c r="T34" s="53" t="n">
        <x:f>COUNTIFS('Vendor Options'!$B$2:$B$284,A34,'Vendor Options'!$Q$2:$Q$284,"ACTIVE")</x:f>
        <x:v>1</x:v>
      </x:c>
      <x:c r="U34" s="54" t="n">
        <x:f>IF(S34=0,"",MIN(_xlfn._xlws.FILTER('Vendor Options'!$N$2:$N$284,('Vendor Options'!$B$2:$B$284=A34)*('Vendor Options'!$P$2:$P$284="PRICED"))))</x:f>
        <x:v>88.95</x:v>
      </x:c>
      <x:c r="V34" s="54" t="n">
        <x:f>IF(S34=0,"",MAXIFS('Vendor Options'!$N$2:$N$284,'Vendor Options'!$B$2:$B$284,A34,'Vendor Options'!$P$2:$P$284,"PRICED"))</x:f>
        <x:v>88.95</x:v>
      </x:c>
      <x:c r="W34" s="43" t="str">
        <x:f>IF(P34="REVIEW","REVIEW",IF(T34=0,"REVIEW",IF(S34=0,"NEEDS PRICE","READY")))</x:f>
        <x:v>READY</x:v>
      </x:c>
    </x:row>
    <x:row r="35" ht="15" hidden="0" customHeight="1">
      <x:c r="A35" s="43" t="str">
        <x:v>SPEC-7DFF62A819FC</x:v>
      </x:c>
      <x:c r="B35" s="43" t="str">
        <x:v>DEADBOLT</x:v>
      </x:c>
      <x:c r="C35" s="43" t="str">
        <x:v>PULL PLATE</x:v>
      </x:c>
      <x:c r="D35" s="43" t="str"/>
      <x:c r="E35" s="43" t="str">
        <x:v>3 * 4.5" .625 PROJECTION 2.125 HOLE</x:v>
      </x:c>
      <x:c r="F35" s="43" t="str">
        <x:v>STANDARD</x:v>
      </x:c>
      <x:c r="G35" s="43" t="str"/>
      <x:c r="H35" s="43" t="str"/>
      <x:c r="I35" s="43" t="str"/>
      <x:c r="J35" s="43" t="str"/>
      <x:c r="K35" s="43" t="str"/>
      <x:c r="L35" s="43" t="str"/>
      <x:c r="M35" s="43" t="str">
        <x:v>630</x:v>
      </x:c>
      <x:c r="N35" s="43" t="str"/>
      <x:c r="O35" s="43" t="str"/>
      <x:c r="P35" s="43" t="str">
        <x:v>HIGH</x:v>
      </x:c>
      <x:c r="Q35" s="53" t="n">
        <x:f>COUNTIF('Vendor Options'!$B$2:$B$284,A35)</x:f>
        <x:v>1</x:v>
      </x:c>
      <x:c r="R35" s="53" t="n">
        <x:f>COUNTA(_xlfn.UNIQUE(_xlfn._xlws.FILTER('Vendor Options'!$C$2:$C$284,'Vendor Options'!$B$2:$B$284=A35)))</x:f>
        <x:v>1</x:v>
      </x:c>
      <x:c r="S35" s="53" t="n">
        <x:f>COUNTIFS('Vendor Options'!$B$2:$B$284,A35,'Vendor Options'!$P$2:$P$284,"PRICED")</x:f>
        <x:v>0</x:v>
      </x:c>
      <x:c r="T35" s="53" t="n">
        <x:f>COUNTIFS('Vendor Options'!$B$2:$B$284,A35,'Vendor Options'!$Q$2:$Q$284,"ACTIVE")</x:f>
        <x:v>1</x:v>
      </x:c>
      <x:c r="U35" s="54" t="str">
        <x:f>IF(S35=0,"",MIN(_xlfn._xlws.FILTER('Vendor Options'!$N$2:$N$284,('Vendor Options'!$B$2:$B$284=A35)*('Vendor Options'!$P$2:$P$284="PRICED"))))</x:f>
      </x:c>
      <x:c r="V35" s="54" t="str">
        <x:f>IF(S35=0,"",MAXIFS('Vendor Options'!$N$2:$N$284,'Vendor Options'!$B$2:$B$284,A35,'Vendor Options'!$P$2:$P$284,"PRICED"))</x:f>
      </x:c>
      <x:c r="W35" s="43" t="str">
        <x:f>IF(P35="REVIEW","REVIEW",IF(T35=0,"REVIEW",IF(S35=0,"NEEDS PRICE","READY")))</x:f>
        <x:v>NEEDS PRICE</x:v>
      </x:c>
    </x:row>
    <x:row r="36" ht="15" hidden="0" customHeight="1">
      <x:c r="A36" s="43" t="str">
        <x:v>SPEC-FEDA413E0129</x:v>
      </x:c>
      <x:c r="B36" s="43" t="str">
        <x:v>DEADBOLT</x:v>
      </x:c>
      <x:c r="C36" s="43" t="str">
        <x:v>PULL PLATE</x:v>
      </x:c>
      <x:c r="D36" s="43" t="str"/>
      <x:c r="E36" s="43" t="str">
        <x:v>4 * 16 BORED PLATE W 6" PULL 2.125 HOLE</x:v>
      </x:c>
      <x:c r="F36" s="43" t="str">
        <x:v>STANDARD</x:v>
      </x:c>
      <x:c r="G36" s="43" t="str"/>
      <x:c r="H36" s="43" t="str"/>
      <x:c r="I36" s="43" t="str"/>
      <x:c r="J36" s="43" t="str"/>
      <x:c r="K36" s="43" t="str"/>
      <x:c r="L36" s="43" t="str"/>
      <x:c r="M36" s="43" t="str">
        <x:v>630</x:v>
      </x:c>
      <x:c r="N36" s="43" t="str"/>
      <x:c r="O36" s="43" t="str"/>
      <x:c r="P36" s="43" t="str">
        <x:v>HIGH</x:v>
      </x:c>
      <x:c r="Q36" s="53" t="n">
        <x:f>COUNTIF('Vendor Options'!$B$2:$B$284,A36)</x:f>
        <x:v>1</x:v>
      </x:c>
      <x:c r="R36" s="53" t="n">
        <x:f>COUNTA(_xlfn.UNIQUE(_xlfn._xlws.FILTER('Vendor Options'!$C$2:$C$284,'Vendor Options'!$B$2:$B$284=A36)))</x:f>
        <x:v>1</x:v>
      </x:c>
      <x:c r="S36" s="53" t="n">
        <x:f>COUNTIFS('Vendor Options'!$B$2:$B$284,A36,'Vendor Options'!$P$2:$P$284,"PRICED")</x:f>
        <x:v>0</x:v>
      </x:c>
      <x:c r="T36" s="53" t="n">
        <x:f>COUNTIFS('Vendor Options'!$B$2:$B$284,A36,'Vendor Options'!$Q$2:$Q$284,"ACTIVE")</x:f>
        <x:v>1</x:v>
      </x:c>
      <x:c r="U36" s="54" t="str">
        <x:f>IF(S36=0,"",MIN(_xlfn._xlws.FILTER('Vendor Options'!$N$2:$N$284,('Vendor Options'!$B$2:$B$284=A36)*('Vendor Options'!$P$2:$P$284="PRICED"))))</x:f>
      </x:c>
      <x:c r="V36" s="54" t="str">
        <x:f>IF(S36=0,"",MAXIFS('Vendor Options'!$N$2:$N$284,'Vendor Options'!$B$2:$B$284,A36,'Vendor Options'!$P$2:$P$284,"PRICED"))</x:f>
      </x:c>
      <x:c r="W36" s="43" t="str">
        <x:f>IF(P36="REVIEW","REVIEW",IF(T36=0,"REVIEW",IF(S36=0,"NEEDS PRICE","READY")))</x:f>
        <x:v>NEEDS PRICE</x:v>
      </x:c>
    </x:row>
    <x:row r="37" ht="15" hidden="0" customHeight="1">
      <x:c r="A37" s="43" t="str">
        <x:v>SPEC-617DEEC26694</x:v>
      </x:c>
      <x:c r="B37" s="43" t="str">
        <x:v>DEADBOLT</x:v>
      </x:c>
      <x:c r="C37" s="43" t="str">
        <x:v>SINGLE CYLINDER DEADBOLT</x:v>
      </x:c>
      <x:c r="D37" s="43" t="str"/>
      <x:c r="E37" s="43" t="str">
        <x:v>SINGLE CYLINDER</x:v>
      </x:c>
      <x:c r="F37" s="43" t="str">
        <x:v>LFIC</x:v>
      </x:c>
      <x:c r="G37" s="43" t="str"/>
      <x:c r="H37" s="43" t="str"/>
      <x:c r="I37" s="43" t="str"/>
      <x:c r="J37" s="43" t="str"/>
      <x:c r="K37" s="43" t="str"/>
      <x:c r="L37" s="43" t="str"/>
      <x:c r="M37" s="43" t="str">
        <x:v>626</x:v>
      </x:c>
      <x:c r="N37" s="43" t="str"/>
      <x:c r="O37" s="43" t="str"/>
      <x:c r="P37" s="43" t="str">
        <x:v>HIGH</x:v>
      </x:c>
      <x:c r="Q37" s="53" t="n">
        <x:f>COUNTIF('Vendor Options'!$B$2:$B$284,A37)</x:f>
        <x:v>1</x:v>
      </x:c>
      <x:c r="R37" s="53" t="n">
        <x:f>COUNTA(_xlfn.UNIQUE(_xlfn._xlws.FILTER('Vendor Options'!$C$2:$C$284,'Vendor Options'!$B$2:$B$284=A37)))</x:f>
        <x:v>1</x:v>
      </x:c>
      <x:c r="S37" s="53" t="n">
        <x:f>COUNTIFS('Vendor Options'!$B$2:$B$284,A37,'Vendor Options'!$P$2:$P$284,"PRICED")</x:f>
        <x:v>1</x:v>
      </x:c>
      <x:c r="T37" s="53" t="n">
        <x:f>COUNTIFS('Vendor Options'!$B$2:$B$284,A37,'Vendor Options'!$Q$2:$Q$284,"ACTIVE")</x:f>
        <x:v>1</x:v>
      </x:c>
      <x:c r="U37" s="54" t="n">
        <x:f>IF(S37=0,"",MIN(_xlfn._xlws.FILTER('Vendor Options'!$N$2:$N$284,('Vendor Options'!$B$2:$B$284=A37)*('Vendor Options'!$P$2:$P$284="PRICED"))))</x:f>
        <x:v>138.68</x:v>
      </x:c>
      <x:c r="V37" s="54" t="n">
        <x:f>IF(S37=0,"",MAXIFS('Vendor Options'!$N$2:$N$284,'Vendor Options'!$B$2:$B$284,A37,'Vendor Options'!$P$2:$P$284,"PRICED"))</x:f>
        <x:v>138.68</x:v>
      </x:c>
      <x:c r="W37" s="43" t="str">
        <x:f>IF(P37="REVIEW","REVIEW",IF(T37=0,"REVIEW",IF(S37=0,"NEEDS PRICE","READY")))</x:f>
        <x:v>READY</x:v>
      </x:c>
    </x:row>
    <x:row r="38" ht="15" hidden="0" customHeight="1">
      <x:c r="A38" s="43" t="str">
        <x:v>SPEC-D1B62C606D00</x:v>
      </x:c>
      <x:c r="B38" s="43" t="str">
        <x:v>DEADBOLT</x:v>
      </x:c>
      <x:c r="C38" s="43" t="str">
        <x:v>SINGLE CYLINDER DEADBOLT</x:v>
      </x:c>
      <x:c r="D38" s="43" t="str"/>
      <x:c r="E38" s="43" t="str">
        <x:v>SINGLE CYLINDER</x:v>
      </x:c>
      <x:c r="F38" s="43" t="str">
        <x:v>SFIC</x:v>
      </x:c>
      <x:c r="G38" s="43" t="str"/>
      <x:c r="H38" s="43" t="str"/>
      <x:c r="I38" s="43" t="str"/>
      <x:c r="J38" s="43" t="str"/>
      <x:c r="K38" s="43" t="str"/>
      <x:c r="L38" s="43" t="str"/>
      <x:c r="M38" s="43" t="str">
        <x:v>626</x:v>
      </x:c>
      <x:c r="N38" s="43" t="str"/>
      <x:c r="O38" s="43" t="str"/>
      <x:c r="P38" s="43" t="str">
        <x:v>HIGH</x:v>
      </x:c>
      <x:c r="Q38" s="53" t="n">
        <x:f>COUNTIF('Vendor Options'!$B$2:$B$284,A38)</x:f>
        <x:v>2</x:v>
      </x:c>
      <x:c r="R38" s="53" t="n">
        <x:f>COUNTA(_xlfn.UNIQUE(_xlfn._xlws.FILTER('Vendor Options'!$C$2:$C$284,'Vendor Options'!$B$2:$B$284=A38)))</x:f>
        <x:v>2</x:v>
      </x:c>
      <x:c r="S38" s="53" t="n">
        <x:f>COUNTIFS('Vendor Options'!$B$2:$B$284,A38,'Vendor Options'!$P$2:$P$284,"PRICED")</x:f>
        <x:v>2</x:v>
      </x:c>
      <x:c r="T38" s="53" t="n">
        <x:f>COUNTIFS('Vendor Options'!$B$2:$B$284,A38,'Vendor Options'!$Q$2:$Q$284,"ACTIVE")</x:f>
        <x:v>1</x:v>
      </x:c>
      <x:c r="U38" s="54" t="n">
        <x:f>IF(S38=0,"",MIN(_xlfn._xlws.FILTER('Vendor Options'!$N$2:$N$284,('Vendor Options'!$B$2:$B$284=A38)*('Vendor Options'!$P$2:$P$284="PRICED"))))</x:f>
        <x:v>101.99</x:v>
      </x:c>
      <x:c r="V38" s="54" t="n">
        <x:f>IF(S38=0,"",MAXIFS('Vendor Options'!$N$2:$N$284,'Vendor Options'!$B$2:$B$284,A38,'Vendor Options'!$P$2:$P$284,"PRICED"))</x:f>
        <x:v>163.2</x:v>
      </x:c>
      <x:c r="W38" s="43" t="str">
        <x:f>IF(P38="REVIEW","REVIEW",IF(T38=0,"REVIEW",IF(S38=0,"NEEDS PRICE","READY")))</x:f>
        <x:v>READY</x:v>
      </x:c>
    </x:row>
    <x:row r="39" ht="15" hidden="0" customHeight="1">
      <x:c r="A39" s="43" t="str">
        <x:v>SPEC-2AEF47AC9FAB</x:v>
      </x:c>
      <x:c r="B39" s="43" t="str">
        <x:v>DEADBOLT</x:v>
      </x:c>
      <x:c r="C39" s="43" t="str">
        <x:v>SINGLE CYLINDER DEADBOLT</x:v>
      </x:c>
      <x:c r="D39" s="43" t="str"/>
      <x:c r="E39" s="43" t="str">
        <x:v>SINGLE CYLINDER</x:v>
      </x:c>
      <x:c r="F39" s="43" t="str">
        <x:v>STANDARD</x:v>
      </x:c>
      <x:c r="G39" s="43" t="str"/>
      <x:c r="H39" s="43" t="str"/>
      <x:c r="I39" s="43" t="str"/>
      <x:c r="J39" s="43" t="str"/>
      <x:c r="K39" s="43" t="str"/>
      <x:c r="L39" s="43" t="str"/>
      <x:c r="M39" s="43" t="str">
        <x:v>626</x:v>
      </x:c>
      <x:c r="N39" s="43" t="str"/>
      <x:c r="O39" s="43" t="str"/>
      <x:c r="P39" s="43" t="str">
        <x:v>HIGH</x:v>
      </x:c>
      <x:c r="Q39" s="53" t="n">
        <x:f>COUNTIF('Vendor Options'!$B$2:$B$284,A39)</x:f>
        <x:v>2</x:v>
      </x:c>
      <x:c r="R39" s="53" t="n">
        <x:f>COUNTA(_xlfn.UNIQUE(_xlfn._xlws.FILTER('Vendor Options'!$C$2:$C$284,'Vendor Options'!$B$2:$B$284=A39)))</x:f>
        <x:v>2</x:v>
      </x:c>
      <x:c r="S39" s="53" t="n">
        <x:f>COUNTIFS('Vendor Options'!$B$2:$B$284,A39,'Vendor Options'!$P$2:$P$284,"PRICED")</x:f>
        <x:v>2</x:v>
      </x:c>
      <x:c r="T39" s="53" t="n">
        <x:f>COUNTIFS('Vendor Options'!$B$2:$B$284,A39,'Vendor Options'!$Q$2:$Q$284,"ACTIVE")</x:f>
        <x:v>1</x:v>
      </x:c>
      <x:c r="U39" s="54" t="n">
        <x:f>IF(S39=0,"",MIN(_xlfn._xlws.FILTER('Vendor Options'!$N$2:$N$284,('Vendor Options'!$B$2:$B$284=A39)*('Vendor Options'!$P$2:$P$284="PRICED"))))</x:f>
        <x:v>101.99</x:v>
      </x:c>
      <x:c r="V39" s="54" t="n">
        <x:f>IF(S39=0,"",MAXIFS('Vendor Options'!$N$2:$N$284,'Vendor Options'!$B$2:$B$284,A39,'Vendor Options'!$P$2:$P$284,"PRICED"))</x:f>
        <x:v>163.2</x:v>
      </x:c>
      <x:c r="W39" s="43" t="str">
        <x:f>IF(P39="REVIEW","REVIEW",IF(T39=0,"REVIEW",IF(S39=0,"NEEDS PRICE","READY")))</x:f>
        <x:v>READY</x:v>
      </x:c>
    </x:row>
    <x:row r="40" ht="15" hidden="0" customHeight="1">
      <x:c r="A40" s="43" t="str">
        <x:v>SPEC-C0B08F444CF0</x:v>
      </x:c>
      <x:c r="B40" s="43" t="str">
        <x:v>EXIT DEVICE</x:v>
      </x:c>
      <x:c r="C40" s="43" t="str">
        <x:v>PANIC / EXIT DEVICE</x:v>
      </x:c>
      <x:c r="D40" s="43" t="str">
        <x:v>MORTISE</x:v>
      </x:c>
      <x:c r="E40" s="43" t="str">
        <x:v>EXIT DEVICE</x:v>
      </x:c>
      <x:c r="F40" s="43" t="str">
        <x:v>NOT APPLICABLE</x:v>
      </x:c>
      <x:c r="G40" s="43" t="str"/>
      <x:c r="H40" s="43" t="str"/>
      <x:c r="I40" s="43" t="str"/>
      <x:c r="J40" s="43" t="str"/>
      <x:c r="K40" s="43" t="str"/>
      <x:c r="L40" s="43" t="str"/>
      <x:c r="M40" s="43" t="str"/>
      <x:c r="N40" s="43" t="str">
        <x:v>MOTORIZED LATCH RETRACTION</x:v>
      </x:c>
      <x:c r="O40" s="43" t="str">
        <x:v>ACCESSORY / ADDER</x:v>
      </x:c>
      <x:c r="P40" s="43" t="str">
        <x:v>MEDIUM</x:v>
      </x:c>
      <x:c r="Q40" s="53" t="n">
        <x:f>COUNTIF('Vendor Options'!$B$2:$B$284,A40)</x:f>
        <x:v>1</x:v>
      </x:c>
      <x:c r="R40" s="53" t="n">
        <x:f>COUNTA(_xlfn.UNIQUE(_xlfn._xlws.FILTER('Vendor Options'!$C$2:$C$284,'Vendor Options'!$B$2:$B$284=A40)))</x:f>
        <x:v>1</x:v>
      </x:c>
      <x:c r="S40" s="53" t="n">
        <x:f>COUNTIFS('Vendor Options'!$B$2:$B$284,A40,'Vendor Options'!$P$2:$P$284,"PRICED")</x:f>
        <x:v>1</x:v>
      </x:c>
      <x:c r="T40" s="53" t="n">
        <x:f>COUNTIFS('Vendor Options'!$B$2:$B$284,A40,'Vendor Options'!$Q$2:$Q$284,"ACTIVE")</x:f>
        <x:v>0</x:v>
      </x:c>
      <x:c r="U40" s="54" t="n">
        <x:f>IF(S40=0,"",MIN(_xlfn._xlws.FILTER('Vendor Options'!$N$2:$N$284,('Vendor Options'!$B$2:$B$284=A40)*('Vendor Options'!$P$2:$P$284="PRICED"))))</x:f>
        <x:v>1577</x:v>
      </x:c>
      <x:c r="V40" s="54" t="n">
        <x:f>IF(S40=0,"",MAXIFS('Vendor Options'!$N$2:$N$284,'Vendor Options'!$B$2:$B$284,A40,'Vendor Options'!$P$2:$P$284,"PRICED"))</x:f>
        <x:v>1577</x:v>
      </x:c>
      <x:c r="W40" s="43" t="str">
        <x:f>IF(P40="REVIEW","REVIEW",IF(T40=0,"REVIEW",IF(S40=0,"NEEDS PRICE","READY")))</x:f>
        <x:v>REVIEW</x:v>
      </x:c>
    </x:row>
    <x:row r="41" ht="15" hidden="0" customHeight="1">
      <x:c r="A41" s="43" t="str">
        <x:v>SPEC-C7B25313BBD9</x:v>
      </x:c>
      <x:c r="B41" s="43" t="str">
        <x:v>EXIT DEVICE</x:v>
      </x:c>
      <x:c r="C41" s="43" t="str">
        <x:v>PANIC / EXIT DEVICE</x:v>
      </x:c>
      <x:c r="D41" s="43" t="str">
        <x:v>MORTISE</x:v>
      </x:c>
      <x:c r="E41" s="43" t="str">
        <x:v>EXIT DEVICE</x:v>
      </x:c>
      <x:c r="F41" s="43" t="str">
        <x:v>NOT APPLICABLE</x:v>
      </x:c>
      <x:c r="G41" s="43" t="str"/>
      <x:c r="H41" s="43" t="str"/>
      <x:c r="I41" s="43" t="str"/>
      <x:c r="J41" s="43" t="str"/>
      <x:c r="K41" s="43" t="str"/>
      <x:c r="L41" s="43" t="str"/>
      <x:c r="M41" s="43" t="str"/>
      <x:c r="N41" s="43" t="str">
        <x:v>LATCH BOLT MONITOR</x:v>
      </x:c>
      <x:c r="O41" s="43" t="str">
        <x:v>ACCESSORY / ADDER</x:v>
      </x:c>
      <x:c r="P41" s="43" t="str">
        <x:v>MEDIUM</x:v>
      </x:c>
      <x:c r="Q41" s="53" t="n">
        <x:f>COUNTIF('Vendor Options'!$B$2:$B$284,A41)</x:f>
        <x:v>1</x:v>
      </x:c>
      <x:c r="R41" s="53" t="n">
        <x:f>COUNTA(_xlfn.UNIQUE(_xlfn._xlws.FILTER('Vendor Options'!$C$2:$C$284,'Vendor Options'!$B$2:$B$284=A41)))</x:f>
        <x:v>1</x:v>
      </x:c>
      <x:c r="S41" s="53" t="n">
        <x:f>COUNTIFS('Vendor Options'!$B$2:$B$284,A41,'Vendor Options'!$P$2:$P$284,"PRICED")</x:f>
        <x:v>1</x:v>
      </x:c>
      <x:c r="T41" s="53" t="n">
        <x:f>COUNTIFS('Vendor Options'!$B$2:$B$284,A41,'Vendor Options'!$Q$2:$Q$284,"ACTIVE")</x:f>
        <x:v>0</x:v>
      </x:c>
      <x:c r="U41" s="54" t="n">
        <x:f>IF(S41=0,"",MIN(_xlfn._xlws.FILTER('Vendor Options'!$N$2:$N$284,('Vendor Options'!$B$2:$B$284=A41)*('Vendor Options'!$P$2:$P$284="PRICED"))))</x:f>
        <x:v>372</x:v>
      </x:c>
      <x:c r="V41" s="54" t="n">
        <x:f>IF(S41=0,"",MAXIFS('Vendor Options'!$N$2:$N$284,'Vendor Options'!$B$2:$B$284,A41,'Vendor Options'!$P$2:$P$284,"PRICED"))</x:f>
        <x:v>372</x:v>
      </x:c>
      <x:c r="W41" s="43" t="str">
        <x:f>IF(P41="REVIEW","REVIEW",IF(T41=0,"REVIEW",IF(S41=0,"NEEDS PRICE","READY")))</x:f>
        <x:v>REVIEW</x:v>
      </x:c>
    </x:row>
    <x:row r="42" ht="15" hidden="0" customHeight="1">
      <x:c r="A42" s="43" t="str">
        <x:v>SPEC-C5B77A68C63A</x:v>
      </x:c>
      <x:c r="B42" s="43" t="str">
        <x:v>EXIT DEVICE</x:v>
      </x:c>
      <x:c r="C42" s="43" t="str">
        <x:v>PANIC / EXIT DEVICE</x:v>
      </x:c>
      <x:c r="D42" s="43" t="str">
        <x:v>MORTISE</x:v>
      </x:c>
      <x:c r="E42" s="43" t="str">
        <x:v>EXIT DEVICE</x:v>
      </x:c>
      <x:c r="F42" s="43" t="str">
        <x:v>NOT APPLICABLE</x:v>
      </x:c>
      <x:c r="G42" s="43" t="str"/>
      <x:c r="H42" s="43" t="str">
        <x:v>FIRE</x:v>
      </x:c>
      <x:c r="I42" s="43" t="str"/>
      <x:c r="J42" s="43" t="str"/>
      <x:c r="K42" s="43" t="str"/>
      <x:c r="L42" s="43" t="str"/>
      <x:c r="M42" s="43" t="str"/>
      <x:c r="N42" s="43" t="str"/>
      <x:c r="O42" s="43" t="str">
        <x:v>ACCESSORY / ADDER</x:v>
      </x:c>
      <x:c r="P42" s="43" t="str">
        <x:v>MEDIUM</x:v>
      </x:c>
      <x:c r="Q42" s="53" t="n">
        <x:f>COUNTIF('Vendor Options'!$B$2:$B$284,A42)</x:f>
        <x:v>1</x:v>
      </x:c>
      <x:c r="R42" s="53" t="n">
        <x:f>COUNTA(_xlfn.UNIQUE(_xlfn._xlws.FILTER('Vendor Options'!$C$2:$C$284,'Vendor Options'!$B$2:$B$284=A42)))</x:f>
        <x:v>1</x:v>
      </x:c>
      <x:c r="S42" s="53" t="n">
        <x:f>COUNTIFS('Vendor Options'!$B$2:$B$284,A42,'Vendor Options'!$P$2:$P$284,"PRICED")</x:f>
        <x:v>1</x:v>
      </x:c>
      <x:c r="T42" s="53" t="n">
        <x:f>COUNTIFS('Vendor Options'!$B$2:$B$284,A42,'Vendor Options'!$Q$2:$Q$284,"ACTIVE")</x:f>
        <x:v>0</x:v>
      </x:c>
      <x:c r="U42" s="54" t="n">
        <x:f>IF(S42=0,"",MIN(_xlfn._xlws.FILTER('Vendor Options'!$N$2:$N$284,('Vendor Options'!$B$2:$B$284=A42)*('Vendor Options'!$P$2:$P$284="PRICED"))))</x:f>
        <x:v>292</x:v>
      </x:c>
      <x:c r="V42" s="54" t="n">
        <x:f>IF(S42=0,"",MAXIFS('Vendor Options'!$N$2:$N$284,'Vendor Options'!$B$2:$B$284,A42,'Vendor Options'!$P$2:$P$284,"PRICED"))</x:f>
        <x:v>292</x:v>
      </x:c>
      <x:c r="W42" s="43" t="str">
        <x:f>IF(P42="REVIEW","REVIEW",IF(T42=0,"REVIEW",IF(S42=0,"NEEDS PRICE","READY")))</x:f>
        <x:v>REVIEW</x:v>
      </x:c>
    </x:row>
    <x:row r="43" ht="15" hidden="0" customHeight="1">
      <x:c r="A43" s="43" t="str">
        <x:v>SPEC-689B22E417E6</x:v>
      </x:c>
      <x:c r="B43" s="43" t="str">
        <x:v>EXIT DEVICE</x:v>
      </x:c>
      <x:c r="C43" s="43" t="str">
        <x:v>PANIC / EXIT DEVICE</x:v>
      </x:c>
      <x:c r="D43" s="43" t="str">
        <x:v>MORTISE</x:v>
      </x:c>
      <x:c r="E43" s="43" t="str">
        <x:v>EXIT DEVICE</x:v>
      </x:c>
      <x:c r="F43" s="43" t="str">
        <x:v>NOT APPLICABLE</x:v>
      </x:c>
      <x:c r="G43" s="43" t="str"/>
      <x:c r="H43" s="43" t="str">
        <x:v>PANIC</x:v>
      </x:c>
      <x:c r="I43" s="43" t="str"/>
      <x:c r="J43" s="43" t="str"/>
      <x:c r="K43" s="43" t="str"/>
      <x:c r="L43" s="43" t="str"/>
      <x:c r="M43" s="43" t="str"/>
      <x:c r="N43" s="43" t="str"/>
      <x:c r="O43" s="43" t="str"/>
      <x:c r="P43" s="43" t="str">
        <x:v>MEDIUM</x:v>
      </x:c>
      <x:c r="Q43" s="53" t="n">
        <x:f>COUNTIF('Vendor Options'!$B$2:$B$284,A43)</x:f>
        <x:v>3</x:v>
      </x:c>
      <x:c r="R43" s="53" t="n">
        <x:f>COUNTA(_xlfn.UNIQUE(_xlfn._xlws.FILTER('Vendor Options'!$C$2:$C$284,'Vendor Options'!$B$2:$B$284=A43)))</x:f>
        <x:v>3</x:v>
      </x:c>
      <x:c r="S43" s="53" t="n">
        <x:f>COUNTIFS('Vendor Options'!$B$2:$B$284,A43,'Vendor Options'!$P$2:$P$284,"PRICED")</x:f>
        <x:v>0</x:v>
      </x:c>
      <x:c r="T43" s="53" t="n">
        <x:f>COUNTIFS('Vendor Options'!$B$2:$B$284,A43,'Vendor Options'!$Q$2:$Q$284,"ACTIVE")</x:f>
        <x:v>0</x:v>
      </x:c>
      <x:c r="U43" s="54" t="str">
        <x:f>IF(S43=0,"",MIN(_xlfn._xlws.FILTER('Vendor Options'!$N$2:$N$284,('Vendor Options'!$B$2:$B$284=A43)*('Vendor Options'!$P$2:$P$284="PRICED"))))</x:f>
      </x:c>
      <x:c r="V43" s="54" t="str">
        <x:f>IF(S43=0,"",MAXIFS('Vendor Options'!$N$2:$N$284,'Vendor Options'!$B$2:$B$284,A43,'Vendor Options'!$P$2:$P$284,"PRICED"))</x:f>
      </x:c>
      <x:c r="W43" s="43" t="str">
        <x:f>IF(P43="REVIEW","REVIEW",IF(T43=0,"REVIEW",IF(S43=0,"NEEDS PRICE","READY")))</x:f>
        <x:v>REVIEW</x:v>
      </x:c>
    </x:row>
    <x:row r="44" ht="15" hidden="0" customHeight="1">
      <x:c r="A44" s="43" t="str">
        <x:v>SPEC-AD3A1C1F2C1E</x:v>
      </x:c>
      <x:c r="B44" s="43" t="str">
        <x:v>EXIT DEVICE</x:v>
      </x:c>
      <x:c r="C44" s="43" t="str">
        <x:v>PANIC / EXIT DEVICE</x:v>
      </x:c>
      <x:c r="D44" s="43" t="str">
        <x:v>MORTISE</x:v>
      </x:c>
      <x:c r="E44" s="43" t="str">
        <x:v>EXIT DEVICE</x:v>
      </x:c>
      <x:c r="F44" s="43" t="str">
        <x:v>NOT APPLICABLE</x:v>
      </x:c>
      <x:c r="G44" s="43" t="str"/>
      <x:c r="H44" s="43" t="str">
        <x:v>PANIC</x:v>
      </x:c>
      <x:c r="I44" s="43" t="str"/>
      <x:c r="J44" s="43" t="str"/>
      <x:c r="K44" s="43" t="str"/>
      <x:c r="L44" s="43" t="str"/>
      <x:c r="M44" s="43" t="str">
        <x:v>628</x:v>
      </x:c>
      <x:c r="N44" s="43" t="str">
        <x:v>FAIL SAFE</x:v>
      </x:c>
      <x:c r="O44" s="43" t="str"/>
      <x:c r="P44" s="43" t="str">
        <x:v>HIGH</x:v>
      </x:c>
      <x:c r="Q44" s="53" t="n">
        <x:f>COUNTIF('Vendor Options'!$B$2:$B$284,A44)</x:f>
        <x:v>1</x:v>
      </x:c>
      <x:c r="R44" s="53" t="n">
        <x:f>COUNTA(_xlfn.UNIQUE(_xlfn._xlws.FILTER('Vendor Options'!$C$2:$C$284,'Vendor Options'!$B$2:$B$284=A44)))</x:f>
        <x:v>1</x:v>
      </x:c>
      <x:c r="S44" s="53" t="n">
        <x:f>COUNTIFS('Vendor Options'!$B$2:$B$284,A44,'Vendor Options'!$P$2:$P$284,"PRICED")</x:f>
        <x:v>1</x:v>
      </x:c>
      <x:c r="T44" s="53" t="n">
        <x:f>COUNTIFS('Vendor Options'!$B$2:$B$284,A44,'Vendor Options'!$Q$2:$Q$284,"ACTIVE")</x:f>
        <x:v>0</x:v>
      </x:c>
      <x:c r="U44" s="54" t="n">
        <x:f>IF(S44=0,"",MIN(_xlfn._xlws.FILTER('Vendor Options'!$N$2:$N$284,('Vendor Options'!$B$2:$B$284=A44)*('Vendor Options'!$P$2:$P$284="PRICED"))))</x:f>
        <x:v>5918</x:v>
      </x:c>
      <x:c r="V44" s="54" t="n">
        <x:f>IF(S44=0,"",MAXIFS('Vendor Options'!$N$2:$N$284,'Vendor Options'!$B$2:$B$284,A44,'Vendor Options'!$P$2:$P$284,"PRICED"))</x:f>
        <x:v>5918</x:v>
      </x:c>
      <x:c r="W44" s="43" t="str">
        <x:f>IF(P44="REVIEW","REVIEW",IF(T44=0,"REVIEW",IF(S44=0,"NEEDS PRICE","READY")))</x:f>
        <x:v>REVIEW</x:v>
      </x:c>
    </x:row>
    <x:row r="45" ht="15" hidden="0" customHeight="1">
      <x:c r="A45" s="43" t="str">
        <x:v>SPEC-98123BC5188E</x:v>
      </x:c>
      <x:c r="B45" s="43" t="str">
        <x:v>EXIT DEVICE</x:v>
      </x:c>
      <x:c r="C45" s="43" t="str">
        <x:v>PANIC / EXIT DEVICE</x:v>
      </x:c>
      <x:c r="D45" s="43" t="str">
        <x:v>MORTISE</x:v>
      </x:c>
      <x:c r="E45" s="43" t="str">
        <x:v>EXIT DEVICE</x:v>
      </x:c>
      <x:c r="F45" s="43" t="str">
        <x:v>NOT APPLICABLE</x:v>
      </x:c>
      <x:c r="G45" s="43" t="str"/>
      <x:c r="H45" s="43" t="str">
        <x:v>PANIC</x:v>
      </x:c>
      <x:c r="I45" s="43" t="str"/>
      <x:c r="J45" s="43" t="str"/>
      <x:c r="K45" s="43" t="str"/>
      <x:c r="L45" s="43" t="str"/>
      <x:c r="M45" s="43" t="str">
        <x:v>630</x:v>
      </x:c>
      <x:c r="N45" s="43" t="str">
        <x:v>FAIL SAFE</x:v>
      </x:c>
      <x:c r="O45" s="43" t="str"/>
      <x:c r="P45" s="43" t="str">
        <x:v>HIGH</x:v>
      </x:c>
      <x:c r="Q45" s="53" t="n">
        <x:f>COUNTIF('Vendor Options'!$B$2:$B$284,A45)</x:f>
        <x:v>1</x:v>
      </x:c>
      <x:c r="R45" s="53" t="n">
        <x:f>COUNTA(_xlfn.UNIQUE(_xlfn._xlws.FILTER('Vendor Options'!$C$2:$C$284,'Vendor Options'!$B$2:$B$284=A45)))</x:f>
        <x:v>1</x:v>
      </x:c>
      <x:c r="S45" s="53" t="n">
        <x:f>COUNTIFS('Vendor Options'!$B$2:$B$284,A45,'Vendor Options'!$P$2:$P$284,"PRICED")</x:f>
        <x:v>1</x:v>
      </x:c>
      <x:c r="T45" s="53" t="n">
        <x:f>COUNTIFS('Vendor Options'!$B$2:$B$284,A45,'Vendor Options'!$Q$2:$Q$284,"ACTIVE")</x:f>
        <x:v>0</x:v>
      </x:c>
      <x:c r="U45" s="54" t="n">
        <x:f>IF(S45=0,"",MIN(_xlfn._xlws.FILTER('Vendor Options'!$N$2:$N$284,('Vendor Options'!$B$2:$B$284=A45)*('Vendor Options'!$P$2:$P$284="PRICED"))))</x:f>
        <x:v>5918</x:v>
      </x:c>
      <x:c r="V45" s="54" t="n">
        <x:f>IF(S45=0,"",MAXIFS('Vendor Options'!$N$2:$N$284,'Vendor Options'!$B$2:$B$284,A45,'Vendor Options'!$P$2:$P$284,"PRICED"))</x:f>
        <x:v>5918</x:v>
      </x:c>
      <x:c r="W45" s="43" t="str">
        <x:f>IF(P45="REVIEW","REVIEW",IF(T45=0,"REVIEW",IF(S45=0,"NEEDS PRICE","READY")))</x:f>
        <x:v>REVIEW</x:v>
      </x:c>
    </x:row>
    <x:row r="46" ht="15" hidden="0" customHeight="1">
      <x:c r="A46" s="43" t="str">
        <x:v>SPEC-C4ED33E1B50D</x:v>
      </x:c>
      <x:c r="B46" s="43" t="str">
        <x:v>EXIT DEVICE</x:v>
      </x:c>
      <x:c r="C46" s="43" t="str">
        <x:v>PANIC / EXIT DEVICE</x:v>
      </x:c>
      <x:c r="D46" s="43" t="str">
        <x:v>MORTISE</x:v>
      </x:c>
      <x:c r="E46" s="43" t="str">
        <x:v>EXIT DEVICE</x:v>
      </x:c>
      <x:c r="F46" s="43" t="str">
        <x:v>NOT APPLICABLE</x:v>
      </x:c>
      <x:c r="G46" s="43" t="str"/>
      <x:c r="H46" s="43" t="str">
        <x:v>TDI</x:v>
      </x:c>
      <x:c r="I46" s="43" t="str"/>
      <x:c r="J46" s="43" t="str"/>
      <x:c r="K46" s="43" t="str"/>
      <x:c r="L46" s="43" t="str"/>
      <x:c r="M46" s="43" t="str"/>
      <x:c r="N46" s="43" t="str"/>
      <x:c r="O46" s="43" t="str">
        <x:v>ACCESSORY / ADDER</x:v>
      </x:c>
      <x:c r="P46" s="43" t="str">
        <x:v>MEDIUM</x:v>
      </x:c>
      <x:c r="Q46" s="53" t="n">
        <x:f>COUNTIF('Vendor Options'!$B$2:$B$284,A46)</x:f>
        <x:v>1</x:v>
      </x:c>
      <x:c r="R46" s="53" t="n">
        <x:f>COUNTA(_xlfn.UNIQUE(_xlfn._xlws.FILTER('Vendor Options'!$C$2:$C$284,'Vendor Options'!$B$2:$B$284=A46)))</x:f>
        <x:v>1</x:v>
      </x:c>
      <x:c r="S46" s="53" t="n">
        <x:f>COUNTIFS('Vendor Options'!$B$2:$B$284,A46,'Vendor Options'!$P$2:$P$284,"PRICED")</x:f>
        <x:v>1</x:v>
      </x:c>
      <x:c r="T46" s="53" t="n">
        <x:f>COUNTIFS('Vendor Options'!$B$2:$B$284,A46,'Vendor Options'!$Q$2:$Q$284,"ACTIVE")</x:f>
        <x:v>0</x:v>
      </x:c>
      <x:c r="U46" s="54" t="n">
        <x:f>IF(S46=0,"",MIN(_xlfn._xlws.FILTER('Vendor Options'!$N$2:$N$284,('Vendor Options'!$B$2:$B$284=A46)*('Vendor Options'!$P$2:$P$284="PRICED"))))</x:f>
        <x:v>67</x:v>
      </x:c>
      <x:c r="V46" s="54" t="n">
        <x:f>IF(S46=0,"",MAXIFS('Vendor Options'!$N$2:$N$284,'Vendor Options'!$B$2:$B$284,A46,'Vendor Options'!$P$2:$P$284,"PRICED"))</x:f>
        <x:v>67</x:v>
      </x:c>
      <x:c r="W46" s="43" t="str">
        <x:f>IF(P46="REVIEW","REVIEW",IF(T46=0,"REVIEW",IF(S46=0,"NEEDS PRICE","READY")))</x:f>
        <x:v>REVIEW</x:v>
      </x:c>
    </x:row>
    <x:row r="47" ht="15" hidden="0" customHeight="1">
      <x:c r="A47" s="43" t="str">
        <x:v>SPEC-1D93796FD95F</x:v>
      </x:c>
      <x:c r="B47" s="43" t="str">
        <x:v>EXIT DEVICE</x:v>
      </x:c>
      <x:c r="C47" s="43" t="str">
        <x:v>PANIC / EXIT DEVICE</x:v>
      </x:c>
      <x:c r="D47" s="43" t="str">
        <x:v>MORTISE</x:v>
      </x:c>
      <x:c r="E47" s="43" t="str">
        <x:v>EXIT DEVICE</x:v>
      </x:c>
      <x:c r="F47" s="43" t="str">
        <x:v>NOT APPLICABLE</x:v>
      </x:c>
      <x:c r="G47" s="43" t="str"/>
      <x:c r="H47" s="43" t="str">
        <x:v>WIND</x:v>
      </x:c>
      <x:c r="I47" s="43" t="str"/>
      <x:c r="J47" s="43" t="str"/>
      <x:c r="K47" s="43" t="str"/>
      <x:c r="L47" s="43" t="str"/>
      <x:c r="M47" s="43" t="str"/>
      <x:c r="N47" s="43" t="str"/>
      <x:c r="O47" s="43" t="str">
        <x:v>ACCESSORY / ADDER</x:v>
      </x:c>
      <x:c r="P47" s="43" t="str">
        <x:v>MEDIUM</x:v>
      </x:c>
      <x:c r="Q47" s="53" t="n">
        <x:f>COUNTIF('Vendor Options'!$B$2:$B$284,A47)</x:f>
        <x:v>1</x:v>
      </x:c>
      <x:c r="R47" s="53" t="n">
        <x:f>COUNTA(_xlfn.UNIQUE(_xlfn._xlws.FILTER('Vendor Options'!$C$2:$C$284,'Vendor Options'!$B$2:$B$284=A47)))</x:f>
        <x:v>1</x:v>
      </x:c>
      <x:c r="S47" s="53" t="n">
        <x:f>COUNTIFS('Vendor Options'!$B$2:$B$284,A47,'Vendor Options'!$P$2:$P$284,"PRICED")</x:f>
        <x:v>1</x:v>
      </x:c>
      <x:c r="T47" s="53" t="n">
        <x:f>COUNTIFS('Vendor Options'!$B$2:$B$284,A47,'Vendor Options'!$Q$2:$Q$284,"ACTIVE")</x:f>
        <x:v>0</x:v>
      </x:c>
      <x:c r="U47" s="54" t="n">
        <x:f>IF(S47=0,"",MIN(_xlfn._xlws.FILTER('Vendor Options'!$N$2:$N$284,('Vendor Options'!$B$2:$B$284=A47)*('Vendor Options'!$P$2:$P$284="PRICED"))))</x:f>
        <x:v>67</x:v>
      </x:c>
      <x:c r="V47" s="54" t="n">
        <x:f>IF(S47=0,"",MAXIFS('Vendor Options'!$N$2:$N$284,'Vendor Options'!$B$2:$B$284,A47,'Vendor Options'!$P$2:$P$284,"PRICED"))</x:f>
        <x:v>67</x:v>
      </x:c>
      <x:c r="W47" s="43" t="str">
        <x:f>IF(P47="REVIEW","REVIEW",IF(T47=0,"REVIEW",IF(S47=0,"NEEDS PRICE","READY")))</x:f>
        <x:v>REVIEW</x:v>
      </x:c>
    </x:row>
    <x:row r="48" ht="15" hidden="0" customHeight="1">
      <x:c r="A48" s="43" t="str">
        <x:v>SPEC-036361A21AA8</x:v>
      </x:c>
      <x:c r="B48" s="43" t="str">
        <x:v>EXIT DEVICE</x:v>
      </x:c>
      <x:c r="C48" s="43" t="str">
        <x:v>PANIC / EXIT DEVICE</x:v>
      </x:c>
      <x:c r="D48" s="43" t="str">
        <x:v>MORTISE</x:v>
      </x:c>
      <x:c r="E48" s="43" t="str">
        <x:v>EXIT DEVICE</x:v>
      </x:c>
      <x:c r="F48" s="43" t="str">
        <x:v>NOT APPLICABLE</x:v>
      </x:c>
      <x:c r="G48" s="43" t="str">
        <x:v>36"</x:v>
      </x:c>
      <x:c r="H48" s="43" t="str">
        <x:v>FIRE + WIND</x:v>
      </x:c>
      <x:c r="I48" s="43" t="str"/>
      <x:c r="J48" s="43" t="str"/>
      <x:c r="K48" s="43" t="str"/>
      <x:c r="L48" s="43" t="str"/>
      <x:c r="M48" s="43" t="str">
        <x:v>630</x:v>
      </x:c>
      <x:c r="N48" s="43" t="str">
        <x:v>ELECTRIC DOGGING</x:v>
      </x:c>
      <x:c r="O48" s="43" t="str">
        <x:v>ACCESSORY / ADDER</x:v>
      </x:c>
      <x:c r="P48" s="43" t="str">
        <x:v>HIGH</x:v>
      </x:c>
      <x:c r="Q48" s="53" t="n">
        <x:f>COUNTIF('Vendor Options'!$B$2:$B$284,A48)</x:f>
        <x:v>1</x:v>
      </x:c>
      <x:c r="R48" s="53" t="n">
        <x:f>COUNTA(_xlfn.UNIQUE(_xlfn._xlws.FILTER('Vendor Options'!$C$2:$C$284,'Vendor Options'!$B$2:$B$284=A48)))</x:f>
        <x:v>1</x:v>
      </x:c>
      <x:c r="S48" s="53" t="n">
        <x:f>COUNTIFS('Vendor Options'!$B$2:$B$284,A48,'Vendor Options'!$P$2:$P$284,"PRICED")</x:f>
        <x:v>0</x:v>
      </x:c>
      <x:c r="T48" s="53" t="n">
        <x:f>COUNTIFS('Vendor Options'!$B$2:$B$284,A48,'Vendor Options'!$Q$2:$Q$284,"ACTIVE")</x:f>
        <x:v>0</x:v>
      </x:c>
      <x:c r="U48" s="54" t="str">
        <x:f>IF(S48=0,"",MIN(_xlfn._xlws.FILTER('Vendor Options'!$N$2:$N$284,('Vendor Options'!$B$2:$B$284=A48)*('Vendor Options'!$P$2:$P$284="PRICED"))))</x:f>
      </x:c>
      <x:c r="V48" s="54" t="str">
        <x:f>IF(S48=0,"",MAXIFS('Vendor Options'!$N$2:$N$284,'Vendor Options'!$B$2:$B$284,A48,'Vendor Options'!$P$2:$P$284,"PRICED"))</x:f>
      </x:c>
      <x:c r="W48" s="43" t="str">
        <x:f>IF(P48="REVIEW","REVIEW",IF(T48=0,"REVIEW",IF(S48=0,"NEEDS PRICE","READY")))</x:f>
        <x:v>REVIEW</x:v>
      </x:c>
    </x:row>
    <x:row r="49" ht="15" hidden="0" customHeight="1">
      <x:c r="A49" s="43" t="str">
        <x:v>SPEC-90FE8EA35B7D</x:v>
      </x:c>
      <x:c r="B49" s="43" t="str">
        <x:v>EXIT DEVICE</x:v>
      </x:c>
      <x:c r="C49" s="43" t="str">
        <x:v>PANIC / EXIT DEVICE</x:v>
      </x:c>
      <x:c r="D49" s="43" t="str">
        <x:v>MORTISE</x:v>
      </x:c>
      <x:c r="E49" s="43" t="str">
        <x:v>EXIT DEVICE</x:v>
      </x:c>
      <x:c r="F49" s="43" t="str">
        <x:v>NOT APPLICABLE</x:v>
      </x:c>
      <x:c r="G49" s="43" t="str">
        <x:v>36"</x:v>
      </x:c>
      <x:c r="H49" s="43" t="str">
        <x:v>FIRE + WIND</x:v>
      </x:c>
      <x:c r="I49" s="43" t="str"/>
      <x:c r="J49" s="43" t="str"/>
      <x:c r="K49" s="43" t="str"/>
      <x:c r="L49" s="43" t="str"/>
      <x:c r="M49" s="43" t="str">
        <x:v>630</x:v>
      </x:c>
      <x:c r="N49" s="43" t="str">
        <x:v>MOTORIZED LATCH RETRACTION</x:v>
      </x:c>
      <x:c r="O49" s="43" t="str">
        <x:v>ACCESSORY / ADDER</x:v>
      </x:c>
      <x:c r="P49" s="43" t="str">
        <x:v>HIGH</x:v>
      </x:c>
      <x:c r="Q49" s="53" t="n">
        <x:f>COUNTIF('Vendor Options'!$B$2:$B$284,A49)</x:f>
        <x:v>1</x:v>
      </x:c>
      <x:c r="R49" s="53" t="n">
        <x:f>COUNTA(_xlfn.UNIQUE(_xlfn._xlws.FILTER('Vendor Options'!$C$2:$C$284,'Vendor Options'!$B$2:$B$284=A49)))</x:f>
        <x:v>1</x:v>
      </x:c>
      <x:c r="S49" s="53" t="n">
        <x:f>COUNTIFS('Vendor Options'!$B$2:$B$284,A49,'Vendor Options'!$P$2:$P$284,"PRICED")</x:f>
        <x:v>0</x:v>
      </x:c>
      <x:c r="T49" s="53" t="n">
        <x:f>COUNTIFS('Vendor Options'!$B$2:$B$284,A49,'Vendor Options'!$Q$2:$Q$284,"ACTIVE")</x:f>
        <x:v>0</x:v>
      </x:c>
      <x:c r="U49" s="54" t="str">
        <x:f>IF(S49=0,"",MIN(_xlfn._xlws.FILTER('Vendor Options'!$N$2:$N$284,('Vendor Options'!$B$2:$B$284=A49)*('Vendor Options'!$P$2:$P$284="PRICED"))))</x:f>
      </x:c>
      <x:c r="V49" s="54" t="str">
        <x:f>IF(S49=0,"",MAXIFS('Vendor Options'!$N$2:$N$284,'Vendor Options'!$B$2:$B$284,A49,'Vendor Options'!$P$2:$P$284,"PRICED"))</x:f>
      </x:c>
      <x:c r="W49" s="43" t="str">
        <x:f>IF(P49="REVIEW","REVIEW",IF(T49=0,"REVIEW",IF(S49=0,"NEEDS PRICE","READY")))</x:f>
        <x:v>REVIEW</x:v>
      </x:c>
    </x:row>
    <x:row r="50" ht="15" hidden="0" customHeight="1">
      <x:c r="A50" s="43" t="str">
        <x:v>SPEC-D5FA5E171F76</x:v>
      </x:c>
      <x:c r="B50" s="43" t="str">
        <x:v>EXIT DEVICE</x:v>
      </x:c>
      <x:c r="C50" s="43" t="str">
        <x:v>PANIC / EXIT DEVICE</x:v>
      </x:c>
      <x:c r="D50" s="43" t="str">
        <x:v>MORTISE</x:v>
      </x:c>
      <x:c r="E50" s="43" t="str">
        <x:v>EXIT DEVICE</x:v>
      </x:c>
      <x:c r="F50" s="43" t="str">
        <x:v>NOT APPLICABLE</x:v>
      </x:c>
      <x:c r="G50" s="43" t="str">
        <x:v>36"</x:v>
      </x:c>
      <x:c r="H50" s="43" t="str">
        <x:v>FIRE + WIND</x:v>
      </x:c>
      <x:c r="I50" s="43" t="str"/>
      <x:c r="J50" s="43" t="str"/>
      <x:c r="K50" s="43" t="str"/>
      <x:c r="L50" s="43" t="str"/>
      <x:c r="M50" s="43" t="str">
        <x:v>630</x:v>
      </x:c>
      <x:c r="N50" s="43" t="str"/>
      <x:c r="O50" s="43" t="str">
        <x:v>ACCESSORY / ADDER</x:v>
      </x:c>
      <x:c r="P50" s="43" t="str">
        <x:v>HIGH</x:v>
      </x:c>
      <x:c r="Q50" s="53" t="n">
        <x:f>COUNTIF('Vendor Options'!$B$2:$B$284,A50)</x:f>
        <x:v>1</x:v>
      </x:c>
      <x:c r="R50" s="53" t="n">
        <x:f>COUNTA(_xlfn.UNIQUE(_xlfn._xlws.FILTER('Vendor Options'!$C$2:$C$284,'Vendor Options'!$B$2:$B$284=A50)))</x:f>
        <x:v>1</x:v>
      </x:c>
      <x:c r="S50" s="53" t="n">
        <x:f>COUNTIFS('Vendor Options'!$B$2:$B$284,A50,'Vendor Options'!$P$2:$P$284,"PRICED")</x:f>
        <x:v>0</x:v>
      </x:c>
      <x:c r="T50" s="53" t="n">
        <x:f>COUNTIFS('Vendor Options'!$B$2:$B$284,A50,'Vendor Options'!$Q$2:$Q$284,"ACTIVE")</x:f>
        <x:v>0</x:v>
      </x:c>
      <x:c r="U50" s="54" t="str">
        <x:f>IF(S50=0,"",MIN(_xlfn._xlws.FILTER('Vendor Options'!$N$2:$N$284,('Vendor Options'!$B$2:$B$284=A50)*('Vendor Options'!$P$2:$P$284="PRICED"))))</x:f>
      </x:c>
      <x:c r="V50" s="54" t="str">
        <x:f>IF(S50=0,"",MAXIFS('Vendor Options'!$N$2:$N$284,'Vendor Options'!$B$2:$B$284,A50,'Vendor Options'!$P$2:$P$284,"PRICED"))</x:f>
      </x:c>
      <x:c r="W50" s="43" t="str">
        <x:f>IF(P50="REVIEW","REVIEW",IF(T50=0,"REVIEW",IF(S50=0,"NEEDS PRICE","READY")))</x:f>
        <x:v>REVIEW</x:v>
      </x:c>
    </x:row>
    <x:row r="51" ht="15" hidden="0" customHeight="1">
      <x:c r="A51" s="43" t="str">
        <x:v>SPEC-7BC008234E13</x:v>
      </x:c>
      <x:c r="B51" s="43" t="str">
        <x:v>EXIT DEVICE</x:v>
      </x:c>
      <x:c r="C51" s="43" t="str">
        <x:v>PANIC / EXIT DEVICE</x:v>
      </x:c>
      <x:c r="D51" s="43" t="str">
        <x:v>MORTISE</x:v>
      </x:c>
      <x:c r="E51" s="43" t="str">
        <x:v>EXIT DEVICE</x:v>
      </x:c>
      <x:c r="F51" s="43" t="str">
        <x:v>NOT APPLICABLE</x:v>
      </x:c>
      <x:c r="G51" s="43" t="str">
        <x:v>36"</x:v>
      </x:c>
      <x:c r="H51" s="43" t="str">
        <x:v>FIRE</x:v>
      </x:c>
      <x:c r="I51" s="43" t="str"/>
      <x:c r="J51" s="43" t="str"/>
      <x:c r="K51" s="43" t="str"/>
      <x:c r="L51" s="43" t="str"/>
      <x:c r="M51" s="43" t="str">
        <x:v>630</x:v>
      </x:c>
      <x:c r="N51" s="43" t="str"/>
      <x:c r="O51" s="43" t="str">
        <x:v>ACCESSORY / ADDER</x:v>
      </x:c>
      <x:c r="P51" s="43" t="str">
        <x:v>HIGH</x:v>
      </x:c>
      <x:c r="Q51" s="53" t="n">
        <x:f>COUNTIF('Vendor Options'!$B$2:$B$284,A51)</x:f>
        <x:v>2</x:v>
      </x:c>
      <x:c r="R51" s="53" t="n">
        <x:f>COUNTA(_xlfn.UNIQUE(_xlfn._xlws.FILTER('Vendor Options'!$C$2:$C$284,'Vendor Options'!$B$2:$B$284=A51)))</x:f>
        <x:v>2</x:v>
      </x:c>
      <x:c r="S51" s="53" t="n">
        <x:f>COUNTIFS('Vendor Options'!$B$2:$B$284,A51,'Vendor Options'!$P$2:$P$284,"PRICED")</x:f>
        <x:v>0</x:v>
      </x:c>
      <x:c r="T51" s="53" t="n">
        <x:f>COUNTIFS('Vendor Options'!$B$2:$B$284,A51,'Vendor Options'!$Q$2:$Q$284,"ACTIVE")</x:f>
        <x:v>0</x:v>
      </x:c>
      <x:c r="U51" s="54" t="str">
        <x:f>IF(S51=0,"",MIN(_xlfn._xlws.FILTER('Vendor Options'!$N$2:$N$284,('Vendor Options'!$B$2:$B$284=A51)*('Vendor Options'!$P$2:$P$284="PRICED"))))</x:f>
      </x:c>
      <x:c r="V51" s="54" t="str">
        <x:f>IF(S51=0,"",MAXIFS('Vendor Options'!$N$2:$N$284,'Vendor Options'!$B$2:$B$284,A51,'Vendor Options'!$P$2:$P$284,"PRICED"))</x:f>
      </x:c>
      <x:c r="W51" s="43" t="str">
        <x:f>IF(P51="REVIEW","REVIEW",IF(T51=0,"REVIEW",IF(S51=0,"NEEDS PRICE","READY")))</x:f>
        <x:v>REVIEW</x:v>
      </x:c>
    </x:row>
    <x:row r="52" ht="15" hidden="0" customHeight="1">
      <x:c r="A52" s="43" t="str">
        <x:v>SPEC-30C12BF217D8</x:v>
      </x:c>
      <x:c r="B52" s="43" t="str">
        <x:v>EXIT DEVICE</x:v>
      </x:c>
      <x:c r="C52" s="43" t="str">
        <x:v>PANIC / EXIT DEVICE</x:v>
      </x:c>
      <x:c r="D52" s="43" t="str">
        <x:v>MORTISE</x:v>
      </x:c>
      <x:c r="E52" s="43" t="str">
        <x:v>EXIT DEVICE</x:v>
      </x:c>
      <x:c r="F52" s="43" t="str">
        <x:v>NOT APPLICABLE</x:v>
      </x:c>
      <x:c r="G52" s="43" t="str">
        <x:v>36"</x:v>
      </x:c>
      <x:c r="H52" s="43" t="str">
        <x:v>PANIC</x:v>
      </x:c>
      <x:c r="I52" s="43" t="str"/>
      <x:c r="J52" s="43" t="str"/>
      <x:c r="K52" s="43" t="str"/>
      <x:c r="L52" s="43" t="str"/>
      <x:c r="M52" s="43" t="str">
        <x:v>628</x:v>
      </x:c>
      <x:c r="N52" s="43" t="str"/>
      <x:c r="O52" s="43" t="str"/>
      <x:c r="P52" s="43" t="str">
        <x:v>HIGH</x:v>
      </x:c>
      <x:c r="Q52" s="53" t="n">
        <x:f>COUNTIF('Vendor Options'!$B$2:$B$284,A52)</x:f>
        <x:v>1</x:v>
      </x:c>
      <x:c r="R52" s="53" t="n">
        <x:f>COUNTA(_xlfn.UNIQUE(_xlfn._xlws.FILTER('Vendor Options'!$C$2:$C$284,'Vendor Options'!$B$2:$B$284=A52)))</x:f>
        <x:v>1</x:v>
      </x:c>
      <x:c r="S52" s="53" t="n">
        <x:f>COUNTIFS('Vendor Options'!$B$2:$B$284,A52,'Vendor Options'!$P$2:$P$284,"PRICED")</x:f>
        <x:v>1</x:v>
      </x:c>
      <x:c r="T52" s="53" t="n">
        <x:f>COUNTIFS('Vendor Options'!$B$2:$B$284,A52,'Vendor Options'!$Q$2:$Q$284,"ACTIVE")</x:f>
        <x:v>0</x:v>
      </x:c>
      <x:c r="U52" s="54" t="n">
        <x:f>IF(S52=0,"",MIN(_xlfn._xlws.FILTER('Vendor Options'!$N$2:$N$284,('Vendor Options'!$B$2:$B$284=A52)*('Vendor Options'!$P$2:$P$284="PRICED"))))</x:f>
        <x:v>729.0000000000001</x:v>
      </x:c>
      <x:c r="V52" s="54" t="n">
        <x:f>IF(S52=0,"",MAXIFS('Vendor Options'!$N$2:$N$284,'Vendor Options'!$B$2:$B$284,A52,'Vendor Options'!$P$2:$P$284,"PRICED"))</x:f>
        <x:v>729.0000000000001</x:v>
      </x:c>
      <x:c r="W52" s="43" t="str">
        <x:f>IF(P52="REVIEW","REVIEW",IF(T52=0,"REVIEW",IF(S52=0,"NEEDS PRICE","READY")))</x:f>
        <x:v>REVIEW</x:v>
      </x:c>
    </x:row>
    <x:row r="53" ht="15" hidden="0" customHeight="1">
      <x:c r="A53" s="43" t="str">
        <x:v>SPEC-7DC0219E8813</x:v>
      </x:c>
      <x:c r="B53" s="43" t="str">
        <x:v>EXIT DEVICE</x:v>
      </x:c>
      <x:c r="C53" s="43" t="str">
        <x:v>PANIC / EXIT DEVICE</x:v>
      </x:c>
      <x:c r="D53" s="43" t="str">
        <x:v>MORTISE</x:v>
      </x:c>
      <x:c r="E53" s="43" t="str">
        <x:v>EXIT DEVICE</x:v>
      </x:c>
      <x:c r="F53" s="43" t="str">
        <x:v>NOT APPLICABLE</x:v>
      </x:c>
      <x:c r="G53" s="43" t="str">
        <x:v>36"</x:v>
      </x:c>
      <x:c r="H53" s="43" t="str">
        <x:v>PANIC</x:v>
      </x:c>
      <x:c r="I53" s="43" t="str"/>
      <x:c r="J53" s="43" t="str"/>
      <x:c r="K53" s="43" t="str"/>
      <x:c r="L53" s="43" t="str"/>
      <x:c r="M53" s="43" t="str">
        <x:v>630</x:v>
      </x:c>
      <x:c r="N53" s="43" t="str"/>
      <x:c r="O53" s="43" t="str"/>
      <x:c r="P53" s="43" t="str">
        <x:v>HIGH</x:v>
      </x:c>
      <x:c r="Q53" s="53" t="n">
        <x:f>COUNTIF('Vendor Options'!$B$2:$B$284,A53)</x:f>
        <x:v>3</x:v>
      </x:c>
      <x:c r="R53" s="53" t="n">
        <x:f>COUNTA(_xlfn.UNIQUE(_xlfn._xlws.FILTER('Vendor Options'!$C$2:$C$284,'Vendor Options'!$B$2:$B$284=A53)))</x:f>
        <x:v>3</x:v>
      </x:c>
      <x:c r="S53" s="53" t="n">
        <x:f>COUNTIFS('Vendor Options'!$B$2:$B$284,A53,'Vendor Options'!$P$2:$P$284,"PRICED")</x:f>
        <x:v>1</x:v>
      </x:c>
      <x:c r="T53" s="53" t="n">
        <x:f>COUNTIFS('Vendor Options'!$B$2:$B$284,A53,'Vendor Options'!$Q$2:$Q$284,"ACTIVE")</x:f>
        <x:v>0</x:v>
      </x:c>
      <x:c r="U53" s="54" t="n">
        <x:f>IF(S53=0,"",MIN(_xlfn._xlws.FILTER('Vendor Options'!$N$2:$N$284,('Vendor Options'!$B$2:$B$284=A53)*('Vendor Options'!$P$2:$P$284="PRICED"))))</x:f>
        <x:v>729.0000000000001</x:v>
      </x:c>
      <x:c r="V53" s="54" t="n">
        <x:f>IF(S53=0,"",MAXIFS('Vendor Options'!$N$2:$N$284,'Vendor Options'!$B$2:$B$284,A53,'Vendor Options'!$P$2:$P$284,"PRICED"))</x:f>
        <x:v>729.0000000000001</x:v>
      </x:c>
      <x:c r="W53" s="43" t="str">
        <x:f>IF(P53="REVIEW","REVIEW",IF(T53=0,"REVIEW",IF(S53=0,"NEEDS PRICE","READY")))</x:f>
        <x:v>REVIEW</x:v>
      </x:c>
    </x:row>
    <x:row r="54" ht="15" hidden="0" customHeight="1">
      <x:c r="A54" s="43" t="str">
        <x:v>SPEC-68F1122034DD</x:v>
      </x:c>
      <x:c r="B54" s="43" t="str">
        <x:v>EXIT DEVICE</x:v>
      </x:c>
      <x:c r="C54" s="43" t="str">
        <x:v>PANIC / EXIT DEVICE</x:v>
      </x:c>
      <x:c r="D54" s="43" t="str">
        <x:v>MORTISE</x:v>
      </x:c>
      <x:c r="E54" s="43" t="str">
        <x:v>EXIT DEVICE</x:v>
      </x:c>
      <x:c r="F54" s="43" t="str">
        <x:v>NOT APPLICABLE</x:v>
      </x:c>
      <x:c r="G54" s="43" t="str">
        <x:v>36"</x:v>
      </x:c>
      <x:c r="H54" s="43" t="str">
        <x:v>TDI</x:v>
      </x:c>
      <x:c r="I54" s="43" t="str"/>
      <x:c r="J54" s="43" t="str"/>
      <x:c r="K54" s="43" t="str"/>
      <x:c r="L54" s="43" t="str"/>
      <x:c r="M54" s="43" t="str">
        <x:v>630</x:v>
      </x:c>
      <x:c r="N54" s="43" t="str"/>
      <x:c r="O54" s="43" t="str">
        <x:v>ACCESSORY / ADDER</x:v>
      </x:c>
      <x:c r="P54" s="43" t="str">
        <x:v>HIGH</x:v>
      </x:c>
      <x:c r="Q54" s="53" t="n">
        <x:f>COUNTIF('Vendor Options'!$B$2:$B$284,A54)</x:f>
        <x:v>1</x:v>
      </x:c>
      <x:c r="R54" s="53" t="n">
        <x:f>COUNTA(_xlfn.UNIQUE(_xlfn._xlws.FILTER('Vendor Options'!$C$2:$C$284,'Vendor Options'!$B$2:$B$284=A54)))</x:f>
        <x:v>1</x:v>
      </x:c>
      <x:c r="S54" s="53" t="n">
        <x:f>COUNTIFS('Vendor Options'!$B$2:$B$284,A54,'Vendor Options'!$P$2:$P$284,"PRICED")</x:f>
        <x:v>0</x:v>
      </x:c>
      <x:c r="T54" s="53" t="n">
        <x:f>COUNTIFS('Vendor Options'!$B$2:$B$284,A54,'Vendor Options'!$Q$2:$Q$284,"ACTIVE")</x:f>
        <x:v>0</x:v>
      </x:c>
      <x:c r="U54" s="54" t="str">
        <x:f>IF(S54=0,"",MIN(_xlfn._xlws.FILTER('Vendor Options'!$N$2:$N$284,('Vendor Options'!$B$2:$B$284=A54)*('Vendor Options'!$P$2:$P$284="PRICED"))))</x:f>
      </x:c>
      <x:c r="V54" s="54" t="str">
        <x:f>IF(S54=0,"",MAXIFS('Vendor Options'!$N$2:$N$284,'Vendor Options'!$B$2:$B$284,A54,'Vendor Options'!$P$2:$P$284,"PRICED"))</x:f>
      </x:c>
      <x:c r="W54" s="43" t="str">
        <x:f>IF(P54="REVIEW","REVIEW",IF(T54=0,"REVIEW",IF(S54=0,"NEEDS PRICE","READY")))</x:f>
        <x:v>REVIEW</x:v>
      </x:c>
    </x:row>
    <x:row r="55" ht="15" hidden="0" customHeight="1">
      <x:c r="A55" s="43" t="str">
        <x:v>SPEC-B447A07B7E5E</x:v>
      </x:c>
      <x:c r="B55" s="43" t="str">
        <x:v>EXIT DEVICE</x:v>
      </x:c>
      <x:c r="C55" s="43" t="str">
        <x:v>PANIC / EXIT DEVICE</x:v>
      </x:c>
      <x:c r="D55" s="43" t="str">
        <x:v>MORTISE</x:v>
      </x:c>
      <x:c r="E55" s="43" t="str">
        <x:v>EXIT DEVICE</x:v>
      </x:c>
      <x:c r="F55" s="43" t="str">
        <x:v>NOT APPLICABLE</x:v>
      </x:c>
      <x:c r="G55" s="43" t="str">
        <x:v>36"</x:v>
      </x:c>
      <x:c r="H55" s="43" t="str">
        <x:v>WIND</x:v>
      </x:c>
      <x:c r="I55" s="43" t="str"/>
      <x:c r="J55" s="43" t="str"/>
      <x:c r="K55" s="43" t="str"/>
      <x:c r="L55" s="43" t="str"/>
      <x:c r="M55" s="43" t="str">
        <x:v>630</x:v>
      </x:c>
      <x:c r="N55" s="43" t="str"/>
      <x:c r="O55" s="43" t="str">
        <x:v>ACCESSORY / ADDER</x:v>
      </x:c>
      <x:c r="P55" s="43" t="str">
        <x:v>HIGH</x:v>
      </x:c>
      <x:c r="Q55" s="53" t="n">
        <x:f>COUNTIF('Vendor Options'!$B$2:$B$284,A55)</x:f>
        <x:v>2</x:v>
      </x:c>
      <x:c r="R55" s="53" t="n">
        <x:f>COUNTA(_xlfn.UNIQUE(_xlfn._xlws.FILTER('Vendor Options'!$C$2:$C$284,'Vendor Options'!$B$2:$B$284=A55)))</x:f>
        <x:v>2</x:v>
      </x:c>
      <x:c r="S55" s="53" t="n">
        <x:f>COUNTIFS('Vendor Options'!$B$2:$B$284,A55,'Vendor Options'!$P$2:$P$284,"PRICED")</x:f>
        <x:v>0</x:v>
      </x:c>
      <x:c r="T55" s="53" t="n">
        <x:f>COUNTIFS('Vendor Options'!$B$2:$B$284,A55,'Vendor Options'!$Q$2:$Q$284,"ACTIVE")</x:f>
        <x:v>0</x:v>
      </x:c>
      <x:c r="U55" s="54" t="str">
        <x:f>IF(S55=0,"",MIN(_xlfn._xlws.FILTER('Vendor Options'!$N$2:$N$284,('Vendor Options'!$B$2:$B$284=A55)*('Vendor Options'!$P$2:$P$284="PRICED"))))</x:f>
      </x:c>
      <x:c r="V55" s="54" t="str">
        <x:f>IF(S55=0,"",MAXIFS('Vendor Options'!$N$2:$N$284,'Vendor Options'!$B$2:$B$284,A55,'Vendor Options'!$P$2:$P$284,"PRICED"))</x:f>
      </x:c>
      <x:c r="W55" s="43" t="str">
        <x:f>IF(P55="REVIEW","REVIEW",IF(T55=0,"REVIEW",IF(S55=0,"NEEDS PRICE","READY")))</x:f>
        <x:v>REVIEW</x:v>
      </x:c>
    </x:row>
    <x:row r="56" ht="15" hidden="0" customHeight="1">
      <x:c r="A56" s="43" t="str">
        <x:v>SPEC-084F11D098B8</x:v>
      </x:c>
      <x:c r="B56" s="43" t="str">
        <x:v>EXIT DEVICE</x:v>
      </x:c>
      <x:c r="C56" s="43" t="str">
        <x:v>PANIC / EXIT DEVICE</x:v>
      </x:c>
      <x:c r="D56" s="43" t="str">
        <x:v>MORTISE</x:v>
      </x:c>
      <x:c r="E56" s="43" t="str">
        <x:v>EXIT DEVICE</x:v>
      </x:c>
      <x:c r="F56" s="43" t="str">
        <x:v>NOT APPLICABLE</x:v>
      </x:c>
      <x:c r="G56" s="43" t="str">
        <x:v>48"</x:v>
      </x:c>
      <x:c r="H56" s="43" t="str">
        <x:v>FIRE + WIND</x:v>
      </x:c>
      <x:c r="I56" s="43" t="str"/>
      <x:c r="J56" s="43" t="str"/>
      <x:c r="K56" s="43" t="str"/>
      <x:c r="L56" s="43" t="str"/>
      <x:c r="M56" s="43" t="str">
        <x:v>630</x:v>
      </x:c>
      <x:c r="N56" s="43" t="str"/>
      <x:c r="O56" s="43" t="str">
        <x:v>ACCESSORY / ADDER</x:v>
      </x:c>
      <x:c r="P56" s="43" t="str">
        <x:v>HIGH</x:v>
      </x:c>
      <x:c r="Q56" s="53" t="n">
        <x:f>COUNTIF('Vendor Options'!$B$2:$B$284,A56)</x:f>
        <x:v>1</x:v>
      </x:c>
      <x:c r="R56" s="53" t="n">
        <x:f>COUNTA(_xlfn.UNIQUE(_xlfn._xlws.FILTER('Vendor Options'!$C$2:$C$284,'Vendor Options'!$B$2:$B$284=A56)))</x:f>
        <x:v>1</x:v>
      </x:c>
      <x:c r="S56" s="53" t="n">
        <x:f>COUNTIFS('Vendor Options'!$B$2:$B$284,A56,'Vendor Options'!$P$2:$P$284,"PRICED")</x:f>
        <x:v>0</x:v>
      </x:c>
      <x:c r="T56" s="53" t="n">
        <x:f>COUNTIFS('Vendor Options'!$B$2:$B$284,A56,'Vendor Options'!$Q$2:$Q$284,"ACTIVE")</x:f>
        <x:v>0</x:v>
      </x:c>
      <x:c r="U56" s="54" t="str">
        <x:f>IF(S56=0,"",MIN(_xlfn._xlws.FILTER('Vendor Options'!$N$2:$N$284,('Vendor Options'!$B$2:$B$284=A56)*('Vendor Options'!$P$2:$P$284="PRICED"))))</x:f>
      </x:c>
      <x:c r="V56" s="54" t="str">
        <x:f>IF(S56=0,"",MAXIFS('Vendor Options'!$N$2:$N$284,'Vendor Options'!$B$2:$B$284,A56,'Vendor Options'!$P$2:$P$284,"PRICED"))</x:f>
      </x:c>
      <x:c r="W56" s="43" t="str">
        <x:f>IF(P56="REVIEW","REVIEW",IF(T56=0,"REVIEW",IF(S56=0,"NEEDS PRICE","READY")))</x:f>
        <x:v>REVIEW</x:v>
      </x:c>
    </x:row>
    <x:row r="57" ht="15" hidden="0" customHeight="1">
      <x:c r="A57" s="43" t="str">
        <x:v>SPEC-0FB060D1DA6E</x:v>
      </x:c>
      <x:c r="B57" s="43" t="str">
        <x:v>EXIT DEVICE</x:v>
      </x:c>
      <x:c r="C57" s="43" t="str">
        <x:v>PANIC / EXIT DEVICE</x:v>
      </x:c>
      <x:c r="D57" s="43" t="str">
        <x:v>MORTISE</x:v>
      </x:c>
      <x:c r="E57" s="43" t="str">
        <x:v>EXIT DEVICE</x:v>
      </x:c>
      <x:c r="F57" s="43" t="str">
        <x:v>NOT APPLICABLE</x:v>
      </x:c>
      <x:c r="G57" s="43" t="str">
        <x:v>48"</x:v>
      </x:c>
      <x:c r="H57" s="43" t="str">
        <x:v>FIRE + WIND</x:v>
      </x:c>
      <x:c r="I57" s="43" t="str"/>
      <x:c r="J57" s="43" t="str"/>
      <x:c r="K57" s="43" t="str"/>
      <x:c r="L57" s="43" t="str"/>
      <x:c r="M57" s="43" t="str">
        <x:v>630</x:v>
      </x:c>
      <x:c r="N57" s="43" t="str">
        <x:v>ELECTRIC DOGGING</x:v>
      </x:c>
      <x:c r="O57" s="43" t="str">
        <x:v>ACCESSORY / ADDER</x:v>
      </x:c>
      <x:c r="P57" s="43" t="str">
        <x:v>HIGH</x:v>
      </x:c>
      <x:c r="Q57" s="53" t="n">
        <x:f>COUNTIF('Vendor Options'!$B$2:$B$284,A57)</x:f>
        <x:v>1</x:v>
      </x:c>
      <x:c r="R57" s="53" t="n">
        <x:f>COUNTA(_xlfn.UNIQUE(_xlfn._xlws.FILTER('Vendor Options'!$C$2:$C$284,'Vendor Options'!$B$2:$B$284=A57)))</x:f>
        <x:v>1</x:v>
      </x:c>
      <x:c r="S57" s="53" t="n">
        <x:f>COUNTIFS('Vendor Options'!$B$2:$B$284,A57,'Vendor Options'!$P$2:$P$284,"PRICED")</x:f>
        <x:v>0</x:v>
      </x:c>
      <x:c r="T57" s="53" t="n">
        <x:f>COUNTIFS('Vendor Options'!$B$2:$B$284,A57,'Vendor Options'!$Q$2:$Q$284,"ACTIVE")</x:f>
        <x:v>0</x:v>
      </x:c>
      <x:c r="U57" s="54" t="str">
        <x:f>IF(S57=0,"",MIN(_xlfn._xlws.FILTER('Vendor Options'!$N$2:$N$284,('Vendor Options'!$B$2:$B$284=A57)*('Vendor Options'!$P$2:$P$284="PRICED"))))</x:f>
      </x:c>
      <x:c r="V57" s="54" t="str">
        <x:f>IF(S57=0,"",MAXIFS('Vendor Options'!$N$2:$N$284,'Vendor Options'!$B$2:$B$284,A57,'Vendor Options'!$P$2:$P$284,"PRICED"))</x:f>
      </x:c>
      <x:c r="W57" s="43" t="str">
        <x:f>IF(P57="REVIEW","REVIEW",IF(T57=0,"REVIEW",IF(S57=0,"NEEDS PRICE","READY")))</x:f>
        <x:v>REVIEW</x:v>
      </x:c>
    </x:row>
    <x:row r="58" ht="15" hidden="0" customHeight="1">
      <x:c r="A58" s="43" t="str">
        <x:v>SPEC-6F1E288CFD07</x:v>
      </x:c>
      <x:c r="B58" s="43" t="str">
        <x:v>EXIT DEVICE</x:v>
      </x:c>
      <x:c r="C58" s="43" t="str">
        <x:v>PANIC / EXIT DEVICE</x:v>
      </x:c>
      <x:c r="D58" s="43" t="str">
        <x:v>MORTISE</x:v>
      </x:c>
      <x:c r="E58" s="43" t="str">
        <x:v>EXIT DEVICE</x:v>
      </x:c>
      <x:c r="F58" s="43" t="str">
        <x:v>NOT APPLICABLE</x:v>
      </x:c>
      <x:c r="G58" s="43" t="str">
        <x:v>48"</x:v>
      </x:c>
      <x:c r="H58" s="43" t="str">
        <x:v>FIRE + WIND</x:v>
      </x:c>
      <x:c r="I58" s="43" t="str"/>
      <x:c r="J58" s="43" t="str"/>
      <x:c r="K58" s="43" t="str"/>
      <x:c r="L58" s="43" t="str"/>
      <x:c r="M58" s="43" t="str">
        <x:v>630</x:v>
      </x:c>
      <x:c r="N58" s="43" t="str">
        <x:v>MOTORIZED LATCH RETRACTION</x:v>
      </x:c>
      <x:c r="O58" s="43" t="str">
        <x:v>ACCESSORY / ADDER</x:v>
      </x:c>
      <x:c r="P58" s="43" t="str">
        <x:v>HIGH</x:v>
      </x:c>
      <x:c r="Q58" s="53" t="n">
        <x:f>COUNTIF('Vendor Options'!$B$2:$B$284,A58)</x:f>
        <x:v>1</x:v>
      </x:c>
      <x:c r="R58" s="53" t="n">
        <x:f>COUNTA(_xlfn.UNIQUE(_xlfn._xlws.FILTER('Vendor Options'!$C$2:$C$284,'Vendor Options'!$B$2:$B$284=A58)))</x:f>
        <x:v>1</x:v>
      </x:c>
      <x:c r="S58" s="53" t="n">
        <x:f>COUNTIFS('Vendor Options'!$B$2:$B$284,A58,'Vendor Options'!$P$2:$P$284,"PRICED")</x:f>
        <x:v>0</x:v>
      </x:c>
      <x:c r="T58" s="53" t="n">
        <x:f>COUNTIFS('Vendor Options'!$B$2:$B$284,A58,'Vendor Options'!$Q$2:$Q$284,"ACTIVE")</x:f>
        <x:v>0</x:v>
      </x:c>
      <x:c r="U58" s="54" t="str">
        <x:f>IF(S58=0,"",MIN(_xlfn._xlws.FILTER('Vendor Options'!$N$2:$N$284,('Vendor Options'!$B$2:$B$284=A58)*('Vendor Options'!$P$2:$P$284="PRICED"))))</x:f>
      </x:c>
      <x:c r="V58" s="54" t="str">
        <x:f>IF(S58=0,"",MAXIFS('Vendor Options'!$N$2:$N$284,'Vendor Options'!$B$2:$B$284,A58,'Vendor Options'!$P$2:$P$284,"PRICED"))</x:f>
      </x:c>
      <x:c r="W58" s="43" t="str">
        <x:f>IF(P58="REVIEW","REVIEW",IF(T58=0,"REVIEW",IF(S58=0,"NEEDS PRICE","READY")))</x:f>
        <x:v>REVIEW</x:v>
      </x:c>
    </x:row>
    <x:row r="59" ht="15" hidden="0" customHeight="1">
      <x:c r="A59" s="43" t="str">
        <x:v>SPEC-3CB1A46F231A</x:v>
      </x:c>
      <x:c r="B59" s="43" t="str">
        <x:v>EXIT DEVICE</x:v>
      </x:c>
      <x:c r="C59" s="43" t="str">
        <x:v>PANIC / EXIT DEVICE</x:v>
      </x:c>
      <x:c r="D59" s="43" t="str">
        <x:v>MORTISE</x:v>
      </x:c>
      <x:c r="E59" s="43" t="str">
        <x:v>EXIT DEVICE</x:v>
      </x:c>
      <x:c r="F59" s="43" t="str">
        <x:v>NOT APPLICABLE</x:v>
      </x:c>
      <x:c r="G59" s="43" t="str">
        <x:v>48"</x:v>
      </x:c>
      <x:c r="H59" s="43" t="str">
        <x:v>FIRE</x:v>
      </x:c>
      <x:c r="I59" s="43" t="str"/>
      <x:c r="J59" s="43" t="str"/>
      <x:c r="K59" s="43" t="str"/>
      <x:c r="L59" s="43" t="str"/>
      <x:c r="M59" s="43" t="str">
        <x:v>630</x:v>
      </x:c>
      <x:c r="N59" s="43" t="str"/>
      <x:c r="O59" s="43" t="str">
        <x:v>ACCESSORY / ADDER</x:v>
      </x:c>
      <x:c r="P59" s="43" t="str">
        <x:v>HIGH</x:v>
      </x:c>
      <x:c r="Q59" s="53" t="n">
        <x:f>COUNTIF('Vendor Options'!$B$2:$B$284,A59)</x:f>
        <x:v>2</x:v>
      </x:c>
      <x:c r="R59" s="53" t="n">
        <x:f>COUNTA(_xlfn.UNIQUE(_xlfn._xlws.FILTER('Vendor Options'!$C$2:$C$284,'Vendor Options'!$B$2:$B$284=A59)))</x:f>
        <x:v>2</x:v>
      </x:c>
      <x:c r="S59" s="53" t="n">
        <x:f>COUNTIFS('Vendor Options'!$B$2:$B$284,A59,'Vendor Options'!$P$2:$P$284,"PRICED")</x:f>
        <x:v>0</x:v>
      </x:c>
      <x:c r="T59" s="53" t="n">
        <x:f>COUNTIFS('Vendor Options'!$B$2:$B$284,A59,'Vendor Options'!$Q$2:$Q$284,"ACTIVE")</x:f>
        <x:v>0</x:v>
      </x:c>
      <x:c r="U59" s="54" t="str">
        <x:f>IF(S59=0,"",MIN(_xlfn._xlws.FILTER('Vendor Options'!$N$2:$N$284,('Vendor Options'!$B$2:$B$284=A59)*('Vendor Options'!$P$2:$P$284="PRICED"))))</x:f>
      </x:c>
      <x:c r="V59" s="54" t="str">
        <x:f>IF(S59=0,"",MAXIFS('Vendor Options'!$N$2:$N$284,'Vendor Options'!$B$2:$B$284,A59,'Vendor Options'!$P$2:$P$284,"PRICED"))</x:f>
      </x:c>
      <x:c r="W59" s="43" t="str">
        <x:f>IF(P59="REVIEW","REVIEW",IF(T59=0,"REVIEW",IF(S59=0,"NEEDS PRICE","READY")))</x:f>
        <x:v>REVIEW</x:v>
      </x:c>
    </x:row>
    <x:row r="60" ht="15" hidden="0" customHeight="1">
      <x:c r="A60" s="43" t="str">
        <x:v>SPEC-9EB7474E88A1</x:v>
      </x:c>
      <x:c r="B60" s="43" t="str">
        <x:v>EXIT DEVICE</x:v>
      </x:c>
      <x:c r="C60" s="43" t="str">
        <x:v>PANIC / EXIT DEVICE</x:v>
      </x:c>
      <x:c r="D60" s="43" t="str">
        <x:v>MORTISE</x:v>
      </x:c>
      <x:c r="E60" s="43" t="str">
        <x:v>EXIT DEVICE</x:v>
      </x:c>
      <x:c r="F60" s="43" t="str">
        <x:v>NOT APPLICABLE</x:v>
      </x:c>
      <x:c r="G60" s="43" t="str">
        <x:v>48"</x:v>
      </x:c>
      <x:c r="H60" s="43" t="str">
        <x:v>PANIC</x:v>
      </x:c>
      <x:c r="I60" s="43" t="str"/>
      <x:c r="J60" s="43" t="str"/>
      <x:c r="K60" s="43" t="str"/>
      <x:c r="L60" s="43" t="str"/>
      <x:c r="M60" s="43" t="str">
        <x:v>628</x:v>
      </x:c>
      <x:c r="N60" s="43" t="str"/>
      <x:c r="O60" s="43" t="str"/>
      <x:c r="P60" s="43" t="str">
        <x:v>HIGH</x:v>
      </x:c>
      <x:c r="Q60" s="53" t="n">
        <x:f>COUNTIF('Vendor Options'!$B$2:$B$284,A60)</x:f>
        <x:v>1</x:v>
      </x:c>
      <x:c r="R60" s="53" t="n">
        <x:f>COUNTA(_xlfn.UNIQUE(_xlfn._xlws.FILTER('Vendor Options'!$C$2:$C$284,'Vendor Options'!$B$2:$B$284=A60)))</x:f>
        <x:v>1</x:v>
      </x:c>
      <x:c r="S60" s="53" t="n">
        <x:f>COUNTIFS('Vendor Options'!$B$2:$B$284,A60,'Vendor Options'!$P$2:$P$284,"PRICED")</x:f>
        <x:v>1</x:v>
      </x:c>
      <x:c r="T60" s="53" t="n">
        <x:f>COUNTIFS('Vendor Options'!$B$2:$B$284,A60,'Vendor Options'!$Q$2:$Q$284,"ACTIVE")</x:f>
        <x:v>0</x:v>
      </x:c>
      <x:c r="U60" s="54" t="n">
        <x:f>IF(S60=0,"",MIN(_xlfn._xlws.FILTER('Vendor Options'!$N$2:$N$284,('Vendor Options'!$B$2:$B$284=A60)*('Vendor Options'!$P$2:$P$284="PRICED"))))</x:f>
        <x:v>729.0000000000001</x:v>
      </x:c>
      <x:c r="V60" s="54" t="n">
        <x:f>IF(S60=0,"",MAXIFS('Vendor Options'!$N$2:$N$284,'Vendor Options'!$B$2:$B$284,A60,'Vendor Options'!$P$2:$P$284,"PRICED"))</x:f>
        <x:v>729.0000000000001</x:v>
      </x:c>
      <x:c r="W60" s="43" t="str">
        <x:f>IF(P60="REVIEW","REVIEW",IF(T60=0,"REVIEW",IF(S60=0,"NEEDS PRICE","READY")))</x:f>
        <x:v>REVIEW</x:v>
      </x:c>
    </x:row>
    <x:row r="61" ht="15" hidden="0" customHeight="1">
      <x:c r="A61" s="43" t="str">
        <x:v>SPEC-7A7EA96B996C</x:v>
      </x:c>
      <x:c r="B61" s="43" t="str">
        <x:v>EXIT DEVICE</x:v>
      </x:c>
      <x:c r="C61" s="43" t="str">
        <x:v>PANIC / EXIT DEVICE</x:v>
      </x:c>
      <x:c r="D61" s="43" t="str">
        <x:v>MORTISE</x:v>
      </x:c>
      <x:c r="E61" s="43" t="str">
        <x:v>EXIT DEVICE</x:v>
      </x:c>
      <x:c r="F61" s="43" t="str">
        <x:v>NOT APPLICABLE</x:v>
      </x:c>
      <x:c r="G61" s="43" t="str">
        <x:v>48"</x:v>
      </x:c>
      <x:c r="H61" s="43" t="str">
        <x:v>PANIC</x:v>
      </x:c>
      <x:c r="I61" s="43" t="str"/>
      <x:c r="J61" s="43" t="str"/>
      <x:c r="K61" s="43" t="str"/>
      <x:c r="L61" s="43" t="str"/>
      <x:c r="M61" s="43" t="str">
        <x:v>630</x:v>
      </x:c>
      <x:c r="N61" s="43" t="str"/>
      <x:c r="O61" s="43" t="str"/>
      <x:c r="P61" s="43" t="str">
        <x:v>HIGH</x:v>
      </x:c>
      <x:c r="Q61" s="53" t="n">
        <x:f>COUNTIF('Vendor Options'!$B$2:$B$284,A61)</x:f>
        <x:v>3</x:v>
      </x:c>
      <x:c r="R61" s="53" t="n">
        <x:f>COUNTA(_xlfn.UNIQUE(_xlfn._xlws.FILTER('Vendor Options'!$C$2:$C$284,'Vendor Options'!$B$2:$B$284=A61)))</x:f>
        <x:v>3</x:v>
      </x:c>
      <x:c r="S61" s="53" t="n">
        <x:f>COUNTIFS('Vendor Options'!$B$2:$B$284,A61,'Vendor Options'!$P$2:$P$284,"PRICED")</x:f>
        <x:v>1</x:v>
      </x:c>
      <x:c r="T61" s="53" t="n">
        <x:f>COUNTIFS('Vendor Options'!$B$2:$B$284,A61,'Vendor Options'!$Q$2:$Q$284,"ACTIVE")</x:f>
        <x:v>0</x:v>
      </x:c>
      <x:c r="U61" s="54" t="n">
        <x:f>IF(S61=0,"",MIN(_xlfn._xlws.FILTER('Vendor Options'!$N$2:$N$284,('Vendor Options'!$B$2:$B$284=A61)*('Vendor Options'!$P$2:$P$284="PRICED"))))</x:f>
        <x:v>729.0000000000001</x:v>
      </x:c>
      <x:c r="V61" s="54" t="n">
        <x:f>IF(S61=0,"",MAXIFS('Vendor Options'!$N$2:$N$284,'Vendor Options'!$B$2:$B$284,A61,'Vendor Options'!$P$2:$P$284,"PRICED"))</x:f>
        <x:v>729.0000000000001</x:v>
      </x:c>
      <x:c r="W61" s="43" t="str">
        <x:f>IF(P61="REVIEW","REVIEW",IF(T61=0,"REVIEW",IF(S61=0,"NEEDS PRICE","READY")))</x:f>
        <x:v>REVIEW</x:v>
      </x:c>
    </x:row>
    <x:row r="62" ht="15" hidden="0" customHeight="1">
      <x:c r="A62" s="43" t="str">
        <x:v>SPEC-37236328FE24</x:v>
      </x:c>
      <x:c r="B62" s="43" t="str">
        <x:v>EXIT DEVICE</x:v>
      </x:c>
      <x:c r="C62" s="43" t="str">
        <x:v>PANIC / EXIT DEVICE</x:v>
      </x:c>
      <x:c r="D62" s="43" t="str">
        <x:v>MORTISE</x:v>
      </x:c>
      <x:c r="E62" s="43" t="str">
        <x:v>EXIT DEVICE</x:v>
      </x:c>
      <x:c r="F62" s="43" t="str">
        <x:v>NOT APPLICABLE</x:v>
      </x:c>
      <x:c r="G62" s="43" t="str">
        <x:v>48"</x:v>
      </x:c>
      <x:c r="H62" s="43" t="str">
        <x:v>TDI</x:v>
      </x:c>
      <x:c r="I62" s="43" t="str"/>
      <x:c r="J62" s="43" t="str"/>
      <x:c r="K62" s="43" t="str"/>
      <x:c r="L62" s="43" t="str"/>
      <x:c r="M62" s="43" t="str">
        <x:v>630</x:v>
      </x:c>
      <x:c r="N62" s="43" t="str"/>
      <x:c r="O62" s="43" t="str">
        <x:v>ACCESSORY / ADDER</x:v>
      </x:c>
      <x:c r="P62" s="43" t="str">
        <x:v>HIGH</x:v>
      </x:c>
      <x:c r="Q62" s="53" t="n">
        <x:f>COUNTIF('Vendor Options'!$B$2:$B$284,A62)</x:f>
        <x:v>1</x:v>
      </x:c>
      <x:c r="R62" s="53" t="n">
        <x:f>COUNTA(_xlfn.UNIQUE(_xlfn._xlws.FILTER('Vendor Options'!$C$2:$C$284,'Vendor Options'!$B$2:$B$284=A62)))</x:f>
        <x:v>1</x:v>
      </x:c>
      <x:c r="S62" s="53" t="n">
        <x:f>COUNTIFS('Vendor Options'!$B$2:$B$284,A62,'Vendor Options'!$P$2:$P$284,"PRICED")</x:f>
        <x:v>0</x:v>
      </x:c>
      <x:c r="T62" s="53" t="n">
        <x:f>COUNTIFS('Vendor Options'!$B$2:$B$284,A62,'Vendor Options'!$Q$2:$Q$284,"ACTIVE")</x:f>
        <x:v>0</x:v>
      </x:c>
      <x:c r="U62" s="54" t="str">
        <x:f>IF(S62=0,"",MIN(_xlfn._xlws.FILTER('Vendor Options'!$N$2:$N$284,('Vendor Options'!$B$2:$B$284=A62)*('Vendor Options'!$P$2:$P$284="PRICED"))))</x:f>
      </x:c>
      <x:c r="V62" s="54" t="str">
        <x:f>IF(S62=0,"",MAXIFS('Vendor Options'!$N$2:$N$284,'Vendor Options'!$B$2:$B$284,A62,'Vendor Options'!$P$2:$P$284,"PRICED"))</x:f>
      </x:c>
      <x:c r="W62" s="43" t="str">
        <x:f>IF(P62="REVIEW","REVIEW",IF(T62=0,"REVIEW",IF(S62=0,"NEEDS PRICE","READY")))</x:f>
        <x:v>REVIEW</x:v>
      </x:c>
    </x:row>
    <x:row r="63" ht="15" hidden="0" customHeight="1">
      <x:c r="A63" s="43" t="str">
        <x:v>SPEC-5C9564109A2E</x:v>
      </x:c>
      <x:c r="B63" s="43" t="str">
        <x:v>EXIT DEVICE</x:v>
      </x:c>
      <x:c r="C63" s="43" t="str">
        <x:v>PANIC / EXIT DEVICE</x:v>
      </x:c>
      <x:c r="D63" s="43" t="str">
        <x:v>MORTISE</x:v>
      </x:c>
      <x:c r="E63" s="43" t="str">
        <x:v>EXIT DEVICE</x:v>
      </x:c>
      <x:c r="F63" s="43" t="str">
        <x:v>NOT APPLICABLE</x:v>
      </x:c>
      <x:c r="G63" s="43" t="str">
        <x:v>48"</x:v>
      </x:c>
      <x:c r="H63" s="43" t="str">
        <x:v>WIND</x:v>
      </x:c>
      <x:c r="I63" s="43" t="str"/>
      <x:c r="J63" s="43" t="str"/>
      <x:c r="K63" s="43" t="str"/>
      <x:c r="L63" s="43" t="str"/>
      <x:c r="M63" s="43" t="str">
        <x:v>630</x:v>
      </x:c>
      <x:c r="N63" s="43" t="str"/>
      <x:c r="O63" s="43" t="str">
        <x:v>ACCESSORY / ADDER</x:v>
      </x:c>
      <x:c r="P63" s="43" t="str">
        <x:v>HIGH</x:v>
      </x:c>
      <x:c r="Q63" s="53" t="n">
        <x:f>COUNTIF('Vendor Options'!$B$2:$B$284,A63)</x:f>
        <x:v>2</x:v>
      </x:c>
      <x:c r="R63" s="53" t="n">
        <x:f>COUNTA(_xlfn.UNIQUE(_xlfn._xlws.FILTER('Vendor Options'!$C$2:$C$284,'Vendor Options'!$B$2:$B$284=A63)))</x:f>
        <x:v>2</x:v>
      </x:c>
      <x:c r="S63" s="53" t="n">
        <x:f>COUNTIFS('Vendor Options'!$B$2:$B$284,A63,'Vendor Options'!$P$2:$P$284,"PRICED")</x:f>
        <x:v>0</x:v>
      </x:c>
      <x:c r="T63" s="53" t="n">
        <x:f>COUNTIFS('Vendor Options'!$B$2:$B$284,A63,'Vendor Options'!$Q$2:$Q$284,"ACTIVE")</x:f>
        <x:v>0</x:v>
      </x:c>
      <x:c r="U63" s="54" t="str">
        <x:f>IF(S63=0,"",MIN(_xlfn._xlws.FILTER('Vendor Options'!$N$2:$N$284,('Vendor Options'!$B$2:$B$284=A63)*('Vendor Options'!$P$2:$P$284="PRICED"))))</x:f>
      </x:c>
      <x:c r="V63" s="54" t="str">
        <x:f>IF(S63=0,"",MAXIFS('Vendor Options'!$N$2:$N$284,'Vendor Options'!$B$2:$B$284,A63,'Vendor Options'!$P$2:$P$284,"PRICED"))</x:f>
      </x:c>
      <x:c r="W63" s="43" t="str">
        <x:f>IF(P63="REVIEW","REVIEW",IF(T63=0,"REVIEW",IF(S63=0,"NEEDS PRICE","READY")))</x:f>
        <x:v>REVIEW</x:v>
      </x:c>
    </x:row>
    <x:row r="64" ht="15" hidden="0" customHeight="1">
      <x:c r="A64" s="43" t="str">
        <x:v>SPEC-88554AFB1435</x:v>
      </x:c>
      <x:c r="B64" s="43" t="str">
        <x:v>EXIT DEVICE</x:v>
      </x:c>
      <x:c r="C64" s="43" t="str">
        <x:v>PANIC / EXIT DEVICE</x:v>
      </x:c>
      <x:c r="D64" s="43" t="str">
        <x:v>RIM</x:v>
      </x:c>
      <x:c r="E64" s="43" t="str">
        <x:v>EXIT DEVICE</x:v>
      </x:c>
      <x:c r="F64" s="43" t="str">
        <x:v>NOT APPLICABLE</x:v>
      </x:c>
      <x:c r="G64" s="43" t="str"/>
      <x:c r="H64" s="43" t="str"/>
      <x:c r="I64" s="43" t="str"/>
      <x:c r="J64" s="43" t="str"/>
      <x:c r="K64" s="43" t="str"/>
      <x:c r="L64" s="43" t="str"/>
      <x:c r="M64" s="43" t="str"/>
      <x:c r="N64" s="43" t="str">
        <x:v>MOTORIZED LATCH RETRACTION</x:v>
      </x:c>
      <x:c r="O64" s="43" t="str">
        <x:v>ACCESSORY / ADDER</x:v>
      </x:c>
      <x:c r="P64" s="43" t="str">
        <x:v>MEDIUM</x:v>
      </x:c>
      <x:c r="Q64" s="53" t="n">
        <x:f>COUNTIF('Vendor Options'!$B$2:$B$284,A64)</x:f>
        <x:v>2</x:v>
      </x:c>
      <x:c r="R64" s="53" t="n">
        <x:f>COUNTA(_xlfn.UNIQUE(_xlfn._xlws.FILTER('Vendor Options'!$C$2:$C$284,'Vendor Options'!$B$2:$B$284=A64)))</x:f>
        <x:v>2</x:v>
      </x:c>
      <x:c r="S64" s="53" t="n">
        <x:f>COUNTIFS('Vendor Options'!$B$2:$B$284,A64,'Vendor Options'!$P$2:$P$284,"PRICED")</x:f>
        <x:v>2</x:v>
      </x:c>
      <x:c r="T64" s="53" t="n">
        <x:f>COUNTIFS('Vendor Options'!$B$2:$B$284,A64,'Vendor Options'!$Q$2:$Q$284,"ACTIVE")</x:f>
        <x:v>0</x:v>
      </x:c>
      <x:c r="U64" s="54" t="n">
        <x:f>IF(S64=0,"",MIN(_xlfn._xlws.FILTER('Vendor Options'!$N$2:$N$284,('Vendor Options'!$B$2:$B$284=A64)*('Vendor Options'!$P$2:$P$284="PRICED"))))</x:f>
        <x:v>1410</x:v>
      </x:c>
      <x:c r="V64" s="54" t="n">
        <x:f>IF(S64=0,"",MAXIFS('Vendor Options'!$N$2:$N$284,'Vendor Options'!$B$2:$B$284,A64,'Vendor Options'!$P$2:$P$284,"PRICED"))</x:f>
        <x:v>1577</x:v>
      </x:c>
      <x:c r="W64" s="43" t="str">
        <x:f>IF(P64="REVIEW","REVIEW",IF(T64=0,"REVIEW",IF(S64=0,"NEEDS PRICE","READY")))</x:f>
        <x:v>REVIEW</x:v>
      </x:c>
    </x:row>
    <x:row r="65" ht="15" hidden="0" customHeight="1">
      <x:c r="A65" s="43" t="str">
        <x:v>SPEC-F0001889C9A7</x:v>
      </x:c>
      <x:c r="B65" s="43" t="str">
        <x:v>EXIT DEVICE</x:v>
      </x:c>
      <x:c r="C65" s="43" t="str">
        <x:v>PANIC / EXIT DEVICE</x:v>
      </x:c>
      <x:c r="D65" s="43" t="str">
        <x:v>RIM</x:v>
      </x:c>
      <x:c r="E65" s="43" t="str">
        <x:v>EXIT DEVICE</x:v>
      </x:c>
      <x:c r="F65" s="43" t="str">
        <x:v>NOT APPLICABLE</x:v>
      </x:c>
      <x:c r="G65" s="43" t="str"/>
      <x:c r="H65" s="43" t="str"/>
      <x:c r="I65" s="43" t="str"/>
      <x:c r="J65" s="43" t="str"/>
      <x:c r="K65" s="43" t="str"/>
      <x:c r="L65" s="43" t="str"/>
      <x:c r="M65" s="43" t="str"/>
      <x:c r="N65" s="43" t="str">
        <x:v>LATCH BOLT MONITOR</x:v>
      </x:c>
      <x:c r="O65" s="43" t="str">
        <x:v>ACCESSORY / ADDER</x:v>
      </x:c>
      <x:c r="P65" s="43" t="str">
        <x:v>MEDIUM</x:v>
      </x:c>
      <x:c r="Q65" s="53" t="n">
        <x:f>COUNTIF('Vendor Options'!$B$2:$B$284,A65)</x:f>
        <x:v>2</x:v>
      </x:c>
      <x:c r="R65" s="53" t="n">
        <x:f>COUNTA(_xlfn.UNIQUE(_xlfn._xlws.FILTER('Vendor Options'!$C$2:$C$284,'Vendor Options'!$B$2:$B$284=A65)))</x:f>
        <x:v>2</x:v>
      </x:c>
      <x:c r="S65" s="53" t="n">
        <x:f>COUNTIFS('Vendor Options'!$B$2:$B$284,A65,'Vendor Options'!$P$2:$P$284,"PRICED")</x:f>
        <x:v>1</x:v>
      </x:c>
      <x:c r="T65" s="53" t="n">
        <x:f>COUNTIFS('Vendor Options'!$B$2:$B$284,A65,'Vendor Options'!$Q$2:$Q$284,"ACTIVE")</x:f>
        <x:v>0</x:v>
      </x:c>
      <x:c r="U65" s="54" t="n">
        <x:f>IF(S65=0,"",MIN(_xlfn._xlws.FILTER('Vendor Options'!$N$2:$N$284,('Vendor Options'!$B$2:$B$284=A65)*('Vendor Options'!$P$2:$P$284="PRICED"))))</x:f>
        <x:v>372</x:v>
      </x:c>
      <x:c r="V65" s="54" t="n">
        <x:f>IF(S65=0,"",MAXIFS('Vendor Options'!$N$2:$N$284,'Vendor Options'!$B$2:$B$284,A65,'Vendor Options'!$P$2:$P$284,"PRICED"))</x:f>
        <x:v>372</x:v>
      </x:c>
      <x:c r="W65" s="43" t="str">
        <x:f>IF(P65="REVIEW","REVIEW",IF(T65=0,"REVIEW",IF(S65=0,"NEEDS PRICE","READY")))</x:f>
        <x:v>REVIEW</x:v>
      </x:c>
    </x:row>
    <x:row r="66" ht="15" hidden="0" customHeight="1">
      <x:c r="A66" s="43" t="str">
        <x:v>SPEC-0BAC690514BC</x:v>
      </x:c>
      <x:c r="B66" s="43" t="str">
        <x:v>EXIT DEVICE</x:v>
      </x:c>
      <x:c r="C66" s="43" t="str">
        <x:v>PANIC / EXIT DEVICE</x:v>
      </x:c>
      <x:c r="D66" s="43" t="str">
        <x:v>RIM</x:v>
      </x:c>
      <x:c r="E66" s="43" t="str">
        <x:v>EXIT DEVICE</x:v>
      </x:c>
      <x:c r="F66" s="43" t="str">
        <x:v>NOT APPLICABLE</x:v>
      </x:c>
      <x:c r="G66" s="43" t="str"/>
      <x:c r="H66" s="43" t="str"/>
      <x:c r="I66" s="43" t="str"/>
      <x:c r="J66" s="43" t="str"/>
      <x:c r="K66" s="43" t="str"/>
      <x:c r="L66" s="43" t="str"/>
      <x:c r="M66" s="43" t="str">
        <x:v>630</x:v>
      </x:c>
      <x:c r="N66" s="43" t="str">
        <x:v>FAIL SAFE</x:v>
      </x:c>
      <x:c r="O66" s="43" t="str"/>
      <x:c r="P66" s="43" t="str">
        <x:v>HIGH</x:v>
      </x:c>
      <x:c r="Q66" s="53" t="n">
        <x:f>COUNTIF('Vendor Options'!$B$2:$B$284,A66)</x:f>
        <x:v>1</x:v>
      </x:c>
      <x:c r="R66" s="53" t="n">
        <x:f>COUNTA(_xlfn.UNIQUE(_xlfn._xlws.FILTER('Vendor Options'!$C$2:$C$284,'Vendor Options'!$B$2:$B$284=A66)))</x:f>
        <x:v>1</x:v>
      </x:c>
      <x:c r="S66" s="53" t="n">
        <x:f>COUNTIFS('Vendor Options'!$B$2:$B$284,A66,'Vendor Options'!$P$2:$P$284,"PRICED")</x:f>
        <x:v>1</x:v>
      </x:c>
      <x:c r="T66" s="53" t="n">
        <x:f>COUNTIFS('Vendor Options'!$B$2:$B$284,A66,'Vendor Options'!$Q$2:$Q$284,"ACTIVE")</x:f>
        <x:v>0</x:v>
      </x:c>
      <x:c r="U66" s="54" t="n">
        <x:f>IF(S66=0,"",MIN(_xlfn._xlws.FILTER('Vendor Options'!$N$2:$N$284,('Vendor Options'!$B$2:$B$284=A66)*('Vendor Options'!$P$2:$P$284="PRICED"))))</x:f>
        <x:v>2408</x:v>
      </x:c>
      <x:c r="V66" s="54" t="n">
        <x:f>IF(S66=0,"",MAXIFS('Vendor Options'!$N$2:$N$284,'Vendor Options'!$B$2:$B$284,A66,'Vendor Options'!$P$2:$P$284,"PRICED"))</x:f>
        <x:v>2408</x:v>
      </x:c>
      <x:c r="W66" s="43" t="str">
        <x:f>IF(P66="REVIEW","REVIEW",IF(T66=0,"REVIEW",IF(S66=0,"NEEDS PRICE","READY")))</x:f>
        <x:v>REVIEW</x:v>
      </x:c>
    </x:row>
    <x:row r="67" ht="15" hidden="0" customHeight="1">
      <x:c r="A67" s="43" t="str">
        <x:v>SPEC-F1E1828AD4E3</x:v>
      </x:c>
      <x:c r="B67" s="43" t="str">
        <x:v>EXIT DEVICE</x:v>
      </x:c>
      <x:c r="C67" s="43" t="str">
        <x:v>PANIC / EXIT DEVICE</x:v>
      </x:c>
      <x:c r="D67" s="43" t="str">
        <x:v>RIM</x:v>
      </x:c>
      <x:c r="E67" s="43" t="str">
        <x:v>EXIT DEVICE</x:v>
      </x:c>
      <x:c r="F67" s="43" t="str">
        <x:v>NOT APPLICABLE</x:v>
      </x:c>
      <x:c r="G67" s="43" t="str"/>
      <x:c r="H67" s="43" t="str"/>
      <x:c r="I67" s="43" t="str"/>
      <x:c r="J67" s="43" t="str"/>
      <x:c r="K67" s="43" t="str"/>
      <x:c r="L67" s="43" t="str"/>
      <x:c r="M67" s="43" t="str">
        <x:v>630</x:v>
      </x:c>
      <x:c r="N67" s="43" t="str"/>
      <x:c r="O67" s="43" t="str"/>
      <x:c r="P67" s="43" t="str">
        <x:v>MEDIUM</x:v>
      </x:c>
      <x:c r="Q67" s="53" t="n">
        <x:f>COUNTIF('Vendor Options'!$B$2:$B$284,A67)</x:f>
        <x:v>2</x:v>
      </x:c>
      <x:c r="R67" s="53" t="n">
        <x:f>COUNTA(_xlfn.UNIQUE(_xlfn._xlws.FILTER('Vendor Options'!$C$2:$C$284,'Vendor Options'!$B$2:$B$284=A67)))</x:f>
        <x:v>1</x:v>
      </x:c>
      <x:c r="S67" s="53" t="n">
        <x:f>COUNTIFS('Vendor Options'!$B$2:$B$284,A67,'Vendor Options'!$P$2:$P$284,"PRICED")</x:f>
        <x:v>2</x:v>
      </x:c>
      <x:c r="T67" s="53" t="n">
        <x:f>COUNTIFS('Vendor Options'!$B$2:$B$284,A67,'Vendor Options'!$Q$2:$Q$284,"ACTIVE")</x:f>
        <x:v>2</x:v>
      </x:c>
      <x:c r="U67" s="54" t="n">
        <x:f>IF(S67=0,"",MIN(_xlfn._xlws.FILTER('Vendor Options'!$N$2:$N$284,('Vendor Options'!$B$2:$B$284=A67)*('Vendor Options'!$P$2:$P$284="PRICED"))))</x:f>
        <x:v>467</x:v>
      </x:c>
      <x:c r="V67" s="54" t="n">
        <x:f>IF(S67=0,"",MAXIFS('Vendor Options'!$N$2:$N$284,'Vendor Options'!$B$2:$B$284,A67,'Vendor Options'!$P$2:$P$284,"PRICED"))</x:f>
        <x:v>1473</x:v>
      </x:c>
      <x:c r="W67" s="43" t="str">
        <x:f>IF(P67="REVIEW","REVIEW",IF(T67=0,"REVIEW",IF(S67=0,"NEEDS PRICE","READY")))</x:f>
        <x:v>READY</x:v>
      </x:c>
    </x:row>
    <x:row r="68" ht="15" hidden="0" customHeight="1">
      <x:c r="A68" s="43" t="str">
        <x:v>SPEC-558A3F2C2CA4</x:v>
      </x:c>
      <x:c r="B68" s="43" t="str">
        <x:v>EXIT DEVICE</x:v>
      </x:c>
      <x:c r="C68" s="43" t="str">
        <x:v>PANIC / EXIT DEVICE</x:v>
      </x:c>
      <x:c r="D68" s="43" t="str">
        <x:v>RIM</x:v>
      </x:c>
      <x:c r="E68" s="43" t="str">
        <x:v>EXIT DEVICE</x:v>
      </x:c>
      <x:c r="F68" s="43" t="str">
        <x:v>NOT APPLICABLE</x:v>
      </x:c>
      <x:c r="G68" s="43" t="str"/>
      <x:c r="H68" s="43" t="str">
        <x:v>FIRE</x:v>
      </x:c>
      <x:c r="I68" s="43" t="str"/>
      <x:c r="J68" s="43" t="str"/>
      <x:c r="K68" s="43" t="str"/>
      <x:c r="L68" s="43" t="str"/>
      <x:c r="M68" s="43" t="str"/>
      <x:c r="N68" s="43" t="str"/>
      <x:c r="O68" s="43" t="str">
        <x:v>ACCESSORY / ADDER</x:v>
      </x:c>
      <x:c r="P68" s="43" t="str">
        <x:v>MEDIUM</x:v>
      </x:c>
      <x:c r="Q68" s="53" t="n">
        <x:f>COUNTIF('Vendor Options'!$B$2:$B$284,A68)</x:f>
        <x:v>1</x:v>
      </x:c>
      <x:c r="R68" s="53" t="n">
        <x:f>COUNTA(_xlfn.UNIQUE(_xlfn._xlws.FILTER('Vendor Options'!$C$2:$C$284,'Vendor Options'!$B$2:$B$284=A68)))</x:f>
        <x:v>1</x:v>
      </x:c>
      <x:c r="S68" s="53" t="n">
        <x:f>COUNTIFS('Vendor Options'!$B$2:$B$284,A68,'Vendor Options'!$P$2:$P$284,"PRICED")</x:f>
        <x:v>1</x:v>
      </x:c>
      <x:c r="T68" s="53" t="n">
        <x:f>COUNTIFS('Vendor Options'!$B$2:$B$284,A68,'Vendor Options'!$Q$2:$Q$284,"ACTIVE")</x:f>
        <x:v>0</x:v>
      </x:c>
      <x:c r="U68" s="54" t="n">
        <x:f>IF(S68=0,"",MIN(_xlfn._xlws.FILTER('Vendor Options'!$N$2:$N$284,('Vendor Options'!$B$2:$B$284=A68)*('Vendor Options'!$P$2:$P$284="PRICED"))))</x:f>
        <x:v>292</x:v>
      </x:c>
      <x:c r="V68" s="54" t="n">
        <x:f>IF(S68=0,"",MAXIFS('Vendor Options'!$N$2:$N$284,'Vendor Options'!$B$2:$B$284,A68,'Vendor Options'!$P$2:$P$284,"PRICED"))</x:f>
        <x:v>292</x:v>
      </x:c>
      <x:c r="W68" s="43" t="str">
        <x:f>IF(P68="REVIEW","REVIEW",IF(T68=0,"REVIEW",IF(S68=0,"NEEDS PRICE","READY")))</x:f>
        <x:v>REVIEW</x:v>
      </x:c>
    </x:row>
    <x:row r="69" ht="15" hidden="0" customHeight="1">
      <x:c r="A69" s="43" t="str">
        <x:v>SPEC-9681E11277B4</x:v>
      </x:c>
      <x:c r="B69" s="43" t="str">
        <x:v>EXIT DEVICE</x:v>
      </x:c>
      <x:c r="C69" s="43" t="str">
        <x:v>PANIC / EXIT DEVICE</x:v>
      </x:c>
      <x:c r="D69" s="43" t="str">
        <x:v>RIM</x:v>
      </x:c>
      <x:c r="E69" s="43" t="str">
        <x:v>EXIT DEVICE</x:v>
      </x:c>
      <x:c r="F69" s="43" t="str">
        <x:v>NOT APPLICABLE</x:v>
      </x:c>
      <x:c r="G69" s="43" t="str"/>
      <x:c r="H69" s="43" t="str">
        <x:v>PANIC</x:v>
      </x:c>
      <x:c r="I69" s="43" t="str"/>
      <x:c r="J69" s="43" t="str"/>
      <x:c r="K69" s="43" t="str"/>
      <x:c r="L69" s="43" t="str"/>
      <x:c r="M69" s="43" t="str">
        <x:v>630</x:v>
      </x:c>
      <x:c r="N69" s="43" t="str">
        <x:v>FAIL SAFE</x:v>
      </x:c>
      <x:c r="O69" s="43" t="str"/>
      <x:c r="P69" s="43" t="str">
        <x:v>HIGH</x:v>
      </x:c>
      <x:c r="Q69" s="53" t="n">
        <x:f>COUNTIF('Vendor Options'!$B$2:$B$284,A69)</x:f>
        <x:v>1</x:v>
      </x:c>
      <x:c r="R69" s="53" t="n">
        <x:f>COUNTA(_xlfn.UNIQUE(_xlfn._xlws.FILTER('Vendor Options'!$C$2:$C$284,'Vendor Options'!$B$2:$B$284=A69)))</x:f>
        <x:v>1</x:v>
      </x:c>
      <x:c r="S69" s="53" t="n">
        <x:f>COUNTIFS('Vendor Options'!$B$2:$B$284,A69,'Vendor Options'!$P$2:$P$284,"PRICED")</x:f>
        <x:v>1</x:v>
      </x:c>
      <x:c r="T69" s="53" t="n">
        <x:f>COUNTIFS('Vendor Options'!$B$2:$B$284,A69,'Vendor Options'!$Q$2:$Q$284,"ACTIVE")</x:f>
        <x:v>0</x:v>
      </x:c>
      <x:c r="U69" s="54" t="n">
        <x:f>IF(S69=0,"",MIN(_xlfn._xlws.FILTER('Vendor Options'!$N$2:$N$284,('Vendor Options'!$B$2:$B$284=A69)*('Vendor Options'!$P$2:$P$284="PRICED"))))</x:f>
        <x:v>5918</x:v>
      </x:c>
      <x:c r="V69" s="54" t="n">
        <x:f>IF(S69=0,"",MAXIFS('Vendor Options'!$N$2:$N$284,'Vendor Options'!$B$2:$B$284,A69,'Vendor Options'!$P$2:$P$284,"PRICED"))</x:f>
        <x:v>5918</x:v>
      </x:c>
      <x:c r="W69" s="43" t="str">
        <x:f>IF(P69="REVIEW","REVIEW",IF(T69=0,"REVIEW",IF(S69=0,"NEEDS PRICE","READY")))</x:f>
        <x:v>REVIEW</x:v>
      </x:c>
    </x:row>
    <x:row r="70" ht="15" hidden="0" customHeight="1">
      <x:c r="A70" s="43" t="str">
        <x:v>SPEC-20C076C9626B</x:v>
      </x:c>
      <x:c r="B70" s="43" t="str">
        <x:v>EXIT DEVICE</x:v>
      </x:c>
      <x:c r="C70" s="43" t="str">
        <x:v>PANIC / EXIT DEVICE</x:v>
      </x:c>
      <x:c r="D70" s="43" t="str">
        <x:v>RIM</x:v>
      </x:c>
      <x:c r="E70" s="43" t="str">
        <x:v>EXIT DEVICE</x:v>
      </x:c>
      <x:c r="F70" s="43" t="str">
        <x:v>NOT APPLICABLE</x:v>
      </x:c>
      <x:c r="G70" s="43" t="str"/>
      <x:c r="H70" s="43" t="str">
        <x:v>TDI</x:v>
      </x:c>
      <x:c r="I70" s="43" t="str"/>
      <x:c r="J70" s="43" t="str"/>
      <x:c r="K70" s="43" t="str"/>
      <x:c r="L70" s="43" t="str"/>
      <x:c r="M70" s="43" t="str"/>
      <x:c r="N70" s="43" t="str"/>
      <x:c r="O70" s="43" t="str">
        <x:v>ACCESSORY / ADDER</x:v>
      </x:c>
      <x:c r="P70" s="43" t="str">
        <x:v>MEDIUM</x:v>
      </x:c>
      <x:c r="Q70" s="53" t="n">
        <x:f>COUNTIF('Vendor Options'!$B$2:$B$284,A70)</x:f>
        <x:v>2</x:v>
      </x:c>
      <x:c r="R70" s="53" t="n">
        <x:f>COUNTA(_xlfn.UNIQUE(_xlfn._xlws.FILTER('Vendor Options'!$C$2:$C$284,'Vendor Options'!$B$2:$B$284=A70)))</x:f>
        <x:v>2</x:v>
      </x:c>
      <x:c r="S70" s="53" t="n">
        <x:f>COUNTIFS('Vendor Options'!$B$2:$B$284,A70,'Vendor Options'!$P$2:$P$284,"PRICED")</x:f>
        <x:v>1</x:v>
      </x:c>
      <x:c r="T70" s="53" t="n">
        <x:f>COUNTIFS('Vendor Options'!$B$2:$B$284,A70,'Vendor Options'!$Q$2:$Q$284,"ACTIVE")</x:f>
        <x:v>0</x:v>
      </x:c>
      <x:c r="U70" s="54" t="n">
        <x:f>IF(S70=0,"",MIN(_xlfn._xlws.FILTER('Vendor Options'!$N$2:$N$284,('Vendor Options'!$B$2:$B$284=A70)*('Vendor Options'!$P$2:$P$284="PRICED"))))</x:f>
        <x:v>67</x:v>
      </x:c>
      <x:c r="V70" s="54" t="n">
        <x:f>IF(S70=0,"",MAXIFS('Vendor Options'!$N$2:$N$284,'Vendor Options'!$B$2:$B$284,A70,'Vendor Options'!$P$2:$P$284,"PRICED"))</x:f>
        <x:v>67</x:v>
      </x:c>
      <x:c r="W70" s="43" t="str">
        <x:f>IF(P70="REVIEW","REVIEW",IF(T70=0,"REVIEW",IF(S70=0,"NEEDS PRICE","READY")))</x:f>
        <x:v>REVIEW</x:v>
      </x:c>
    </x:row>
    <x:row r="71" ht="15" hidden="0" customHeight="1">
      <x:c r="A71" s="43" t="str">
        <x:v>SPEC-283CB2D05CC5</x:v>
      </x:c>
      <x:c r="B71" s="43" t="str">
        <x:v>EXIT DEVICE</x:v>
      </x:c>
      <x:c r="C71" s="43" t="str">
        <x:v>PANIC / EXIT DEVICE</x:v>
      </x:c>
      <x:c r="D71" s="43" t="str">
        <x:v>RIM</x:v>
      </x:c>
      <x:c r="E71" s="43" t="str">
        <x:v>EXIT DEVICE</x:v>
      </x:c>
      <x:c r="F71" s="43" t="str">
        <x:v>NOT APPLICABLE</x:v>
      </x:c>
      <x:c r="G71" s="43" t="str"/>
      <x:c r="H71" s="43" t="str">
        <x:v>WIND</x:v>
      </x:c>
      <x:c r="I71" s="43" t="str"/>
      <x:c r="J71" s="43" t="str"/>
      <x:c r="K71" s="43" t="str"/>
      <x:c r="L71" s="43" t="str"/>
      <x:c r="M71" s="43" t="str"/>
      <x:c r="N71" s="43" t="str"/>
      <x:c r="O71" s="43" t="str">
        <x:v>ACCESSORY / ADDER</x:v>
      </x:c>
      <x:c r="P71" s="43" t="str">
        <x:v>MEDIUM</x:v>
      </x:c>
      <x:c r="Q71" s="53" t="n">
        <x:f>COUNTIF('Vendor Options'!$B$2:$B$284,A71)</x:f>
        <x:v>2</x:v>
      </x:c>
      <x:c r="R71" s="53" t="n">
        <x:f>COUNTA(_xlfn.UNIQUE(_xlfn._xlws.FILTER('Vendor Options'!$C$2:$C$284,'Vendor Options'!$B$2:$B$284=A71)))</x:f>
        <x:v>2</x:v>
      </x:c>
      <x:c r="S71" s="53" t="n">
        <x:f>COUNTIFS('Vendor Options'!$B$2:$B$284,A71,'Vendor Options'!$P$2:$P$284,"PRICED")</x:f>
        <x:v>2</x:v>
      </x:c>
      <x:c r="T71" s="53" t="n">
        <x:f>COUNTIFS('Vendor Options'!$B$2:$B$284,A71,'Vendor Options'!$Q$2:$Q$284,"ACTIVE")</x:f>
        <x:v>0</x:v>
      </x:c>
      <x:c r="U71" s="54" t="n">
        <x:f>IF(S71=0,"",MIN(_xlfn._xlws.FILTER('Vendor Options'!$N$2:$N$284,('Vendor Options'!$B$2:$B$284=A71)*('Vendor Options'!$P$2:$P$284="PRICED"))))</x:f>
        <x:v>67</x:v>
      </x:c>
      <x:c r="V71" s="54" t="n">
        <x:f>IF(S71=0,"",MAXIFS('Vendor Options'!$N$2:$N$284,'Vendor Options'!$B$2:$B$284,A71,'Vendor Options'!$P$2:$P$284,"PRICED"))</x:f>
        <x:v>256</x:v>
      </x:c>
      <x:c r="W71" s="43" t="str">
        <x:f>IF(P71="REVIEW","REVIEW",IF(T71=0,"REVIEW",IF(S71=0,"NEEDS PRICE","READY")))</x:f>
        <x:v>REVIEW</x:v>
      </x:c>
    </x:row>
    <x:row r="72" ht="15" hidden="0" customHeight="1">
      <x:c r="A72" s="43" t="str">
        <x:v>SPEC-A085F19A4362</x:v>
      </x:c>
      <x:c r="B72" s="43" t="str">
        <x:v>EXIT DEVICE</x:v>
      </x:c>
      <x:c r="C72" s="43" t="str">
        <x:v>PANIC / EXIT DEVICE</x:v>
      </x:c>
      <x:c r="D72" s="43" t="str">
        <x:v>RIM</x:v>
      </x:c>
      <x:c r="E72" s="43" t="str">
        <x:v>EXIT DEVICE</x:v>
      </x:c>
      <x:c r="F72" s="43" t="str">
        <x:v>NOT APPLICABLE</x:v>
      </x:c>
      <x:c r="G72" s="43" t="str">
        <x:v>33"</x:v>
      </x:c>
      <x:c r="H72" s="43" t="str">
        <x:v>FIRE</x:v>
      </x:c>
      <x:c r="I72" s="43" t="str"/>
      <x:c r="J72" s="43" t="str"/>
      <x:c r="K72" s="43" t="str"/>
      <x:c r="L72" s="43" t="str"/>
      <x:c r="M72" s="43" t="str">
        <x:v>630</x:v>
      </x:c>
      <x:c r="N72" s="43" t="str"/>
      <x:c r="O72" s="43" t="str"/>
      <x:c r="P72" s="43" t="str">
        <x:v>HIGH</x:v>
      </x:c>
      <x:c r="Q72" s="53" t="n">
        <x:f>COUNTIF('Vendor Options'!$B$2:$B$284,A72)</x:f>
        <x:v>2</x:v>
      </x:c>
      <x:c r="R72" s="53" t="n">
        <x:f>COUNTA(_xlfn.UNIQUE(_xlfn._xlws.FILTER('Vendor Options'!$C$2:$C$284,'Vendor Options'!$B$2:$B$284=A72)))</x:f>
        <x:v>1</x:v>
      </x:c>
      <x:c r="S72" s="53" t="n">
        <x:f>COUNTIFS('Vendor Options'!$B$2:$B$284,A72,'Vendor Options'!$P$2:$P$284,"PRICED")</x:f>
        <x:v>2</x:v>
      </x:c>
      <x:c r="T72" s="53" t="n">
        <x:f>COUNTIFS('Vendor Options'!$B$2:$B$284,A72,'Vendor Options'!$Q$2:$Q$284,"ACTIVE")</x:f>
        <x:v>2</x:v>
      </x:c>
      <x:c r="U72" s="54" t="n">
        <x:f>IF(S72=0,"",MIN(_xlfn._xlws.FILTER('Vendor Options'!$N$2:$N$284,('Vendor Options'!$B$2:$B$284=A72)*('Vendor Options'!$P$2:$P$284="PRICED"))))</x:f>
        <x:v>624.35</x:v>
      </x:c>
      <x:c r="V72" s="54" t="n">
        <x:f>IF(S72=0,"",MAXIFS('Vendor Options'!$N$2:$N$284,'Vendor Options'!$B$2:$B$284,A72,'Vendor Options'!$P$2:$P$284,"PRICED"))</x:f>
        <x:v>1014.2</x:v>
      </x:c>
      <x:c r="W72" s="43" t="str">
        <x:f>IF(P72="REVIEW","REVIEW",IF(T72=0,"REVIEW",IF(S72=0,"NEEDS PRICE","READY")))</x:f>
        <x:v>READY</x:v>
      </x:c>
    </x:row>
    <x:row r="73" ht="15" hidden="0" customHeight="1">
      <x:c r="A73" s="43" t="str">
        <x:v>SPEC-99AC7FBD3B71</x:v>
      </x:c>
      <x:c r="B73" s="43" t="str">
        <x:v>EXIT DEVICE</x:v>
      </x:c>
      <x:c r="C73" s="43" t="str">
        <x:v>PANIC / EXIT DEVICE</x:v>
      </x:c>
      <x:c r="D73" s="43" t="str">
        <x:v>RIM</x:v>
      </x:c>
      <x:c r="E73" s="43" t="str">
        <x:v>EXIT DEVICE</x:v>
      </x:c>
      <x:c r="F73" s="43" t="str">
        <x:v>NOT APPLICABLE</x:v>
      </x:c>
      <x:c r="G73" s="43" t="str">
        <x:v>33"</x:v>
      </x:c>
      <x:c r="H73" s="43" t="str">
        <x:v>FIRE</x:v>
      </x:c>
      <x:c r="I73" s="43" t="str"/>
      <x:c r="J73" s="43" t="str"/>
      <x:c r="K73" s="43" t="str"/>
      <x:c r="L73" s="43" t="str"/>
      <x:c r="M73" s="43" t="str">
        <x:v>689</x:v>
      </x:c>
      <x:c r="N73" s="43" t="str"/>
      <x:c r="O73" s="43" t="str"/>
      <x:c r="P73" s="43" t="str">
        <x:v>HIGH</x:v>
      </x:c>
      <x:c r="Q73" s="53" t="n">
        <x:f>COUNTIF('Vendor Options'!$B$2:$B$284,A73)</x:f>
        <x:v>1</x:v>
      </x:c>
      <x:c r="R73" s="53" t="n">
        <x:f>COUNTA(_xlfn.UNIQUE(_xlfn._xlws.FILTER('Vendor Options'!$C$2:$C$284,'Vendor Options'!$B$2:$B$284=A73)))</x:f>
        <x:v>1</x:v>
      </x:c>
      <x:c r="S73" s="53" t="n">
        <x:f>COUNTIFS('Vendor Options'!$B$2:$B$284,A73,'Vendor Options'!$P$2:$P$284,"PRICED")</x:f>
        <x:v>1</x:v>
      </x:c>
      <x:c r="T73" s="53" t="n">
        <x:f>COUNTIFS('Vendor Options'!$B$2:$B$284,A73,'Vendor Options'!$Q$2:$Q$284,"ACTIVE")</x:f>
        <x:v>1</x:v>
      </x:c>
      <x:c r="U73" s="54" t="n">
        <x:f>IF(S73=0,"",MIN(_xlfn._xlws.FILTER('Vendor Options'!$N$2:$N$284,('Vendor Options'!$B$2:$B$284=A73)*('Vendor Options'!$P$2:$P$284="PRICED"))))</x:f>
        <x:v>289.85</x:v>
      </x:c>
      <x:c r="V73" s="54" t="n">
        <x:f>IF(S73=0,"",MAXIFS('Vendor Options'!$N$2:$N$284,'Vendor Options'!$B$2:$B$284,A73,'Vendor Options'!$P$2:$P$284,"PRICED"))</x:f>
        <x:v>289.85</x:v>
      </x:c>
      <x:c r="W73" s="43" t="str">
        <x:f>IF(P73="REVIEW","REVIEW",IF(T73=0,"REVIEW",IF(S73=0,"NEEDS PRICE","READY")))</x:f>
        <x:v>READY</x:v>
      </x:c>
    </x:row>
    <x:row r="74" ht="15" hidden="0" customHeight="1">
      <x:c r="A74" s="43" t="str">
        <x:v>SPEC-4793A0BD3957</x:v>
      </x:c>
      <x:c r="B74" s="43" t="str">
        <x:v>EXIT DEVICE</x:v>
      </x:c>
      <x:c r="C74" s="43" t="str">
        <x:v>PANIC / EXIT DEVICE</x:v>
      </x:c>
      <x:c r="D74" s="43" t="str">
        <x:v>RIM</x:v>
      </x:c>
      <x:c r="E74" s="43" t="str">
        <x:v>EXIT DEVICE</x:v>
      </x:c>
      <x:c r="F74" s="43" t="str">
        <x:v>NOT APPLICABLE</x:v>
      </x:c>
      <x:c r="G74" s="43" t="str">
        <x:v>33"</x:v>
      </x:c>
      <x:c r="H74" s="43" t="str">
        <x:v>PANIC</x:v>
      </x:c>
      <x:c r="I74" s="43" t="str"/>
      <x:c r="J74" s="43" t="str"/>
      <x:c r="K74" s="43" t="str"/>
      <x:c r="L74" s="43" t="str"/>
      <x:c r="M74" s="43" t="str">
        <x:v>630</x:v>
      </x:c>
      <x:c r="N74" s="43" t="str"/>
      <x:c r="O74" s="43" t="str"/>
      <x:c r="P74" s="43" t="str">
        <x:v>HIGH</x:v>
      </x:c>
      <x:c r="Q74" s="53" t="n">
        <x:f>COUNTIF('Vendor Options'!$B$2:$B$284,A74)</x:f>
        <x:v>2</x:v>
      </x:c>
      <x:c r="R74" s="53" t="n">
        <x:f>COUNTA(_xlfn.UNIQUE(_xlfn._xlws.FILTER('Vendor Options'!$C$2:$C$284,'Vendor Options'!$B$2:$B$284=A74)))</x:f>
        <x:v>1</x:v>
      </x:c>
      <x:c r="S74" s="53" t="n">
        <x:f>COUNTIFS('Vendor Options'!$B$2:$B$284,A74,'Vendor Options'!$P$2:$P$284,"PRICED")</x:f>
        <x:v>2</x:v>
      </x:c>
      <x:c r="T74" s="53" t="n">
        <x:f>COUNTIFS('Vendor Options'!$B$2:$B$284,A74,'Vendor Options'!$Q$2:$Q$284,"ACTIVE")</x:f>
        <x:v>2</x:v>
      </x:c>
      <x:c r="U74" s="54" t="n">
        <x:f>IF(S74=0,"",MIN(_xlfn._xlws.FILTER('Vendor Options'!$N$2:$N$284,('Vendor Options'!$B$2:$B$284=A74)*('Vendor Options'!$P$2:$P$284="PRICED"))))</x:f>
        <x:v>519</x:v>
      </x:c>
      <x:c r="V74" s="54" t="n">
        <x:f>IF(S74=0,"",MAXIFS('Vendor Options'!$N$2:$N$284,'Vendor Options'!$B$2:$B$284,A74,'Vendor Options'!$P$2:$P$284,"PRICED"))</x:f>
        <x:v>930.35</x:v>
      </x:c>
      <x:c r="W74" s="43" t="str">
        <x:f>IF(P74="REVIEW","REVIEW",IF(T74=0,"REVIEW",IF(S74=0,"NEEDS PRICE","READY")))</x:f>
        <x:v>READY</x:v>
      </x:c>
    </x:row>
    <x:row r="75" ht="15" hidden="0" customHeight="1">
      <x:c r="A75" s="43" t="str">
        <x:v>SPEC-6637568F824C</x:v>
      </x:c>
      <x:c r="B75" s="43" t="str">
        <x:v>EXIT DEVICE</x:v>
      </x:c>
      <x:c r="C75" s="43" t="str">
        <x:v>PANIC / EXIT DEVICE</x:v>
      </x:c>
      <x:c r="D75" s="43" t="str">
        <x:v>RIM</x:v>
      </x:c>
      <x:c r="E75" s="43" t="str">
        <x:v>EXIT DEVICE</x:v>
      </x:c>
      <x:c r="F75" s="43" t="str">
        <x:v>NOT APPLICABLE</x:v>
      </x:c>
      <x:c r="G75" s="43" t="str">
        <x:v>33"</x:v>
      </x:c>
      <x:c r="H75" s="43" t="str">
        <x:v>PANIC</x:v>
      </x:c>
      <x:c r="I75" s="43" t="str"/>
      <x:c r="J75" s="43" t="str"/>
      <x:c r="K75" s="43" t="str"/>
      <x:c r="L75" s="43" t="str"/>
      <x:c r="M75" s="43" t="str">
        <x:v>689</x:v>
      </x:c>
      <x:c r="N75" s="43" t="str"/>
      <x:c r="O75" s="43" t="str"/>
      <x:c r="P75" s="43" t="str">
        <x:v>HIGH</x:v>
      </x:c>
      <x:c r="Q75" s="53" t="n">
        <x:f>COUNTIF('Vendor Options'!$B$2:$B$284,A75)</x:f>
        <x:v>1</x:v>
      </x:c>
      <x:c r="R75" s="53" t="n">
        <x:f>COUNTA(_xlfn.UNIQUE(_xlfn._xlws.FILTER('Vendor Options'!$C$2:$C$284,'Vendor Options'!$B$2:$B$284=A75)))</x:f>
        <x:v>1</x:v>
      </x:c>
      <x:c r="S75" s="53" t="n">
        <x:f>COUNTIFS('Vendor Options'!$B$2:$B$284,A75,'Vendor Options'!$P$2:$P$284,"PRICED")</x:f>
        <x:v>1</x:v>
      </x:c>
      <x:c r="T75" s="53" t="n">
        <x:f>COUNTIFS('Vendor Options'!$B$2:$B$284,A75,'Vendor Options'!$Q$2:$Q$284,"ACTIVE")</x:f>
        <x:v>1</x:v>
      </x:c>
      <x:c r="U75" s="54" t="n">
        <x:f>IF(S75=0,"",MIN(_xlfn._xlws.FILTER('Vendor Options'!$N$2:$N$284,('Vendor Options'!$B$2:$B$284=A75)*('Vendor Options'!$P$2:$P$284="PRICED"))))</x:f>
        <x:v>285.6</x:v>
      </x:c>
      <x:c r="V75" s="54" t="n">
        <x:f>IF(S75=0,"",MAXIFS('Vendor Options'!$N$2:$N$284,'Vendor Options'!$B$2:$B$284,A75,'Vendor Options'!$P$2:$P$284,"PRICED"))</x:f>
        <x:v>285.6</x:v>
      </x:c>
      <x:c r="W75" s="43" t="str">
        <x:f>IF(P75="REVIEW","REVIEW",IF(T75=0,"REVIEW",IF(S75=0,"NEEDS PRICE","READY")))</x:f>
        <x:v>READY</x:v>
      </x:c>
    </x:row>
    <x:row r="76" ht="15" hidden="0" customHeight="1">
      <x:c r="A76" s="43" t="str">
        <x:v>SPEC-EBE22E2E7E86</x:v>
      </x:c>
      <x:c r="B76" s="43" t="str">
        <x:v>EXIT DEVICE</x:v>
      </x:c>
      <x:c r="C76" s="43" t="str">
        <x:v>PANIC / EXIT DEVICE</x:v>
      </x:c>
      <x:c r="D76" s="43" t="str">
        <x:v>RIM</x:v>
      </x:c>
      <x:c r="E76" s="43" t="str">
        <x:v>EXIT DEVICE</x:v>
      </x:c>
      <x:c r="F76" s="43" t="str">
        <x:v>NOT APPLICABLE</x:v>
      </x:c>
      <x:c r="G76" s="43" t="str">
        <x:v>36"</x:v>
      </x:c>
      <x:c r="H76" s="43" t="str">
        <x:v>FIRE</x:v>
      </x:c>
      <x:c r="I76" s="43" t="str"/>
      <x:c r="J76" s="43" t="str"/>
      <x:c r="K76" s="43" t="str"/>
      <x:c r="L76" s="43" t="str"/>
      <x:c r="M76" s="43" t="str">
        <x:v>630</x:v>
      </x:c>
      <x:c r="N76" s="43" t="str"/>
      <x:c r="O76" s="43" t="str"/>
      <x:c r="P76" s="43" t="str">
        <x:v>HIGH</x:v>
      </x:c>
      <x:c r="Q76" s="53" t="n">
        <x:f>COUNTIF('Vendor Options'!$B$2:$B$284,A76)</x:f>
        <x:v>2</x:v>
      </x:c>
      <x:c r="R76" s="53" t="n">
        <x:f>COUNTA(_xlfn.UNIQUE(_xlfn._xlws.FILTER('Vendor Options'!$C$2:$C$284,'Vendor Options'!$B$2:$B$284=A76)))</x:f>
        <x:v>2</x:v>
      </x:c>
      <x:c r="S76" s="53" t="n">
        <x:f>COUNTIFS('Vendor Options'!$B$2:$B$284,A76,'Vendor Options'!$P$2:$P$284,"PRICED")</x:f>
        <x:v>2</x:v>
      </x:c>
      <x:c r="T76" s="53" t="n">
        <x:f>COUNTIFS('Vendor Options'!$B$2:$B$284,A76,'Vendor Options'!$Q$2:$Q$284,"ACTIVE")</x:f>
        <x:v>0</x:v>
      </x:c>
      <x:c r="U76" s="54" t="n">
        <x:f>IF(S76=0,"",MIN(_xlfn._xlws.FILTER('Vendor Options'!$N$2:$N$284,('Vendor Options'!$B$2:$B$284=A76)*('Vendor Options'!$P$2:$P$284="PRICED"))))</x:f>
        <x:v>467.62</x:v>
      </x:c>
      <x:c r="V76" s="54" t="n">
        <x:f>IF(S76=0,"",MAXIFS('Vendor Options'!$N$2:$N$284,'Vendor Options'!$B$2:$B$284,A76,'Vendor Options'!$P$2:$P$284,"PRICED"))</x:f>
        <x:v>2408</x:v>
      </x:c>
      <x:c r="W76" s="43" t="str">
        <x:f>IF(P76="REVIEW","REVIEW",IF(T76=0,"REVIEW",IF(S76=0,"NEEDS PRICE","READY")))</x:f>
        <x:v>REVIEW</x:v>
      </x:c>
    </x:row>
    <x:row r="77" ht="15" hidden="0" customHeight="1">
      <x:c r="A77" s="43" t="str">
        <x:v>SPEC-B9693605514D</x:v>
      </x:c>
      <x:c r="B77" s="43" t="str">
        <x:v>EXIT DEVICE</x:v>
      </x:c>
      <x:c r="C77" s="43" t="str">
        <x:v>PANIC / EXIT DEVICE</x:v>
      </x:c>
      <x:c r="D77" s="43" t="str">
        <x:v>RIM</x:v>
      </x:c>
      <x:c r="E77" s="43" t="str">
        <x:v>EXIT DEVICE</x:v>
      </x:c>
      <x:c r="F77" s="43" t="str">
        <x:v>NOT APPLICABLE</x:v>
      </x:c>
      <x:c r="G77" s="43" t="str">
        <x:v>36"</x:v>
      </x:c>
      <x:c r="H77" s="43" t="str">
        <x:v>PANIC</x:v>
      </x:c>
      <x:c r="I77" s="43" t="str"/>
      <x:c r="J77" s="43" t="str"/>
      <x:c r="K77" s="43" t="str"/>
      <x:c r="L77" s="43" t="str"/>
      <x:c r="M77" s="43" t="str">
        <x:v>630</x:v>
      </x:c>
      <x:c r="N77" s="43" t="str"/>
      <x:c r="O77" s="43" t="str"/>
      <x:c r="P77" s="43" t="str">
        <x:v>HIGH</x:v>
      </x:c>
      <x:c r="Q77" s="53" t="n">
        <x:f>COUNTIF('Vendor Options'!$B$2:$B$284,A77)</x:f>
        <x:v>3</x:v>
      </x:c>
      <x:c r="R77" s="53" t="n">
        <x:f>COUNTA(_xlfn.UNIQUE(_xlfn._xlws.FILTER('Vendor Options'!$C$2:$C$284,'Vendor Options'!$B$2:$B$284=A77)))</x:f>
        <x:v>3</x:v>
      </x:c>
      <x:c r="S77" s="53" t="n">
        <x:f>COUNTIFS('Vendor Options'!$B$2:$B$284,A77,'Vendor Options'!$P$2:$P$284,"PRICED")</x:f>
        <x:v>3</x:v>
      </x:c>
      <x:c r="T77" s="53" t="n">
        <x:f>COUNTIFS('Vendor Options'!$B$2:$B$284,A77,'Vendor Options'!$Q$2:$Q$284,"ACTIVE")</x:f>
        <x:v>1</x:v>
      </x:c>
      <x:c r="U77" s="54" t="n">
        <x:f>IF(S77=0,"",MIN(_xlfn._xlws.FILTER('Vendor Options'!$N$2:$N$284,('Vendor Options'!$B$2:$B$284=A77)*('Vendor Options'!$P$2:$P$284="PRICED"))))</x:f>
        <x:v>440.88</x:v>
      </x:c>
      <x:c r="V77" s="54" t="n">
        <x:f>IF(S77=0,"",MAXIFS('Vendor Options'!$N$2:$N$284,'Vendor Options'!$B$2:$B$284,A77,'Vendor Options'!$P$2:$P$284,"PRICED"))</x:f>
        <x:v>2144</x:v>
      </x:c>
      <x:c r="W77" s="43" t="str">
        <x:f>IF(P77="REVIEW","REVIEW",IF(T77=0,"REVIEW",IF(S77=0,"NEEDS PRICE","READY")))</x:f>
        <x:v>READY</x:v>
      </x:c>
    </x:row>
    <x:row r="78" ht="15" hidden="0" customHeight="1">
      <x:c r="A78" s="43" t="str">
        <x:v>SPEC-0C7D8610573F</x:v>
      </x:c>
      <x:c r="B78" s="43" t="str">
        <x:v>EXIT DEVICE</x:v>
      </x:c>
      <x:c r="C78" s="43" t="str">
        <x:v>PANIC / EXIT DEVICE</x:v>
      </x:c>
      <x:c r="D78" s="43" t="str">
        <x:v>RIM</x:v>
      </x:c>
      <x:c r="E78" s="43" t="str">
        <x:v>EXIT DEVICE</x:v>
      </x:c>
      <x:c r="F78" s="43" t="str">
        <x:v>NOT APPLICABLE</x:v>
      </x:c>
      <x:c r="G78" s="43" t="str">
        <x:v>36"</x:v>
      </x:c>
      <x:c r="H78" s="43" t="str">
        <x:v>TDI</x:v>
      </x:c>
      <x:c r="I78" s="43" t="str"/>
      <x:c r="J78" s="43" t="str"/>
      <x:c r="K78" s="43" t="str"/>
      <x:c r="L78" s="43" t="str"/>
      <x:c r="M78" s="43" t="str">
        <x:v>630</x:v>
      </x:c>
      <x:c r="N78" s="43" t="str"/>
      <x:c r="O78" s="43" t="str"/>
      <x:c r="P78" s="43" t="str">
        <x:v>HIGH</x:v>
      </x:c>
      <x:c r="Q78" s="53" t="n">
        <x:f>COUNTIF('Vendor Options'!$B$2:$B$284,A78)</x:f>
        <x:v>1</x:v>
      </x:c>
      <x:c r="R78" s="53" t="n">
        <x:f>COUNTA(_xlfn.UNIQUE(_xlfn._xlws.FILTER('Vendor Options'!$C$2:$C$284,'Vendor Options'!$B$2:$B$284=A78)))</x:f>
        <x:v>1</x:v>
      </x:c>
      <x:c r="S78" s="53" t="n">
        <x:f>COUNTIFS('Vendor Options'!$B$2:$B$284,A78,'Vendor Options'!$P$2:$P$284,"PRICED")</x:f>
        <x:v>1</x:v>
      </x:c>
      <x:c r="T78" s="53" t="n">
        <x:f>COUNTIFS('Vendor Options'!$B$2:$B$284,A78,'Vendor Options'!$Q$2:$Q$284,"ACTIVE")</x:f>
        <x:v>0</x:v>
      </x:c>
      <x:c r="U78" s="54" t="n">
        <x:f>IF(S78=0,"",MIN(_xlfn._xlws.FILTER('Vendor Options'!$N$2:$N$284,('Vendor Options'!$B$2:$B$284=A78)*('Vendor Options'!$P$2:$P$284="PRICED"))))</x:f>
        <x:v>467.62</x:v>
      </x:c>
      <x:c r="V78" s="54" t="n">
        <x:f>IF(S78=0,"",MAXIFS('Vendor Options'!$N$2:$N$284,'Vendor Options'!$B$2:$B$284,A78,'Vendor Options'!$P$2:$P$284,"PRICED"))</x:f>
        <x:v>467.62</x:v>
      </x:c>
      <x:c r="W78" s="43" t="str">
        <x:f>IF(P78="REVIEW","REVIEW",IF(T78=0,"REVIEW",IF(S78=0,"NEEDS PRICE","READY")))</x:f>
        <x:v>REVIEW</x:v>
      </x:c>
    </x:row>
    <x:row r="79" ht="15" hidden="0" customHeight="1">
      <x:c r="A79" s="43" t="str">
        <x:v>SPEC-7935B9EC99E6</x:v>
      </x:c>
      <x:c r="B79" s="43" t="str">
        <x:v>EXIT DEVICE</x:v>
      </x:c>
      <x:c r="C79" s="43" t="str">
        <x:v>PANIC / EXIT DEVICE</x:v>
      </x:c>
      <x:c r="D79" s="43" t="str">
        <x:v>RIM</x:v>
      </x:c>
      <x:c r="E79" s="43" t="str">
        <x:v>EXIT DEVICE</x:v>
      </x:c>
      <x:c r="F79" s="43" t="str">
        <x:v>NOT APPLICABLE</x:v>
      </x:c>
      <x:c r="G79" s="43" t="str">
        <x:v>42"</x:v>
      </x:c>
      <x:c r="H79" s="43" t="str">
        <x:v>FIRE</x:v>
      </x:c>
      <x:c r="I79" s="43" t="str"/>
      <x:c r="J79" s="43" t="str"/>
      <x:c r="K79" s="43" t="str"/>
      <x:c r="L79" s="43" t="str"/>
      <x:c r="M79" s="43" t="str">
        <x:v>630</x:v>
      </x:c>
      <x:c r="N79" s="43" t="str"/>
      <x:c r="O79" s="43" t="str"/>
      <x:c r="P79" s="43" t="str">
        <x:v>HIGH</x:v>
      </x:c>
      <x:c r="Q79" s="53" t="n">
        <x:f>COUNTIF('Vendor Options'!$B$2:$B$284,A79)</x:f>
        <x:v>2</x:v>
      </x:c>
      <x:c r="R79" s="53" t="n">
        <x:f>COUNTA(_xlfn.UNIQUE(_xlfn._xlws.FILTER('Vendor Options'!$C$2:$C$284,'Vendor Options'!$B$2:$B$284=A79)))</x:f>
        <x:v>1</x:v>
      </x:c>
      <x:c r="S79" s="53" t="n">
        <x:f>COUNTIFS('Vendor Options'!$B$2:$B$284,A79,'Vendor Options'!$P$2:$P$284,"PRICED")</x:f>
        <x:v>2</x:v>
      </x:c>
      <x:c r="T79" s="53" t="n">
        <x:f>COUNTIFS('Vendor Options'!$B$2:$B$284,A79,'Vendor Options'!$Q$2:$Q$284,"ACTIVE")</x:f>
        <x:v>1</x:v>
      </x:c>
      <x:c r="U79" s="54" t="n">
        <x:f>IF(S79=0,"",MIN(_xlfn._xlws.FILTER('Vendor Options'!$N$2:$N$284,('Vendor Options'!$B$2:$B$284=A79)*('Vendor Options'!$P$2:$P$284="PRICED"))))</x:f>
        <x:v>678.2</x:v>
      </x:c>
      <x:c r="V79" s="54" t="n">
        <x:f>IF(S79=0,"",MAXIFS('Vendor Options'!$N$2:$N$284,'Vendor Options'!$B$2:$B$284,A79,'Vendor Options'!$P$2:$P$284,"PRICED"))</x:f>
        <x:v>1128.1</x:v>
      </x:c>
      <x:c r="W79" s="43" t="str">
        <x:f>IF(P79="REVIEW","REVIEW",IF(T79=0,"REVIEW",IF(S79=0,"NEEDS PRICE","READY")))</x:f>
        <x:v>READY</x:v>
      </x:c>
    </x:row>
    <x:row r="80" ht="15" hidden="0" customHeight="1">
      <x:c r="A80" s="43" t="str">
        <x:v>SPEC-741297671B6D</x:v>
      </x:c>
      <x:c r="B80" s="43" t="str">
        <x:v>EXIT DEVICE</x:v>
      </x:c>
      <x:c r="C80" s="43" t="str">
        <x:v>PANIC / EXIT DEVICE</x:v>
      </x:c>
      <x:c r="D80" s="43" t="str">
        <x:v>RIM</x:v>
      </x:c>
      <x:c r="E80" s="43" t="str">
        <x:v>EXIT DEVICE</x:v>
      </x:c>
      <x:c r="F80" s="43" t="str">
        <x:v>NOT APPLICABLE</x:v>
      </x:c>
      <x:c r="G80" s="43" t="str">
        <x:v>42"</x:v>
      </x:c>
      <x:c r="H80" s="43" t="str">
        <x:v>FIRE</x:v>
      </x:c>
      <x:c r="I80" s="43" t="str"/>
      <x:c r="J80" s="43" t="str"/>
      <x:c r="K80" s="43" t="str"/>
      <x:c r="L80" s="43" t="str"/>
      <x:c r="M80" s="43" t="str">
        <x:v>689</x:v>
      </x:c>
      <x:c r="N80" s="43" t="str"/>
      <x:c r="O80" s="43" t="str"/>
      <x:c r="P80" s="43" t="str">
        <x:v>HIGH</x:v>
      </x:c>
      <x:c r="Q80" s="53" t="n">
        <x:f>COUNTIF('Vendor Options'!$B$2:$B$284,A80)</x:f>
        <x:v>1</x:v>
      </x:c>
      <x:c r="R80" s="53" t="n">
        <x:f>COUNTA(_xlfn.UNIQUE(_xlfn._xlws.FILTER('Vendor Options'!$C$2:$C$284,'Vendor Options'!$B$2:$B$284=A80)))</x:f>
        <x:v>1</x:v>
      </x:c>
      <x:c r="S80" s="53" t="n">
        <x:f>COUNTIFS('Vendor Options'!$B$2:$B$284,A80,'Vendor Options'!$P$2:$P$284,"PRICED")</x:f>
        <x:v>1</x:v>
      </x:c>
      <x:c r="T80" s="53" t="n">
        <x:f>COUNTIFS('Vendor Options'!$B$2:$B$284,A80,'Vendor Options'!$Q$2:$Q$284,"ACTIVE")</x:f>
        <x:v>0</x:v>
      </x:c>
      <x:c r="U80" s="54" t="n">
        <x:f>IF(S80=0,"",MIN(_xlfn._xlws.FILTER('Vendor Options'!$N$2:$N$284,('Vendor Options'!$B$2:$B$284=A80)*('Vendor Options'!$P$2:$P$284="PRICED"))))</x:f>
        <x:v>409.1</x:v>
      </x:c>
      <x:c r="V80" s="54" t="n">
        <x:f>IF(S80=0,"",MAXIFS('Vendor Options'!$N$2:$N$284,'Vendor Options'!$B$2:$B$284,A80,'Vendor Options'!$P$2:$P$284,"PRICED"))</x:f>
        <x:v>409.1</x:v>
      </x:c>
      <x:c r="W80" s="43" t="str">
        <x:f>IF(P80="REVIEW","REVIEW",IF(T80=0,"REVIEW",IF(S80=0,"NEEDS PRICE","READY")))</x:f>
        <x:v>REVIEW</x:v>
      </x:c>
    </x:row>
    <x:row r="81" ht="15" hidden="0" customHeight="1">
      <x:c r="A81" s="43" t="str">
        <x:v>SPEC-C6691ACF2992</x:v>
      </x:c>
      <x:c r="B81" s="43" t="str">
        <x:v>EXIT DEVICE</x:v>
      </x:c>
      <x:c r="C81" s="43" t="str">
        <x:v>PANIC / EXIT DEVICE</x:v>
      </x:c>
      <x:c r="D81" s="43" t="str">
        <x:v>RIM</x:v>
      </x:c>
      <x:c r="E81" s="43" t="str">
        <x:v>EXIT DEVICE</x:v>
      </x:c>
      <x:c r="F81" s="43" t="str">
        <x:v>NOT APPLICABLE</x:v>
      </x:c>
      <x:c r="G81" s="43" t="str">
        <x:v>42"</x:v>
      </x:c>
      <x:c r="H81" s="43" t="str">
        <x:v>PANIC</x:v>
      </x:c>
      <x:c r="I81" s="43" t="str"/>
      <x:c r="J81" s="43" t="str"/>
      <x:c r="K81" s="43" t="str"/>
      <x:c r="L81" s="43" t="str"/>
      <x:c r="M81" s="43" t="str">
        <x:v>630</x:v>
      </x:c>
      <x:c r="N81" s="43" t="str"/>
      <x:c r="O81" s="43" t="str"/>
      <x:c r="P81" s="43" t="str">
        <x:v>HIGH</x:v>
      </x:c>
      <x:c r="Q81" s="53" t="n">
        <x:f>COUNTIF('Vendor Options'!$B$2:$B$284,A81)</x:f>
        <x:v>2</x:v>
      </x:c>
      <x:c r="R81" s="53" t="n">
        <x:f>COUNTA(_xlfn.UNIQUE(_xlfn._xlws.FILTER('Vendor Options'!$C$2:$C$284,'Vendor Options'!$B$2:$B$284=A81)))</x:f>
        <x:v>1</x:v>
      </x:c>
      <x:c r="S81" s="53" t="n">
        <x:f>COUNTIFS('Vendor Options'!$B$2:$B$284,A81,'Vendor Options'!$P$2:$P$284,"PRICED")</x:f>
        <x:v>2</x:v>
      </x:c>
      <x:c r="T81" s="53" t="n">
        <x:f>COUNTIFS('Vendor Options'!$B$2:$B$284,A81,'Vendor Options'!$Q$2:$Q$284,"ACTIVE")</x:f>
        <x:v>2</x:v>
      </x:c>
      <x:c r="U81" s="54" t="n">
        <x:f>IF(S81=0,"",MIN(_xlfn._xlws.FILTER('Vendor Options'!$N$2:$N$284,('Vendor Options'!$B$2:$B$284=A81)*('Vendor Options'!$P$2:$P$284="PRICED"))))</x:f>
        <x:v>571.15</x:v>
      </x:c>
      <x:c r="V81" s="54" t="n">
        <x:f>IF(S81=0,"",MAXIFS('Vendor Options'!$N$2:$N$284,'Vendor Options'!$B$2:$B$284,A81,'Vendor Options'!$P$2:$P$284,"PRICED"))</x:f>
        <x:v>1048.15</x:v>
      </x:c>
      <x:c r="W81" s="43" t="str">
        <x:f>IF(P81="REVIEW","REVIEW",IF(T81=0,"REVIEW",IF(S81=0,"NEEDS PRICE","READY")))</x:f>
        <x:v>READY</x:v>
      </x:c>
    </x:row>
    <x:row r="82" ht="15" hidden="0" customHeight="1">
      <x:c r="A82" s="43" t="str">
        <x:v>SPEC-107EFC844FEF</x:v>
      </x:c>
      <x:c r="B82" s="43" t="str">
        <x:v>EXIT DEVICE</x:v>
      </x:c>
      <x:c r="C82" s="43" t="str">
        <x:v>PANIC / EXIT DEVICE</x:v>
      </x:c>
      <x:c r="D82" s="43" t="str">
        <x:v>RIM</x:v>
      </x:c>
      <x:c r="E82" s="43" t="str">
        <x:v>EXIT DEVICE</x:v>
      </x:c>
      <x:c r="F82" s="43" t="str">
        <x:v>NOT APPLICABLE</x:v>
      </x:c>
      <x:c r="G82" s="43" t="str">
        <x:v>42"</x:v>
      </x:c>
      <x:c r="H82" s="43" t="str">
        <x:v>PANIC</x:v>
      </x:c>
      <x:c r="I82" s="43" t="str"/>
      <x:c r="J82" s="43" t="str"/>
      <x:c r="K82" s="43" t="str"/>
      <x:c r="L82" s="43" t="str"/>
      <x:c r="M82" s="43" t="str">
        <x:v>689</x:v>
      </x:c>
      <x:c r="N82" s="43" t="str"/>
      <x:c r="O82" s="43" t="str"/>
      <x:c r="P82" s="43" t="str">
        <x:v>HIGH</x:v>
      </x:c>
      <x:c r="Q82" s="53" t="n">
        <x:f>COUNTIF('Vendor Options'!$B$2:$B$284,A82)</x:f>
        <x:v>1</x:v>
      </x:c>
      <x:c r="R82" s="53" t="n">
        <x:f>COUNTA(_xlfn.UNIQUE(_xlfn._xlws.FILTER('Vendor Options'!$C$2:$C$284,'Vendor Options'!$B$2:$B$284=A82)))</x:f>
        <x:v>1</x:v>
      </x:c>
      <x:c r="S82" s="53" t="n">
        <x:f>COUNTIFS('Vendor Options'!$B$2:$B$284,A82,'Vendor Options'!$P$2:$P$284,"PRICED")</x:f>
        <x:v>1</x:v>
      </x:c>
      <x:c r="T82" s="53" t="n">
        <x:f>COUNTIFS('Vendor Options'!$B$2:$B$284,A82,'Vendor Options'!$Q$2:$Q$284,"ACTIVE")</x:f>
        <x:v>1</x:v>
      </x:c>
      <x:c r="U82" s="54" t="n">
        <x:f>IF(S82=0,"",MIN(_xlfn._xlws.FILTER('Vendor Options'!$N$2:$N$284,('Vendor Options'!$B$2:$B$284=A82)*('Vendor Options'!$P$2:$P$284="PRICED"))))</x:f>
        <x:v>324.1</x:v>
      </x:c>
      <x:c r="V82" s="54" t="n">
        <x:f>IF(S82=0,"",MAXIFS('Vendor Options'!$N$2:$N$284,'Vendor Options'!$B$2:$B$284,A82,'Vendor Options'!$P$2:$P$284,"PRICED"))</x:f>
        <x:v>324.1</x:v>
      </x:c>
      <x:c r="W82" s="43" t="str">
        <x:f>IF(P82="REVIEW","REVIEW",IF(T82=0,"REVIEW",IF(S82=0,"NEEDS PRICE","READY")))</x:f>
        <x:v>READY</x:v>
      </x:c>
    </x:row>
    <x:row r="83" ht="15" hidden="0" customHeight="1">
      <x:c r="A83" s="43" t="str">
        <x:v>SPEC-668DCC0882B9</x:v>
      </x:c>
      <x:c r="B83" s="43" t="str">
        <x:v>EXIT DEVICE</x:v>
      </x:c>
      <x:c r="C83" s="43" t="str">
        <x:v>PANIC / EXIT DEVICE</x:v>
      </x:c>
      <x:c r="D83" s="43" t="str">
        <x:v>RIM</x:v>
      </x:c>
      <x:c r="E83" s="43" t="str">
        <x:v>EXIT DEVICE</x:v>
      </x:c>
      <x:c r="F83" s="43" t="str">
        <x:v>NOT APPLICABLE</x:v>
      </x:c>
      <x:c r="G83" s="43" t="str">
        <x:v>48"</x:v>
      </x:c>
      <x:c r="H83" s="43" t="str">
        <x:v>FIRE</x:v>
      </x:c>
      <x:c r="I83" s="43" t="str"/>
      <x:c r="J83" s="43" t="str"/>
      <x:c r="K83" s="43" t="str"/>
      <x:c r="L83" s="43" t="str"/>
      <x:c r="M83" s="43" t="str">
        <x:v>630</x:v>
      </x:c>
      <x:c r="N83" s="43" t="str"/>
      <x:c r="O83" s="43" t="str"/>
      <x:c r="P83" s="43" t="str">
        <x:v>HIGH</x:v>
      </x:c>
      <x:c r="Q83" s="53" t="n">
        <x:f>COUNTIF('Vendor Options'!$B$2:$B$284,A83)</x:f>
        <x:v>1</x:v>
      </x:c>
      <x:c r="R83" s="53" t="n">
        <x:f>COUNTA(_xlfn.UNIQUE(_xlfn._xlws.FILTER('Vendor Options'!$C$2:$C$284,'Vendor Options'!$B$2:$B$284=A83)))</x:f>
        <x:v>1</x:v>
      </x:c>
      <x:c r="S83" s="53" t="n">
        <x:f>COUNTIFS('Vendor Options'!$B$2:$B$284,A83,'Vendor Options'!$P$2:$P$284,"PRICED")</x:f>
        <x:v>1</x:v>
      </x:c>
      <x:c r="T83" s="53" t="n">
        <x:f>COUNTIFS('Vendor Options'!$B$2:$B$284,A83,'Vendor Options'!$Q$2:$Q$284,"ACTIVE")</x:f>
        <x:v>0</x:v>
      </x:c>
      <x:c r="U83" s="54" t="n">
        <x:f>IF(S83=0,"",MIN(_xlfn._xlws.FILTER('Vendor Options'!$N$2:$N$284,('Vendor Options'!$B$2:$B$284=A83)*('Vendor Options'!$P$2:$P$284="PRICED"))))</x:f>
        <x:v>484.7</x:v>
      </x:c>
      <x:c r="V83" s="54" t="n">
        <x:f>IF(S83=0,"",MAXIFS('Vendor Options'!$N$2:$N$284,'Vendor Options'!$B$2:$B$284,A83,'Vendor Options'!$P$2:$P$284,"PRICED"))</x:f>
        <x:v>484.7</x:v>
      </x:c>
      <x:c r="W83" s="43" t="str">
        <x:f>IF(P83="REVIEW","REVIEW",IF(T83=0,"REVIEW",IF(S83=0,"NEEDS PRICE","READY")))</x:f>
        <x:v>REVIEW</x:v>
      </x:c>
    </x:row>
    <x:row r="84" ht="15" hidden="0" customHeight="1">
      <x:c r="A84" s="43" t="str">
        <x:v>SPEC-91FCF875ED12</x:v>
      </x:c>
      <x:c r="B84" s="43" t="str">
        <x:v>EXIT DEVICE</x:v>
      </x:c>
      <x:c r="C84" s="43" t="str">
        <x:v>PANIC / EXIT DEVICE</x:v>
      </x:c>
      <x:c r="D84" s="43" t="str">
        <x:v>RIM</x:v>
      </x:c>
      <x:c r="E84" s="43" t="str">
        <x:v>EXIT DEVICE</x:v>
      </x:c>
      <x:c r="F84" s="43" t="str">
        <x:v>NOT APPLICABLE</x:v>
      </x:c>
      <x:c r="G84" s="43" t="str">
        <x:v>48"</x:v>
      </x:c>
      <x:c r="H84" s="43" t="str">
        <x:v>PANIC</x:v>
      </x:c>
      <x:c r="I84" s="43" t="str"/>
      <x:c r="J84" s="43" t="str"/>
      <x:c r="K84" s="43" t="str"/>
      <x:c r="L84" s="43" t="str"/>
      <x:c r="M84" s="43" t="str">
        <x:v>630</x:v>
      </x:c>
      <x:c r="N84" s="43" t="str"/>
      <x:c r="O84" s="43" t="str"/>
      <x:c r="P84" s="43" t="str">
        <x:v>HIGH</x:v>
      </x:c>
      <x:c r="Q84" s="53" t="n">
        <x:f>COUNTIF('Vendor Options'!$B$2:$B$284,A84)</x:f>
        <x:v>3</x:v>
      </x:c>
      <x:c r="R84" s="53" t="n">
        <x:f>COUNTA(_xlfn.UNIQUE(_xlfn._xlws.FILTER('Vendor Options'!$C$2:$C$284,'Vendor Options'!$B$2:$B$284=A84)))</x:f>
        <x:v>3</x:v>
      </x:c>
      <x:c r="S84" s="53" t="n">
        <x:f>COUNTIFS('Vendor Options'!$B$2:$B$284,A84,'Vendor Options'!$P$2:$P$284,"PRICED")</x:f>
        <x:v>3</x:v>
      </x:c>
      <x:c r="T84" s="53" t="n">
        <x:f>COUNTIFS('Vendor Options'!$B$2:$B$284,A84,'Vendor Options'!$Q$2:$Q$284,"ACTIVE")</x:f>
        <x:v>1</x:v>
      </x:c>
      <x:c r="U84" s="54" t="n">
        <x:f>IF(S84=0,"",MIN(_xlfn._xlws.FILTER('Vendor Options'!$N$2:$N$284,('Vendor Options'!$B$2:$B$284=A84)*('Vendor Options'!$P$2:$P$284="PRICED"))))</x:f>
        <x:v>448.43</x:v>
      </x:c>
      <x:c r="V84" s="54" t="n">
        <x:f>IF(S84=0,"",MAXIFS('Vendor Options'!$N$2:$N$284,'Vendor Options'!$B$2:$B$284,A84,'Vendor Options'!$P$2:$P$284,"PRICED"))</x:f>
        <x:v>2144</x:v>
      </x:c>
      <x:c r="W84" s="43" t="str">
        <x:f>IF(P84="REVIEW","REVIEW",IF(T84=0,"REVIEW",IF(S84=0,"NEEDS PRICE","READY")))</x:f>
        <x:v>READY</x:v>
      </x:c>
    </x:row>
    <x:row r="85" ht="15" hidden="0" customHeight="1">
      <x:c r="A85" s="43" t="str">
        <x:v>SPEC-FB6463B2EA16</x:v>
      </x:c>
      <x:c r="B85" s="43" t="str">
        <x:v>EXIT DEVICE</x:v>
      </x:c>
      <x:c r="C85" s="43" t="str">
        <x:v>PANIC / EXIT DEVICE</x:v>
      </x:c>
      <x:c r="D85" s="43" t="str">
        <x:v>RIM</x:v>
      </x:c>
      <x:c r="E85" s="43" t="str">
        <x:v>EXIT DEVICE</x:v>
      </x:c>
      <x:c r="F85" s="43" t="str">
        <x:v>NOT APPLICABLE</x:v>
      </x:c>
      <x:c r="G85" s="43" t="str">
        <x:v>48"</x:v>
      </x:c>
      <x:c r="H85" s="43" t="str">
        <x:v>TDI</x:v>
      </x:c>
      <x:c r="I85" s="43" t="str"/>
      <x:c r="J85" s="43" t="str"/>
      <x:c r="K85" s="43" t="str"/>
      <x:c r="L85" s="43" t="str"/>
      <x:c r="M85" s="43" t="str">
        <x:v>630</x:v>
      </x:c>
      <x:c r="N85" s="43" t="str"/>
      <x:c r="O85" s="43" t="str"/>
      <x:c r="P85" s="43" t="str">
        <x:v>HIGH</x:v>
      </x:c>
      <x:c r="Q85" s="53" t="n">
        <x:f>COUNTIF('Vendor Options'!$B$2:$B$284,A85)</x:f>
        <x:v>1</x:v>
      </x:c>
      <x:c r="R85" s="53" t="n">
        <x:f>COUNTA(_xlfn.UNIQUE(_xlfn._xlws.FILTER('Vendor Options'!$C$2:$C$284,'Vendor Options'!$B$2:$B$284=A85)))</x:f>
        <x:v>1</x:v>
      </x:c>
      <x:c r="S85" s="53" t="n">
        <x:f>COUNTIFS('Vendor Options'!$B$2:$B$284,A85,'Vendor Options'!$P$2:$P$284,"PRICED")</x:f>
        <x:v>1</x:v>
      </x:c>
      <x:c r="T85" s="53" t="n">
        <x:f>COUNTIFS('Vendor Options'!$B$2:$B$284,A85,'Vendor Options'!$Q$2:$Q$284,"ACTIVE")</x:f>
        <x:v>0</x:v>
      </x:c>
      <x:c r="U85" s="54" t="n">
        <x:f>IF(S85=0,"",MIN(_xlfn._xlws.FILTER('Vendor Options'!$N$2:$N$284,('Vendor Options'!$B$2:$B$284=A85)*('Vendor Options'!$P$2:$P$284="PRICED"))))</x:f>
        <x:v>484.7</x:v>
      </x:c>
      <x:c r="V85" s="54" t="n">
        <x:f>IF(S85=0,"",MAXIFS('Vendor Options'!$N$2:$N$284,'Vendor Options'!$B$2:$B$284,A85,'Vendor Options'!$P$2:$P$284,"PRICED"))</x:f>
        <x:v>484.7</x:v>
      </x:c>
      <x:c r="W85" s="43" t="str">
        <x:f>IF(P85="REVIEW","REVIEW",IF(T85=0,"REVIEW",IF(S85=0,"NEEDS PRICE","READY")))</x:f>
        <x:v>REVIEW</x:v>
      </x:c>
    </x:row>
    <x:row r="86" ht="15" hidden="0" customHeight="1">
      <x:c r="A86" s="43" t="str">
        <x:v>SPEC-A885CA680F72</x:v>
      </x:c>
      <x:c r="B86" s="43" t="str">
        <x:v>EXIT DEVICE</x:v>
      </x:c>
      <x:c r="C86" s="43" t="str">
        <x:v>PANIC / EXIT DEVICE</x:v>
      </x:c>
      <x:c r="D86" s="43" t="str">
        <x:v>RIM</x:v>
      </x:c>
      <x:c r="E86" s="43" t="str">
        <x:v>EXIT DEVICE</x:v>
      </x:c>
      <x:c r="F86" s="43" t="str">
        <x:v>NOT APPLICABLE</x:v>
      </x:c>
      <x:c r="G86" s="43" t="str">
        <x:v>48"</x:v>
      </x:c>
      <x:c r="H86" s="43" t="str">
        <x:v>WIND</x:v>
      </x:c>
      <x:c r="I86" s="43" t="str"/>
      <x:c r="J86" s="43" t="str"/>
      <x:c r="K86" s="43" t="str"/>
      <x:c r="L86" s="43" t="str"/>
      <x:c r="M86" s="43" t="str">
        <x:v>630</x:v>
      </x:c>
      <x:c r="N86" s="43" t="str"/>
      <x:c r="O86" s="43" t="str"/>
      <x:c r="P86" s="43" t="str">
        <x:v>HIGH</x:v>
      </x:c>
      <x:c r="Q86" s="53" t="n">
        <x:f>COUNTIF('Vendor Options'!$B$2:$B$284,A86)</x:f>
        <x:v>2</x:v>
      </x:c>
      <x:c r="R86" s="53" t="n">
        <x:f>COUNTA(_xlfn.UNIQUE(_xlfn._xlws.FILTER('Vendor Options'!$C$2:$C$284,'Vendor Options'!$B$2:$B$284=A86)))</x:f>
        <x:v>1</x:v>
      </x:c>
      <x:c r="S86" s="53" t="n">
        <x:f>COUNTIFS('Vendor Options'!$B$2:$B$284,A86,'Vendor Options'!$P$2:$P$284,"PRICED")</x:f>
        <x:v>2</x:v>
      </x:c>
      <x:c r="T86" s="53" t="n">
        <x:f>COUNTIFS('Vendor Options'!$B$2:$B$284,A86,'Vendor Options'!$Q$2:$Q$284,"ACTIVE")</x:f>
        <x:v>0</x:v>
      </x:c>
      <x:c r="U86" s="54" t="n">
        <x:f>IF(S86=0,"",MIN(_xlfn._xlws.FILTER('Vendor Options'!$N$2:$N$284,('Vendor Options'!$B$2:$B$284=A86)*('Vendor Options'!$P$2:$P$284="PRICED"))))</x:f>
        <x:v>467.62</x:v>
      </x:c>
      <x:c r="V86" s="54" t="n">
        <x:f>IF(S86=0,"",MAXIFS('Vendor Options'!$N$2:$N$284,'Vendor Options'!$B$2:$B$284,A86,'Vendor Options'!$P$2:$P$284,"PRICED"))</x:f>
        <x:v>484.7</x:v>
      </x:c>
      <x:c r="W86" s="43" t="str">
        <x:f>IF(P86="REVIEW","REVIEW",IF(T86=0,"REVIEW",IF(S86=0,"NEEDS PRICE","READY")))</x:f>
        <x:v>REVIEW</x:v>
      </x:c>
    </x:row>
    <x:row r="87" ht="15" hidden="0" customHeight="1">
      <x:c r="A87" s="43" t="str">
        <x:v>SPEC-CCD60FD58F0B</x:v>
      </x:c>
      <x:c r="B87" s="43" t="str">
        <x:v>HINGE</x:v>
      </x:c>
      <x:c r="C87" s="43" t="str">
        <x:v>BUTT HINGE</x:v>
      </x:c>
      <x:c r="D87" s="43" t="str"/>
      <x:c r="E87" s="43" t="str">
        <x:v>NON-REMOVABLE PIN</x:v>
      </x:c>
      <x:c r="F87" s="43" t="str">
        <x:v>NOT APPLICABLE</x:v>
      </x:c>
      <x:c r="G87" s="43" t="str"/>
      <x:c r="H87" s="43" t="str"/>
      <x:c r="I87" s="43" t="str"/>
      <x:c r="J87" s="43" t="str"/>
      <x:c r="K87" s="43" t="str"/>
      <x:c r="L87" s="43" t="str"/>
      <x:c r="M87" s="43" t="str"/>
      <x:c r="N87" s="43" t="str"/>
      <x:c r="O87" s="43" t="str">
        <x:v>NON-REMOVABLE PIN</x:v>
      </x:c>
      <x:c r="P87" s="43" t="str">
        <x:v>MEDIUM</x:v>
      </x:c>
      <x:c r="Q87" s="53" t="n">
        <x:f>COUNTIF('Vendor Options'!$B$2:$B$284,A87)</x:f>
        <x:v>1</x:v>
      </x:c>
      <x:c r="R87" s="53" t="n">
        <x:f>COUNTA(_xlfn.UNIQUE(_xlfn._xlws.FILTER('Vendor Options'!$C$2:$C$284,'Vendor Options'!$B$2:$B$284=A87)))</x:f>
        <x:v>1</x:v>
      </x:c>
      <x:c r="S87" s="53" t="n">
        <x:f>COUNTIFS('Vendor Options'!$B$2:$B$284,A87,'Vendor Options'!$P$2:$P$284,"PRICED")</x:f>
        <x:v>0</x:v>
      </x:c>
      <x:c r="T87" s="53" t="n">
        <x:f>COUNTIFS('Vendor Options'!$B$2:$B$284,A87,'Vendor Options'!$Q$2:$Q$284,"ACTIVE")</x:f>
        <x:v>0</x:v>
      </x:c>
      <x:c r="U87" s="54" t="str">
        <x:f>IF(S87=0,"",MIN(_xlfn._xlws.FILTER('Vendor Options'!$N$2:$N$284,('Vendor Options'!$B$2:$B$284=A87)*('Vendor Options'!$P$2:$P$284="PRICED"))))</x:f>
      </x:c>
      <x:c r="V87" s="54" t="str">
        <x:f>IF(S87=0,"",MAXIFS('Vendor Options'!$N$2:$N$284,'Vendor Options'!$B$2:$B$284,A87,'Vendor Options'!$P$2:$P$284,"PRICED"))</x:f>
      </x:c>
      <x:c r="W87" s="43" t="str">
        <x:f>IF(P87="REVIEW","REVIEW",IF(T87=0,"REVIEW",IF(S87=0,"NEEDS PRICE","READY")))</x:f>
        <x:v>REVIEW</x:v>
      </x:c>
    </x:row>
    <x:row r="88" ht="15" hidden="0" customHeight="1">
      <x:c r="A88" s="43" t="str">
        <x:v>SPEC-EAEAADF0DBE0</x:v>
      </x:c>
      <x:c r="B88" s="43" t="str">
        <x:v>HINGE</x:v>
      </x:c>
      <x:c r="C88" s="43" t="str">
        <x:v>BUTT HINGE</x:v>
      </x:c>
      <x:c r="D88" s="43" t="str"/>
      <x:c r="E88" s="43" t="str">
        <x:v>NON-REMOVABLE PIN</x:v>
      </x:c>
      <x:c r="F88" s="43" t="str">
        <x:v>NOT APPLICABLE</x:v>
      </x:c>
      <x:c r="G88" s="43" t="str">
        <x:v>5.0" x 5.0"</x:v>
      </x:c>
      <x:c r="H88" s="43" t="str"/>
      <x:c r="I88" s="43" t="str"/>
      <x:c r="J88" s="43" t="str"/>
      <x:c r="K88" s="43" t="str">
        <x:v>0.180"</x:v>
      </x:c>
      <x:c r="L88" s="43" t="str">
        <x:v>304 STAINLESS STEEL</x:v>
      </x:c>
      <x:c r="M88" s="43" t="str"/>
      <x:c r="N88" s="43" t="str"/>
      <x:c r="O88" s="43" t="str">
        <x:v>NON-REMOVABLE PIN; 3 x 04 GA WIRE</x:v>
      </x:c>
      <x:c r="P88" s="43" t="str">
        <x:v>HIGH</x:v>
      </x:c>
      <x:c r="Q88" s="53" t="n">
        <x:f>COUNTIF('Vendor Options'!$B$2:$B$284,A88)</x:f>
        <x:v>1</x:v>
      </x:c>
      <x:c r="R88" s="53" t="n">
        <x:f>COUNTA(_xlfn.UNIQUE(_xlfn._xlws.FILTER('Vendor Options'!$C$2:$C$284,'Vendor Options'!$B$2:$B$284=A88)))</x:f>
        <x:v>1</x:v>
      </x:c>
      <x:c r="S88" s="53" t="n">
        <x:f>COUNTIFS('Vendor Options'!$B$2:$B$284,A88,'Vendor Options'!$P$2:$P$284,"PRICED")</x:f>
        <x:v>0</x:v>
      </x:c>
      <x:c r="T88" s="53" t="n">
        <x:f>COUNTIFS('Vendor Options'!$B$2:$B$284,A88,'Vendor Options'!$Q$2:$Q$284,"ACTIVE")</x:f>
        <x:v>0</x:v>
      </x:c>
      <x:c r="U88" s="54" t="str">
        <x:f>IF(S88=0,"",MIN(_xlfn._xlws.FILTER('Vendor Options'!$N$2:$N$284,('Vendor Options'!$B$2:$B$284=A88)*('Vendor Options'!$P$2:$P$284="PRICED"))))</x:f>
      </x:c>
      <x:c r="V88" s="54" t="str">
        <x:f>IF(S88=0,"",MAXIFS('Vendor Options'!$N$2:$N$284,'Vendor Options'!$B$2:$B$284,A88,'Vendor Options'!$P$2:$P$284,"PRICED"))</x:f>
      </x:c>
      <x:c r="W88" s="43" t="str">
        <x:f>IF(P88="REVIEW","REVIEW",IF(T88=0,"REVIEW",IF(S88=0,"NEEDS PRICE","READY")))</x:f>
        <x:v>REVIEW</x:v>
      </x:c>
    </x:row>
    <x:row r="89" ht="15" hidden="0" customHeight="1">
      <x:c r="A89" s="43" t="str">
        <x:v>SPEC-0C603B3070A1</x:v>
      </x:c>
      <x:c r="B89" s="43" t="str">
        <x:v>HINGE</x:v>
      </x:c>
      <x:c r="C89" s="43" t="str">
        <x:v>CONTINUOUS HINGE</x:v>
      </x:c>
      <x:c r="D89" s="43" t="str"/>
      <x:c r="E89" s="43" t="str"/>
      <x:c r="F89" s="43" t="str">
        <x:v>NOT APPLICABLE</x:v>
      </x:c>
      <x:c r="G89" s="43" t="str"/>
      <x:c r="H89" s="43" t="str"/>
      <x:c r="I89" s="43" t="str"/>
      <x:c r="J89" s="43" t="str"/>
      <x:c r="K89" s="43" t="str"/>
      <x:c r="L89" s="43" t="str"/>
      <x:c r="M89" s="43" t="str"/>
      <x:c r="N89" s="43" t="str"/>
      <x:c r="O89" s="43" t="str"/>
      <x:c r="P89" s="43" t="str">
        <x:v>REVIEW</x:v>
      </x:c>
      <x:c r="Q89" s="53" t="n">
        <x:f>COUNTIF('Vendor Options'!$B$2:$B$284,A89)</x:f>
        <x:v>1</x:v>
      </x:c>
      <x:c r="R89" s="53" t="n">
        <x:f>COUNTA(_xlfn.UNIQUE(_xlfn._xlws.FILTER('Vendor Options'!$C$2:$C$284,'Vendor Options'!$B$2:$B$284=A89)))</x:f>
        <x:v>1</x:v>
      </x:c>
      <x:c r="S89" s="53" t="n">
        <x:f>COUNTIFS('Vendor Options'!$B$2:$B$284,A89,'Vendor Options'!$P$2:$P$284,"PRICED")</x:f>
        <x:v>0</x:v>
      </x:c>
      <x:c r="T89" s="53" t="n">
        <x:f>COUNTIFS('Vendor Options'!$B$2:$B$284,A89,'Vendor Options'!$Q$2:$Q$284,"ACTIVE")</x:f>
        <x:v>0</x:v>
      </x:c>
      <x:c r="U89" s="54" t="str">
        <x:f>IF(S89=0,"",MIN(_xlfn._xlws.FILTER('Vendor Options'!$N$2:$N$284,('Vendor Options'!$B$2:$B$284=A89)*('Vendor Options'!$P$2:$P$284="PRICED"))))</x:f>
      </x:c>
      <x:c r="V89" s="54" t="str">
        <x:f>IF(S89=0,"",MAXIFS('Vendor Options'!$N$2:$N$284,'Vendor Options'!$B$2:$B$284,A89,'Vendor Options'!$P$2:$P$284,"PRICED"))</x:f>
      </x:c>
      <x:c r="W89" s="43" t="str">
        <x:f>IF(P89="REVIEW","REVIEW",IF(T89=0,"REVIEW",IF(S89=0,"NEEDS PRICE","READY")))</x:f>
        <x:v>REVIEW</x:v>
      </x:c>
    </x:row>
    <x:row r="90" ht="15" hidden="0" customHeight="1">
      <x:c r="A90" s="43" t="str">
        <x:v>SPEC-3AC38DD8BDA3</x:v>
      </x:c>
      <x:c r="B90" s="43" t="str">
        <x:v>HINGE</x:v>
      </x:c>
      <x:c r="C90" s="43" t="str">
        <x:v>CONTINUOUS HINGE</x:v>
      </x:c>
      <x:c r="D90" s="43" t="str"/>
      <x:c r="E90" s="43" t="str">
        <x:v>FULL MORTISE</x:v>
      </x:c>
      <x:c r="F90" s="43" t="str">
        <x:v>NOT APPLICABLE</x:v>
      </x:c>
      <x:c r="G90" s="43" t="str"/>
      <x:c r="H90" s="43" t="str"/>
      <x:c r="I90" s="43" t="str"/>
      <x:c r="J90" s="43" t="str">
        <x:v>FULL MORTISE</x:v>
      </x:c>
      <x:c r="K90" s="43" t="str"/>
      <x:c r="L90" s="43" t="str"/>
      <x:c r="M90" s="43" t="str">
        <x:v>CLEAR ANODIZED</x:v>
      </x:c>
      <x:c r="N90" s="43" t="str"/>
      <x:c r="O90" s="43" t="str"/>
      <x:c r="P90" s="43" t="str">
        <x:v>MEDIUM</x:v>
      </x:c>
      <x:c r="Q90" s="53" t="n">
        <x:f>COUNTIF('Vendor Options'!$B$2:$B$284,A90)</x:f>
        <x:v>6</x:v>
      </x:c>
      <x:c r="R90" s="53" t="n">
        <x:f>COUNTA(_xlfn.UNIQUE(_xlfn._xlws.FILTER('Vendor Options'!$C$2:$C$284,'Vendor Options'!$B$2:$B$284=A90)))</x:f>
        <x:v>3</x:v>
      </x:c>
      <x:c r="S90" s="53" t="n">
        <x:f>COUNTIFS('Vendor Options'!$B$2:$B$284,A90,'Vendor Options'!$P$2:$P$284,"PRICED")</x:f>
        <x:v>0</x:v>
      </x:c>
      <x:c r="T90" s="53" t="n">
        <x:f>COUNTIFS('Vendor Options'!$B$2:$B$284,A90,'Vendor Options'!$Q$2:$Q$284,"ACTIVE")</x:f>
        <x:v>1</x:v>
      </x:c>
      <x:c r="U90" s="54" t="str">
        <x:f>IF(S90=0,"",MIN(_xlfn._xlws.FILTER('Vendor Options'!$N$2:$N$284,('Vendor Options'!$B$2:$B$284=A90)*('Vendor Options'!$P$2:$P$284="PRICED"))))</x:f>
      </x:c>
      <x:c r="V90" s="54" t="str">
        <x:f>IF(S90=0,"",MAXIFS('Vendor Options'!$N$2:$N$284,'Vendor Options'!$B$2:$B$284,A90,'Vendor Options'!$P$2:$P$284,"PRICED"))</x:f>
      </x:c>
      <x:c r="W90" s="43" t="str">
        <x:f>IF(P90="REVIEW","REVIEW",IF(T90=0,"REVIEW",IF(S90=0,"NEEDS PRICE","READY")))</x:f>
        <x:v>NEEDS PRICE</x:v>
      </x:c>
    </x:row>
    <x:row r="91" ht="15" hidden="0" customHeight="1">
      <x:c r="A91" s="43" t="str">
        <x:v>SPEC-F0BF5C9B897E</x:v>
      </x:c>
      <x:c r="B91" s="43" t="str">
        <x:v>HINGE</x:v>
      </x:c>
      <x:c r="C91" s="43" t="str">
        <x:v>CONTINUOUS HINGE</x:v>
      </x:c>
      <x:c r="D91" s="43" t="str"/>
      <x:c r="E91" s="43" t="str">
        <x:v>FULL MORTISE</x:v>
      </x:c>
      <x:c r="F91" s="43" t="str">
        <x:v>NOT APPLICABLE</x:v>
      </x:c>
      <x:c r="G91" s="43" t="str">
        <x:v>6'8"</x:v>
      </x:c>
      <x:c r="H91" s="43" t="str"/>
      <x:c r="I91" s="43" t="str"/>
      <x:c r="J91" s="43" t="str">
        <x:v>FULL MORTISE</x:v>
      </x:c>
      <x:c r="K91" s="43" t="str"/>
      <x:c r="L91" s="43" t="str"/>
      <x:c r="M91" s="43" t="str">
        <x:v>CLEAR ANODIZED</x:v>
      </x:c>
      <x:c r="N91" s="43" t="str"/>
      <x:c r="O91" s="43" t="str"/>
      <x:c r="P91" s="43" t="str">
        <x:v>HIGH</x:v>
      </x:c>
      <x:c r="Q91" s="53" t="n">
        <x:f>COUNTIF('Vendor Options'!$B$2:$B$284,A91)</x:f>
        <x:v>2</x:v>
      </x:c>
      <x:c r="R91" s="53" t="n">
        <x:f>COUNTA(_xlfn.UNIQUE(_xlfn._xlws.FILTER('Vendor Options'!$C$2:$C$284,'Vendor Options'!$B$2:$B$284=A91)))</x:f>
        <x:v>2</x:v>
      </x:c>
      <x:c r="S91" s="53" t="n">
        <x:f>COUNTIFS('Vendor Options'!$B$2:$B$284,A91,'Vendor Options'!$P$2:$P$284,"PRICED")</x:f>
        <x:v>0</x:v>
      </x:c>
      <x:c r="T91" s="53" t="n">
        <x:f>COUNTIFS('Vendor Options'!$B$2:$B$284,A91,'Vendor Options'!$Q$2:$Q$284,"ACTIVE")</x:f>
        <x:v>0</x:v>
      </x:c>
      <x:c r="U91" s="54" t="str">
        <x:f>IF(S91=0,"",MIN(_xlfn._xlws.FILTER('Vendor Options'!$N$2:$N$284,('Vendor Options'!$B$2:$B$284=A91)*('Vendor Options'!$P$2:$P$284="PRICED"))))</x:f>
      </x:c>
      <x:c r="V91" s="54" t="str">
        <x:f>IF(S91=0,"",MAXIFS('Vendor Options'!$N$2:$N$284,'Vendor Options'!$B$2:$B$284,A91,'Vendor Options'!$P$2:$P$284,"PRICED"))</x:f>
      </x:c>
      <x:c r="W91" s="43" t="str">
        <x:f>IF(P91="REVIEW","REVIEW",IF(T91=0,"REVIEW",IF(S91=0,"NEEDS PRICE","READY")))</x:f>
        <x:v>REVIEW</x:v>
      </x:c>
    </x:row>
    <x:row r="92" ht="15" hidden="0" customHeight="1">
      <x:c r="A92" s="43" t="str">
        <x:v>SPEC-4A1D73AE37C6</x:v>
      </x:c>
      <x:c r="B92" s="43" t="str">
        <x:v>HINGE</x:v>
      </x:c>
      <x:c r="C92" s="43" t="str">
        <x:v>CONTINUOUS HINGE</x:v>
      </x:c>
      <x:c r="D92" s="43" t="str"/>
      <x:c r="E92" s="43" t="str">
        <x:v>FULL SURFACE</x:v>
      </x:c>
      <x:c r="F92" s="43" t="str">
        <x:v>NOT APPLICABLE</x:v>
      </x:c>
      <x:c r="G92" s="43" t="str"/>
      <x:c r="H92" s="43" t="str"/>
      <x:c r="I92" s="43" t="str"/>
      <x:c r="J92" s="43" t="str">
        <x:v>FULL SURFACE</x:v>
      </x:c>
      <x:c r="K92" s="43" t="str"/>
      <x:c r="L92" s="43" t="str"/>
      <x:c r="M92" s="43" t="str">
        <x:v>CLEAR ANODIZED</x:v>
      </x:c>
      <x:c r="N92" s="43" t="str"/>
      <x:c r="O92" s="43" t="str"/>
      <x:c r="P92" s="43" t="str">
        <x:v>MEDIUM</x:v>
      </x:c>
      <x:c r="Q92" s="53" t="n">
        <x:f>COUNTIF('Vendor Options'!$B$2:$B$284,A92)</x:f>
        <x:v>3</x:v>
      </x:c>
      <x:c r="R92" s="53" t="n">
        <x:f>COUNTA(_xlfn.UNIQUE(_xlfn._xlws.FILTER('Vendor Options'!$C$2:$C$284,'Vendor Options'!$B$2:$B$284=A92)))</x:f>
        <x:v>1</x:v>
      </x:c>
      <x:c r="S92" s="53" t="n">
        <x:f>COUNTIFS('Vendor Options'!$B$2:$B$284,A92,'Vendor Options'!$P$2:$P$284,"PRICED")</x:f>
        <x:v>0</x:v>
      </x:c>
      <x:c r="T92" s="53" t="n">
        <x:f>COUNTIFS('Vendor Options'!$B$2:$B$284,A92,'Vendor Options'!$Q$2:$Q$284,"ACTIVE")</x:f>
        <x:v>0</x:v>
      </x:c>
      <x:c r="U92" s="54" t="str">
        <x:f>IF(S92=0,"",MIN(_xlfn._xlws.FILTER('Vendor Options'!$N$2:$N$284,('Vendor Options'!$B$2:$B$284=A92)*('Vendor Options'!$P$2:$P$284="PRICED"))))</x:f>
      </x:c>
      <x:c r="V92" s="54" t="str">
        <x:f>IF(S92=0,"",MAXIFS('Vendor Options'!$N$2:$N$284,'Vendor Options'!$B$2:$B$284,A92,'Vendor Options'!$P$2:$P$284,"PRICED"))</x:f>
      </x:c>
      <x:c r="W92" s="43" t="str">
        <x:f>IF(P92="REVIEW","REVIEW",IF(T92=0,"REVIEW",IF(S92=0,"NEEDS PRICE","READY")))</x:f>
        <x:v>REVIEW</x:v>
      </x:c>
    </x:row>
    <x:row r="93" ht="15" hidden="0" customHeight="1">
      <x:c r="A93" s="43" t="str">
        <x:v>SPEC-297A925280A3</x:v>
      </x:c>
      <x:c r="B93" s="43" t="str">
        <x:v>HINGE</x:v>
      </x:c>
      <x:c r="C93" s="43" t="str">
        <x:v>CONTINUOUS HINGE</x:v>
      </x:c>
      <x:c r="D93" s="43" t="str"/>
      <x:c r="E93" s="43" t="str">
        <x:v>FULL SURFACE</x:v>
      </x:c>
      <x:c r="F93" s="43" t="str">
        <x:v>NOT APPLICABLE</x:v>
      </x:c>
      <x:c r="G93" s="43" t="str">
        <x:v>6'8"</x:v>
      </x:c>
      <x:c r="H93" s="43" t="str"/>
      <x:c r="I93" s="43" t="str"/>
      <x:c r="J93" s="43" t="str">
        <x:v>FULL SURFACE</x:v>
      </x:c>
      <x:c r="K93" s="43" t="str"/>
      <x:c r="L93" s="43" t="str"/>
      <x:c r="M93" s="43" t="str">
        <x:v>CLEAR ANODIZED</x:v>
      </x:c>
      <x:c r="N93" s="43" t="str"/>
      <x:c r="O93" s="43" t="str"/>
      <x:c r="P93" s="43" t="str">
        <x:v>HIGH</x:v>
      </x:c>
      <x:c r="Q93" s="53" t="n">
        <x:f>COUNTIF('Vendor Options'!$B$2:$B$284,A93)</x:f>
        <x:v>1</x:v>
      </x:c>
      <x:c r="R93" s="53" t="n">
        <x:f>COUNTA(_xlfn.UNIQUE(_xlfn._xlws.FILTER('Vendor Options'!$C$2:$C$284,'Vendor Options'!$B$2:$B$284=A93)))</x:f>
        <x:v>1</x:v>
      </x:c>
      <x:c r="S93" s="53" t="n">
        <x:f>COUNTIFS('Vendor Options'!$B$2:$B$284,A93,'Vendor Options'!$P$2:$P$284,"PRICED")</x:f>
        <x:v>0</x:v>
      </x:c>
      <x:c r="T93" s="53" t="n">
        <x:f>COUNTIFS('Vendor Options'!$B$2:$B$284,A93,'Vendor Options'!$Q$2:$Q$284,"ACTIVE")</x:f>
        <x:v>0</x:v>
      </x:c>
      <x:c r="U93" s="54" t="str">
        <x:f>IF(S93=0,"",MIN(_xlfn._xlws.FILTER('Vendor Options'!$N$2:$N$284,('Vendor Options'!$B$2:$B$284=A93)*('Vendor Options'!$P$2:$P$284="PRICED"))))</x:f>
      </x:c>
      <x:c r="V93" s="54" t="str">
        <x:f>IF(S93=0,"",MAXIFS('Vendor Options'!$N$2:$N$284,'Vendor Options'!$B$2:$B$284,A93,'Vendor Options'!$P$2:$P$284,"PRICED"))</x:f>
      </x:c>
      <x:c r="W93" s="43" t="str">
        <x:f>IF(P93="REVIEW","REVIEW",IF(T93=0,"REVIEW",IF(S93=0,"NEEDS PRICE","READY")))</x:f>
        <x:v>REVIEW</x:v>
      </x:c>
    </x:row>
    <x:row r="94" ht="15" hidden="0" customHeight="1">
      <x:c r="A94" s="43" t="str">
        <x:v>SPEC-6525459ED4F5</x:v>
      </x:c>
      <x:c r="B94" s="43" t="str">
        <x:v>HINGE</x:v>
      </x:c>
      <x:c r="C94" s="43" t="str">
        <x:v>CONTINUOUS PIN HINGE</x:v>
      </x:c>
      <x:c r="D94" s="43" t="str"/>
      <x:c r="E94" s="43" t="str">
        <x:v>FULL MORTISE</x:v>
      </x:c>
      <x:c r="F94" s="43" t="str">
        <x:v>NOT APPLICABLE</x:v>
      </x:c>
      <x:c r="G94" s="43" t="str"/>
      <x:c r="H94" s="43" t="str"/>
      <x:c r="I94" s="43" t="str"/>
      <x:c r="J94" s="43" t="str">
        <x:v>FULL MORTISE</x:v>
      </x:c>
      <x:c r="K94" s="43" t="str">
        <x:v>12 GAUGE</x:v>
      </x:c>
      <x:c r="L94" s="43" t="str">
        <x:v>304 STAINLESS STEEL</x:v>
      </x:c>
      <x:c r="M94" s="43" t="str"/>
      <x:c r="N94" s="43" t="str"/>
      <x:c r="O94" s="43" t="str">
        <x:v>3 x 04 GA WIRE</x:v>
      </x:c>
      <x:c r="P94" s="43" t="str">
        <x:v>MEDIUM</x:v>
      </x:c>
      <x:c r="Q94" s="53" t="n">
        <x:f>COUNTIF('Vendor Options'!$B$2:$B$284,A94)</x:f>
        <x:v>2</x:v>
      </x:c>
      <x:c r="R94" s="53" t="n">
        <x:f>COUNTA(_xlfn.UNIQUE(_xlfn._xlws.FILTER('Vendor Options'!$C$2:$C$284,'Vendor Options'!$B$2:$B$284=A94)))</x:f>
        <x:v>1</x:v>
      </x:c>
      <x:c r="S94" s="53" t="n">
        <x:f>COUNTIFS('Vendor Options'!$B$2:$B$284,A94,'Vendor Options'!$P$2:$P$284,"PRICED")</x:f>
        <x:v>0</x:v>
      </x:c>
      <x:c r="T94" s="53" t="n">
        <x:f>COUNTIFS('Vendor Options'!$B$2:$B$284,A94,'Vendor Options'!$Q$2:$Q$284,"ACTIVE")</x:f>
        <x:v>1</x:v>
      </x:c>
      <x:c r="U94" s="54" t="str">
        <x:f>IF(S94=0,"",MIN(_xlfn._xlws.FILTER('Vendor Options'!$N$2:$N$284,('Vendor Options'!$B$2:$B$284=A94)*('Vendor Options'!$P$2:$P$284="PRICED"))))</x:f>
      </x:c>
      <x:c r="V94" s="54" t="str">
        <x:f>IF(S94=0,"",MAXIFS('Vendor Options'!$N$2:$N$284,'Vendor Options'!$B$2:$B$284,A94,'Vendor Options'!$P$2:$P$284,"PRICED"))</x:f>
      </x:c>
      <x:c r="W94" s="43" t="str">
        <x:f>IF(P94="REVIEW","REVIEW",IF(T94=0,"REVIEW",IF(S94=0,"NEEDS PRICE","READY")))</x:f>
        <x:v>NEEDS PRICE</x:v>
      </x:c>
    </x:row>
    <x:row r="95" ht="15" hidden="0" customHeight="1">
      <x:c r="A95" s="43" t="str">
        <x:v>SPEC-46668F499153</x:v>
      </x:c>
      <x:c r="B95" s="43" t="str">
        <x:v>HINGE</x:v>
      </x:c>
      <x:c r="C95" s="43" t="str">
        <x:v>HEAVY WEIGHT BUTT HINGE</x:v>
      </x:c>
      <x:c r="D95" s="43" t="str"/>
      <x:c r="E95" s="43" t="str">
        <x:v>NON-REMOVABLE PIN</x:v>
      </x:c>
      <x:c r="F95" s="43" t="str">
        <x:v>NOT APPLICABLE</x:v>
      </x:c>
      <x:c r="G95" s="43" t="str">
        <x:v>4.5" x 4.5"</x:v>
      </x:c>
      <x:c r="H95" s="43" t="str"/>
      <x:c r="I95" s="43" t="str"/>
      <x:c r="J95" s="43" t="str"/>
      <x:c r="K95" s="43" t="str">
        <x:v>0.180"</x:v>
      </x:c>
      <x:c r="L95" s="43" t="str">
        <x:v>316 STAINLESS STEEL</x:v>
      </x:c>
      <x:c r="M95" s="43" t="str"/>
      <x:c r="N95" s="43" t="str"/>
      <x:c r="O95" s="43" t="str">
        <x:v>NON-REMOVABLE PIN; 3 x 16 GA WIRE</x:v>
      </x:c>
      <x:c r="P95" s="43" t="str">
        <x:v>HIGH</x:v>
      </x:c>
      <x:c r="Q95" s="53" t="n">
        <x:f>COUNTIF('Vendor Options'!$B$2:$B$284,A95)</x:f>
        <x:v>1</x:v>
      </x:c>
      <x:c r="R95" s="53" t="n">
        <x:f>COUNTA(_xlfn.UNIQUE(_xlfn._xlws.FILTER('Vendor Options'!$C$2:$C$284,'Vendor Options'!$B$2:$B$284=A95)))</x:f>
        <x:v>1</x:v>
      </x:c>
      <x:c r="S95" s="53" t="n">
        <x:f>COUNTIFS('Vendor Options'!$B$2:$B$284,A95,'Vendor Options'!$P$2:$P$284,"PRICED")</x:f>
        <x:v>0</x:v>
      </x:c>
      <x:c r="T95" s="53" t="n">
        <x:f>COUNTIFS('Vendor Options'!$B$2:$B$284,A95,'Vendor Options'!$Q$2:$Q$284,"ACTIVE")</x:f>
        <x:v>0</x:v>
      </x:c>
      <x:c r="U95" s="54" t="str">
        <x:f>IF(S95=0,"",MIN(_xlfn._xlws.FILTER('Vendor Options'!$N$2:$N$284,('Vendor Options'!$B$2:$B$284=A95)*('Vendor Options'!$P$2:$P$284="PRICED"))))</x:f>
      </x:c>
      <x:c r="V95" s="54" t="str">
        <x:f>IF(S95=0,"",MAXIFS('Vendor Options'!$N$2:$N$284,'Vendor Options'!$B$2:$B$284,A95,'Vendor Options'!$P$2:$P$284,"PRICED"))</x:f>
      </x:c>
      <x:c r="W95" s="43" t="str">
        <x:f>IF(P95="REVIEW","REVIEW",IF(T95=0,"REVIEW",IF(S95=0,"NEEDS PRICE","READY")))</x:f>
        <x:v>REVIEW</x:v>
      </x:c>
    </x:row>
    <x:row r="96" ht="15" hidden="0" customHeight="1">
      <x:c r="A96" s="43" t="str">
        <x:v>SPEC-5580B38FF507</x:v>
      </x:c>
      <x:c r="B96" s="43" t="str">
        <x:v>HINGE</x:v>
      </x:c>
      <x:c r="C96" s="43" t="str">
        <x:v>HEAVY WEIGHT BUTT HINGE</x:v>
      </x:c>
      <x:c r="D96" s="43" t="str"/>
      <x:c r="E96" s="43" t="str">
        <x:v>NON-REMOVABLE PIN</x:v>
      </x:c>
      <x:c r="F96" s="43" t="str">
        <x:v>NOT APPLICABLE</x:v>
      </x:c>
      <x:c r="G96" s="43" t="str">
        <x:v>4.5" x 4.5"</x:v>
      </x:c>
      <x:c r="H96" s="43" t="str"/>
      <x:c r="I96" s="43" t="str"/>
      <x:c r="J96" s="43" t="str"/>
      <x:c r="K96" s="43" t="str">
        <x:v>0.180"</x:v>
      </x:c>
      <x:c r="L96" s="43" t="str">
        <x:v>304 STAINLESS STEEL</x:v>
      </x:c>
      <x:c r="M96" s="43" t="str"/>
      <x:c r="N96" s="43" t="str"/>
      <x:c r="O96" s="43" t="str">
        <x:v>NON-REMOVABLE PIN; 3 x 04 GA WIRE</x:v>
      </x:c>
      <x:c r="P96" s="43" t="str">
        <x:v>HIGH</x:v>
      </x:c>
      <x:c r="Q96" s="53" t="n">
        <x:f>COUNTIF('Vendor Options'!$B$2:$B$284,A96)</x:f>
        <x:v>1</x:v>
      </x:c>
      <x:c r="R96" s="53" t="n">
        <x:f>COUNTA(_xlfn.UNIQUE(_xlfn._xlws.FILTER('Vendor Options'!$C$2:$C$284,'Vendor Options'!$B$2:$B$284=A96)))</x:f>
        <x:v>1</x:v>
      </x:c>
      <x:c r="S96" s="53" t="n">
        <x:f>COUNTIFS('Vendor Options'!$B$2:$B$284,A96,'Vendor Options'!$P$2:$P$284,"PRICED")</x:f>
        <x:v>0</x:v>
      </x:c>
      <x:c r="T96" s="53" t="n">
        <x:f>COUNTIFS('Vendor Options'!$B$2:$B$284,A96,'Vendor Options'!$Q$2:$Q$284,"ACTIVE")</x:f>
        <x:v>1</x:v>
      </x:c>
      <x:c r="U96" s="54" t="str">
        <x:f>IF(S96=0,"",MIN(_xlfn._xlws.FILTER('Vendor Options'!$N$2:$N$284,('Vendor Options'!$B$2:$B$284=A96)*('Vendor Options'!$P$2:$P$284="PRICED"))))</x:f>
      </x:c>
      <x:c r="V96" s="54" t="str">
        <x:f>IF(S96=0,"",MAXIFS('Vendor Options'!$N$2:$N$284,'Vendor Options'!$B$2:$B$284,A96,'Vendor Options'!$P$2:$P$284,"PRICED"))</x:f>
      </x:c>
      <x:c r="W96" s="43" t="str">
        <x:f>IF(P96="REVIEW","REVIEW",IF(T96=0,"REVIEW",IF(S96=0,"NEEDS PRICE","READY")))</x:f>
        <x:v>NEEDS PRICE</x:v>
      </x:c>
    </x:row>
    <x:row r="97" ht="15" hidden="0" customHeight="1">
      <x:c r="A97" s="43" t="str">
        <x:v>SPEC-3D0B6F726096</x:v>
      </x:c>
      <x:c r="B97" s="43" t="str">
        <x:v>HINGE</x:v>
      </x:c>
      <x:c r="C97" s="43" t="str">
        <x:v>POWER TRANSFER HINGE</x:v>
      </x:c>
      <x:c r="D97" s="43" t="str"/>
      <x:c r="E97" s="43" t="str">
        <x:v>ELECTRIFIED POWER TRANSFER</x:v>
      </x:c>
      <x:c r="F97" s="43" t="str">
        <x:v>NOT APPLICABLE</x:v>
      </x:c>
      <x:c r="G97" s="43" t="str">
        <x:v>4.5" x 4.5"</x:v>
      </x:c>
      <x:c r="H97" s="43" t="str"/>
      <x:c r="I97" s="43" t="str"/>
      <x:c r="J97" s="43" t="str"/>
      <x:c r="K97" s="43" t="str">
        <x:v>0.180"</x:v>
      </x:c>
      <x:c r="L97" s="43" t="str">
        <x:v>304 STAINLESS STEEL</x:v>
      </x:c>
      <x:c r="M97" s="43" t="str"/>
      <x:c r="N97" s="43" t="str"/>
      <x:c r="O97" s="43" t="str">
        <x:v>8 WIRE</x:v>
      </x:c>
      <x:c r="P97" s="43" t="str">
        <x:v>HIGH</x:v>
      </x:c>
      <x:c r="Q97" s="53" t="n">
        <x:f>COUNTIF('Vendor Options'!$B$2:$B$284,A97)</x:f>
        <x:v>2</x:v>
      </x:c>
      <x:c r="R97" s="53" t="n">
        <x:f>COUNTA(_xlfn.UNIQUE(_xlfn._xlws.FILTER('Vendor Options'!$C$2:$C$284,'Vendor Options'!$B$2:$B$284=A97)))</x:f>
        <x:v>1</x:v>
      </x:c>
      <x:c r="S97" s="53" t="n">
        <x:f>COUNTIFS('Vendor Options'!$B$2:$B$284,A97,'Vendor Options'!$P$2:$P$284,"PRICED")</x:f>
        <x:v>2</x:v>
      </x:c>
      <x:c r="T97" s="53" t="n">
        <x:f>COUNTIFS('Vendor Options'!$B$2:$B$284,A97,'Vendor Options'!$Q$2:$Q$284,"ACTIVE")</x:f>
        <x:v>1</x:v>
      </x:c>
      <x:c r="U97" s="54" t="n">
        <x:f>IF(S97=0,"",MIN(_xlfn._xlws.FILTER('Vendor Options'!$N$2:$N$284,('Vendor Options'!$B$2:$B$284=A97)*('Vendor Options'!$P$2:$P$284="PRICED"))))</x:f>
        <x:v>235</x:v>
      </x:c>
      <x:c r="V97" s="54" t="n">
        <x:f>IF(S97=0,"",MAXIFS('Vendor Options'!$N$2:$N$284,'Vendor Options'!$B$2:$B$284,A97,'Vendor Options'!$P$2:$P$284,"PRICED"))</x:f>
        <x:v>556.5</x:v>
      </x:c>
      <x:c r="W97" s="43" t="str">
        <x:f>IF(P97="REVIEW","REVIEW",IF(T97=0,"REVIEW",IF(S97=0,"NEEDS PRICE","READY")))</x:f>
        <x:v>READY</x:v>
      </x:c>
    </x:row>
    <x:row r="98" ht="15" hidden="0" customHeight="1">
      <x:c r="A98" s="43" t="str">
        <x:v>SPEC-430A2DA8C9BC</x:v>
      </x:c>
      <x:c r="B98" s="43" t="str">
        <x:v>HINGE</x:v>
      </x:c>
      <x:c r="C98" s="43" t="str">
        <x:v>POWER TRANSFER HINGE</x:v>
      </x:c>
      <x:c r="D98" s="43" t="str"/>
      <x:c r="E98" s="43" t="str">
        <x:v>ELECTRIFIED POWER TRANSFER</x:v>
      </x:c>
      <x:c r="F98" s="43" t="str">
        <x:v>NOT APPLICABLE</x:v>
      </x:c>
      <x:c r="G98" s="43" t="str">
        <x:v>4.5" x 4.5"</x:v>
      </x:c>
      <x:c r="H98" s="43" t="str"/>
      <x:c r="I98" s="43" t="str"/>
      <x:c r="J98" s="43" t="str"/>
      <x:c r="K98" s="43" t="str">
        <x:v>0.134"</x:v>
      </x:c>
      <x:c r="L98" s="43" t="str">
        <x:v>316 STAINLESS STEEL</x:v>
      </x:c>
      <x:c r="M98" s="43" t="str"/>
      <x:c r="N98" s="43" t="str"/>
      <x:c r="O98" s="43" t="str">
        <x:v>4 x 28 GA WIRE</x:v>
      </x:c>
      <x:c r="P98" s="43" t="str">
        <x:v>HIGH</x:v>
      </x:c>
      <x:c r="Q98" s="53" t="n">
        <x:f>COUNTIF('Vendor Options'!$B$2:$B$284,A98)</x:f>
        <x:v>1</x:v>
      </x:c>
      <x:c r="R98" s="53" t="n">
        <x:f>COUNTA(_xlfn.UNIQUE(_xlfn._xlws.FILTER('Vendor Options'!$C$2:$C$284,'Vendor Options'!$B$2:$B$284=A98)))</x:f>
        <x:v>1</x:v>
      </x:c>
      <x:c r="S98" s="53" t="n">
        <x:f>COUNTIFS('Vendor Options'!$B$2:$B$284,A98,'Vendor Options'!$P$2:$P$284,"PRICED")</x:f>
        <x:v>0</x:v>
      </x:c>
      <x:c r="T98" s="53" t="n">
        <x:f>COUNTIFS('Vendor Options'!$B$2:$B$284,A98,'Vendor Options'!$Q$2:$Q$284,"ACTIVE")</x:f>
        <x:v>1</x:v>
      </x:c>
      <x:c r="U98" s="54" t="str">
        <x:f>IF(S98=0,"",MIN(_xlfn._xlws.FILTER('Vendor Options'!$N$2:$N$284,('Vendor Options'!$B$2:$B$284=A98)*('Vendor Options'!$P$2:$P$284="PRICED"))))</x:f>
      </x:c>
      <x:c r="V98" s="54" t="str">
        <x:f>IF(S98=0,"",MAXIFS('Vendor Options'!$N$2:$N$284,'Vendor Options'!$B$2:$B$284,A98,'Vendor Options'!$P$2:$P$284,"PRICED"))</x:f>
      </x:c>
      <x:c r="W98" s="43" t="str">
        <x:f>IF(P98="REVIEW","REVIEW",IF(T98=0,"REVIEW",IF(S98=0,"NEEDS PRICE","READY")))</x:f>
        <x:v>NEEDS PRICE</x:v>
      </x:c>
    </x:row>
    <x:row r="99" ht="15" hidden="0" customHeight="1">
      <x:c r="A99" s="43" t="str">
        <x:v>SPEC-6148A16A1DC5</x:v>
      </x:c>
      <x:c r="B99" s="43" t="str">
        <x:v>HINGE</x:v>
      </x:c>
      <x:c r="C99" s="43" t="str">
        <x:v>POWER TRANSFER HINGE</x:v>
      </x:c>
      <x:c r="D99" s="43" t="str"/>
      <x:c r="E99" s="43" t="str">
        <x:v>ELECTRIFIED POWER TRANSFER</x:v>
      </x:c>
      <x:c r="F99" s="43" t="str">
        <x:v>NOT APPLICABLE</x:v>
      </x:c>
      <x:c r="G99" s="43" t="str">
        <x:v>4.5" x 4.5"</x:v>
      </x:c>
      <x:c r="H99" s="43" t="str"/>
      <x:c r="I99" s="43" t="str"/>
      <x:c r="J99" s="43" t="str"/>
      <x:c r="K99" s="43" t="str">
        <x:v>0.180"</x:v>
      </x:c>
      <x:c r="L99" s="43" t="str">
        <x:v>316 STAINLESS STEEL</x:v>
      </x:c>
      <x:c r="M99" s="43" t="str"/>
      <x:c r="N99" s="43" t="str"/>
      <x:c r="O99" s="43" t="str">
        <x:v>8 x 28 GA WIRE</x:v>
      </x:c>
      <x:c r="P99" s="43" t="str">
        <x:v>HIGH</x:v>
      </x:c>
      <x:c r="Q99" s="53" t="n">
        <x:f>COUNTIF('Vendor Options'!$B$2:$B$284,A99)</x:f>
        <x:v>1</x:v>
      </x:c>
      <x:c r="R99" s="53" t="n">
        <x:f>COUNTA(_xlfn.UNIQUE(_xlfn._xlws.FILTER('Vendor Options'!$C$2:$C$284,'Vendor Options'!$B$2:$B$284=A99)))</x:f>
        <x:v>1</x:v>
      </x:c>
      <x:c r="S99" s="53" t="n">
        <x:f>COUNTIFS('Vendor Options'!$B$2:$B$284,A99,'Vendor Options'!$P$2:$P$284,"PRICED")</x:f>
        <x:v>0</x:v>
      </x:c>
      <x:c r="T99" s="53" t="n">
        <x:f>COUNTIFS('Vendor Options'!$B$2:$B$284,A99,'Vendor Options'!$Q$2:$Q$284,"ACTIVE")</x:f>
        <x:v>1</x:v>
      </x:c>
      <x:c r="U99" s="54" t="str">
        <x:f>IF(S99=0,"",MIN(_xlfn._xlws.FILTER('Vendor Options'!$N$2:$N$284,('Vendor Options'!$B$2:$B$284=A99)*('Vendor Options'!$P$2:$P$284="PRICED"))))</x:f>
      </x:c>
      <x:c r="V99" s="54" t="str">
        <x:f>IF(S99=0,"",MAXIFS('Vendor Options'!$N$2:$N$284,'Vendor Options'!$B$2:$B$284,A99,'Vendor Options'!$P$2:$P$284,"PRICED"))</x:f>
      </x:c>
      <x:c r="W99" s="43" t="str">
        <x:f>IF(P99="REVIEW","REVIEW",IF(T99=0,"REVIEW",IF(S99=0,"NEEDS PRICE","READY")))</x:f>
        <x:v>NEEDS PRICE</x:v>
      </x:c>
    </x:row>
    <x:row r="100" ht="15" hidden="0" customHeight="1">
      <x:c r="A100" s="43" t="str">
        <x:v>SPEC-670C4978BBE2</x:v>
      </x:c>
      <x:c r="B100" s="43" t="str">
        <x:v>HINGE</x:v>
      </x:c>
      <x:c r="C100" s="43" t="str">
        <x:v>POWER TRANSFER HINGE</x:v>
      </x:c>
      <x:c r="D100" s="43" t="str"/>
      <x:c r="E100" s="43" t="str">
        <x:v>ELECTRIFIED POWER TRANSFER</x:v>
      </x:c>
      <x:c r="F100" s="43" t="str">
        <x:v>NOT APPLICABLE</x:v>
      </x:c>
      <x:c r="G100" s="43" t="str">
        <x:v>4.5" x 4.5"</x:v>
      </x:c>
      <x:c r="H100" s="43" t="str"/>
      <x:c r="I100" s="43" t="str"/>
      <x:c r="J100" s="43" t="str"/>
      <x:c r="K100" s="43" t="str">
        <x:v>0.180"</x:v>
      </x:c>
      <x:c r="L100" s="43" t="str">
        <x:v>304 STAINLESS STEEL</x:v>
      </x:c>
      <x:c r="M100" s="43" t="str"/>
      <x:c r="N100" s="43" t="str"/>
      <x:c r="O100" s="43" t="str">
        <x:v>3 x 04 GA WIRE</x:v>
      </x:c>
      <x:c r="P100" s="43" t="str">
        <x:v>HIGH</x:v>
      </x:c>
      <x:c r="Q100" s="53" t="n">
        <x:f>COUNTIF('Vendor Options'!$B$2:$B$284,A100)</x:f>
        <x:v>1</x:v>
      </x:c>
      <x:c r="R100" s="53" t="n">
        <x:f>COUNTA(_xlfn.UNIQUE(_xlfn._xlws.FILTER('Vendor Options'!$C$2:$C$284,'Vendor Options'!$B$2:$B$284=A100)))</x:f>
        <x:v>1</x:v>
      </x:c>
      <x:c r="S100" s="53" t="n">
        <x:f>COUNTIFS('Vendor Options'!$B$2:$B$284,A100,'Vendor Options'!$P$2:$P$284,"PRICED")</x:f>
        <x:v>0</x:v>
      </x:c>
      <x:c r="T100" s="53" t="n">
        <x:f>COUNTIFS('Vendor Options'!$B$2:$B$284,A100,'Vendor Options'!$Q$2:$Q$284,"ACTIVE")</x:f>
        <x:v>1</x:v>
      </x:c>
      <x:c r="U100" s="54" t="str">
        <x:f>IF(S100=0,"",MIN(_xlfn._xlws.FILTER('Vendor Options'!$N$2:$N$284,('Vendor Options'!$B$2:$B$284=A100)*('Vendor Options'!$P$2:$P$284="PRICED"))))</x:f>
      </x:c>
      <x:c r="V100" s="54" t="str">
        <x:f>IF(S100=0,"",MAXIFS('Vendor Options'!$N$2:$N$284,'Vendor Options'!$B$2:$B$284,A100,'Vendor Options'!$P$2:$P$284,"PRICED"))</x:f>
      </x:c>
      <x:c r="W100" s="43" t="str">
        <x:f>IF(P100="REVIEW","REVIEW",IF(T100=0,"REVIEW",IF(S100=0,"NEEDS PRICE","READY")))</x:f>
        <x:v>NEEDS PRICE</x:v>
      </x:c>
    </x:row>
    <x:row r="101" ht="15" hidden="0" customHeight="1">
      <x:c r="A101" s="43" t="str">
        <x:v>SPEC-6F764A8CF8EF</x:v>
      </x:c>
      <x:c r="B101" s="43" t="str">
        <x:v>HINGE</x:v>
      </x:c>
      <x:c r="C101" s="43" t="str">
        <x:v>POWER TRANSFER HINGE</x:v>
      </x:c>
      <x:c r="D101" s="43" t="str"/>
      <x:c r="E101" s="43" t="str">
        <x:v>ELECTRIFIED POWER TRANSFER</x:v>
      </x:c>
      <x:c r="F101" s="43" t="str">
        <x:v>NOT APPLICABLE</x:v>
      </x:c>
      <x:c r="G101" s="43" t="str">
        <x:v>4.5" x 4.5"</x:v>
      </x:c>
      <x:c r="H101" s="43" t="str"/>
      <x:c r="I101" s="43" t="str"/>
      <x:c r="J101" s="43" t="str"/>
      <x:c r="K101" s="43" t="str">
        <x:v>0.180"</x:v>
      </x:c>
      <x:c r="L101" s="43" t="str">
        <x:v>304 STAINLESS STEEL</x:v>
      </x:c>
      <x:c r="M101" s="43" t="str"/>
      <x:c r="N101" s="43" t="str"/>
      <x:c r="O101" s="43" t="str">
        <x:v>4 x 28 GA WIRE</x:v>
      </x:c>
      <x:c r="P101" s="43" t="str">
        <x:v>HIGH</x:v>
      </x:c>
      <x:c r="Q101" s="53" t="n">
        <x:f>COUNTIF('Vendor Options'!$B$2:$B$284,A101)</x:f>
        <x:v>1</x:v>
      </x:c>
      <x:c r="R101" s="53" t="n">
        <x:f>COUNTA(_xlfn.UNIQUE(_xlfn._xlws.FILTER('Vendor Options'!$C$2:$C$284,'Vendor Options'!$B$2:$B$284=A101)))</x:f>
        <x:v>1</x:v>
      </x:c>
      <x:c r="S101" s="53" t="n">
        <x:f>COUNTIFS('Vendor Options'!$B$2:$B$284,A101,'Vendor Options'!$P$2:$P$284,"PRICED")</x:f>
        <x:v>0</x:v>
      </x:c>
      <x:c r="T101" s="53" t="n">
        <x:f>COUNTIFS('Vendor Options'!$B$2:$B$284,A101,'Vendor Options'!$Q$2:$Q$284,"ACTIVE")</x:f>
        <x:v>1</x:v>
      </x:c>
      <x:c r="U101" s="54" t="str">
        <x:f>IF(S101=0,"",MIN(_xlfn._xlws.FILTER('Vendor Options'!$N$2:$N$284,('Vendor Options'!$B$2:$B$284=A101)*('Vendor Options'!$P$2:$P$284="PRICED"))))</x:f>
      </x:c>
      <x:c r="V101" s="54" t="str">
        <x:f>IF(S101=0,"",MAXIFS('Vendor Options'!$N$2:$N$284,'Vendor Options'!$B$2:$B$284,A101,'Vendor Options'!$P$2:$P$284,"PRICED"))</x:f>
      </x:c>
      <x:c r="W101" s="43" t="str">
        <x:f>IF(P101="REVIEW","REVIEW",IF(T101=0,"REVIEW",IF(S101=0,"NEEDS PRICE","READY")))</x:f>
        <x:v>NEEDS PRICE</x:v>
      </x:c>
    </x:row>
    <x:row r="102" ht="15" hidden="0" customHeight="1">
      <x:c r="A102" s="43" t="str">
        <x:v>SPEC-73112C7FD382</x:v>
      </x:c>
      <x:c r="B102" s="43" t="str">
        <x:v>HINGE</x:v>
      </x:c>
      <x:c r="C102" s="43" t="str">
        <x:v>POWER TRANSFER HINGE</x:v>
      </x:c>
      <x:c r="D102" s="43" t="str"/>
      <x:c r="E102" s="43" t="str">
        <x:v>ELECTRIFIED POWER TRANSFER</x:v>
      </x:c>
      <x:c r="F102" s="43" t="str">
        <x:v>NOT APPLICABLE</x:v>
      </x:c>
      <x:c r="G102" s="43" t="str">
        <x:v>4.5" x 4.5"</x:v>
      </x:c>
      <x:c r="H102" s="43" t="str"/>
      <x:c r="I102" s="43" t="str"/>
      <x:c r="J102" s="43" t="str"/>
      <x:c r="K102" s="43" t="str">
        <x:v>0.134"</x:v>
      </x:c>
      <x:c r="L102" s="43" t="str">
        <x:v>304 STAINLESS STEEL</x:v>
      </x:c>
      <x:c r="M102" s="43" t="str"/>
      <x:c r="N102" s="43" t="str"/>
      <x:c r="O102" s="43" t="str">
        <x:v>4 x 28 GA WIRE</x:v>
      </x:c>
      <x:c r="P102" s="43" t="str">
        <x:v>HIGH</x:v>
      </x:c>
      <x:c r="Q102" s="53" t="n">
        <x:f>COUNTIF('Vendor Options'!$B$2:$B$284,A102)</x:f>
        <x:v>1</x:v>
      </x:c>
      <x:c r="R102" s="53" t="n">
        <x:f>COUNTA(_xlfn.UNIQUE(_xlfn._xlws.FILTER('Vendor Options'!$C$2:$C$284,'Vendor Options'!$B$2:$B$284=A102)))</x:f>
        <x:v>1</x:v>
      </x:c>
      <x:c r="S102" s="53" t="n">
        <x:f>COUNTIFS('Vendor Options'!$B$2:$B$284,A102,'Vendor Options'!$P$2:$P$284,"PRICED")</x:f>
        <x:v>0</x:v>
      </x:c>
      <x:c r="T102" s="53" t="n">
        <x:f>COUNTIFS('Vendor Options'!$B$2:$B$284,A102,'Vendor Options'!$Q$2:$Q$284,"ACTIVE")</x:f>
        <x:v>1</x:v>
      </x:c>
      <x:c r="U102" s="54" t="str">
        <x:f>IF(S102=0,"",MIN(_xlfn._xlws.FILTER('Vendor Options'!$N$2:$N$284,('Vendor Options'!$B$2:$B$284=A102)*('Vendor Options'!$P$2:$P$284="PRICED"))))</x:f>
      </x:c>
      <x:c r="V102" s="54" t="str">
        <x:f>IF(S102=0,"",MAXIFS('Vendor Options'!$N$2:$N$284,'Vendor Options'!$B$2:$B$284,A102,'Vendor Options'!$P$2:$P$284,"PRICED"))</x:f>
      </x:c>
      <x:c r="W102" s="43" t="str">
        <x:f>IF(P102="REVIEW","REVIEW",IF(T102=0,"REVIEW",IF(S102=0,"NEEDS PRICE","READY")))</x:f>
        <x:v>NEEDS PRICE</x:v>
      </x:c>
    </x:row>
    <x:row r="103" ht="15" hidden="0" customHeight="1">
      <x:c r="A103" s="43" t="str">
        <x:v>SPEC-AA846527D5AE</x:v>
      </x:c>
      <x:c r="B103" s="43" t="str">
        <x:v>HINGE</x:v>
      </x:c>
      <x:c r="C103" s="43" t="str">
        <x:v>POWER TRANSFER HINGE</x:v>
      </x:c>
      <x:c r="D103" s="43" t="str"/>
      <x:c r="E103" s="43" t="str">
        <x:v>ELECTRIFIED POWER TRANSFER</x:v>
      </x:c>
      <x:c r="F103" s="43" t="str">
        <x:v>NOT APPLICABLE</x:v>
      </x:c>
      <x:c r="G103" s="43" t="str">
        <x:v>4.5" x 4.5"</x:v>
      </x:c>
      <x:c r="H103" s="43" t="str"/>
      <x:c r="I103" s="43" t="str"/>
      <x:c r="J103" s="43" t="str"/>
      <x:c r="K103" s="43" t="str">
        <x:v>0.180"</x:v>
      </x:c>
      <x:c r="L103" s="43" t="str">
        <x:v>316 STAINLESS STEEL</x:v>
      </x:c>
      <x:c r="M103" s="43" t="str"/>
      <x:c r="N103" s="43" t="str"/>
      <x:c r="O103" s="43" t="str">
        <x:v>4 x 28 GA WIRE</x:v>
      </x:c>
      <x:c r="P103" s="43" t="str">
        <x:v>HIGH</x:v>
      </x:c>
      <x:c r="Q103" s="53" t="n">
        <x:f>COUNTIF('Vendor Options'!$B$2:$B$284,A103)</x:f>
        <x:v>1</x:v>
      </x:c>
      <x:c r="R103" s="53" t="n">
        <x:f>COUNTA(_xlfn.UNIQUE(_xlfn._xlws.FILTER('Vendor Options'!$C$2:$C$284,'Vendor Options'!$B$2:$B$284=A103)))</x:f>
        <x:v>1</x:v>
      </x:c>
      <x:c r="S103" s="53" t="n">
        <x:f>COUNTIFS('Vendor Options'!$B$2:$B$284,A103,'Vendor Options'!$P$2:$P$284,"PRICED")</x:f>
        <x:v>0</x:v>
      </x:c>
      <x:c r="T103" s="53" t="n">
        <x:f>COUNTIFS('Vendor Options'!$B$2:$B$284,A103,'Vendor Options'!$Q$2:$Q$284,"ACTIVE")</x:f>
        <x:v>1</x:v>
      </x:c>
      <x:c r="U103" s="54" t="str">
        <x:f>IF(S103=0,"",MIN(_xlfn._xlws.FILTER('Vendor Options'!$N$2:$N$284,('Vendor Options'!$B$2:$B$284=A103)*('Vendor Options'!$P$2:$P$284="PRICED"))))</x:f>
      </x:c>
      <x:c r="V103" s="54" t="str">
        <x:f>IF(S103=0,"",MAXIFS('Vendor Options'!$N$2:$N$284,'Vendor Options'!$B$2:$B$284,A103,'Vendor Options'!$P$2:$P$284,"PRICED"))</x:f>
      </x:c>
      <x:c r="W103" s="43" t="str">
        <x:f>IF(P103="REVIEW","REVIEW",IF(T103=0,"REVIEW",IF(S103=0,"NEEDS PRICE","READY")))</x:f>
        <x:v>NEEDS PRICE</x:v>
      </x:c>
    </x:row>
    <x:row r="104" ht="15" hidden="0" customHeight="1">
      <x:c r="A104" s="43" t="str">
        <x:v>SPEC-B2224CB4D0BB</x:v>
      </x:c>
      <x:c r="B104" s="43" t="str">
        <x:v>HINGE</x:v>
      </x:c>
      <x:c r="C104" s="43" t="str">
        <x:v>POWER TRANSFER HINGE</x:v>
      </x:c>
      <x:c r="D104" s="43" t="str"/>
      <x:c r="E104" s="43" t="str">
        <x:v>ELECTRIFIED POWER TRANSFER</x:v>
      </x:c>
      <x:c r="F104" s="43" t="str">
        <x:v>NOT APPLICABLE</x:v>
      </x:c>
      <x:c r="G104" s="43" t="str">
        <x:v>4.5" x 4.5"</x:v>
      </x:c>
      <x:c r="H104" s="43" t="str"/>
      <x:c r="I104" s="43" t="str"/>
      <x:c r="J104" s="43" t="str"/>
      <x:c r="K104" s="43" t="str">
        <x:v>0.134"</x:v>
      </x:c>
      <x:c r="L104" s="43" t="str">
        <x:v>304 STAINLESS STEEL</x:v>
      </x:c>
      <x:c r="M104" s="43" t="str"/>
      <x:c r="N104" s="43" t="str"/>
      <x:c r="O104" s="43" t="str">
        <x:v>8 x 28 GA WIRE</x:v>
      </x:c>
      <x:c r="P104" s="43" t="str">
        <x:v>HIGH</x:v>
      </x:c>
      <x:c r="Q104" s="53" t="n">
        <x:f>COUNTIF('Vendor Options'!$B$2:$B$284,A104)</x:f>
        <x:v>1</x:v>
      </x:c>
      <x:c r="R104" s="53" t="n">
        <x:f>COUNTA(_xlfn.UNIQUE(_xlfn._xlws.FILTER('Vendor Options'!$C$2:$C$284,'Vendor Options'!$B$2:$B$284=A104)))</x:f>
        <x:v>1</x:v>
      </x:c>
      <x:c r="S104" s="53" t="n">
        <x:f>COUNTIFS('Vendor Options'!$B$2:$B$284,A104,'Vendor Options'!$P$2:$P$284,"PRICED")</x:f>
        <x:v>0</x:v>
      </x:c>
      <x:c r="T104" s="53" t="n">
        <x:f>COUNTIFS('Vendor Options'!$B$2:$B$284,A104,'Vendor Options'!$Q$2:$Q$284,"ACTIVE")</x:f>
        <x:v>1</x:v>
      </x:c>
      <x:c r="U104" s="54" t="str">
        <x:f>IF(S104=0,"",MIN(_xlfn._xlws.FILTER('Vendor Options'!$N$2:$N$284,('Vendor Options'!$B$2:$B$284=A104)*('Vendor Options'!$P$2:$P$284="PRICED"))))</x:f>
      </x:c>
      <x:c r="V104" s="54" t="str">
        <x:f>IF(S104=0,"",MAXIFS('Vendor Options'!$N$2:$N$284,'Vendor Options'!$B$2:$B$284,A104,'Vendor Options'!$P$2:$P$284,"PRICED"))</x:f>
      </x:c>
      <x:c r="W104" s="43" t="str">
        <x:f>IF(P104="REVIEW","REVIEW",IF(T104=0,"REVIEW",IF(S104=0,"NEEDS PRICE","READY")))</x:f>
        <x:v>NEEDS PRICE</x:v>
      </x:c>
    </x:row>
    <x:row r="105" ht="15" hidden="0" customHeight="1">
      <x:c r="A105" s="43" t="str">
        <x:v>SPEC-BE8831B937F5</x:v>
      </x:c>
      <x:c r="B105" s="43" t="str">
        <x:v>HINGE</x:v>
      </x:c>
      <x:c r="C105" s="43" t="str">
        <x:v>POWER TRANSFER HINGE</x:v>
      </x:c>
      <x:c r="D105" s="43" t="str"/>
      <x:c r="E105" s="43" t="str">
        <x:v>ELECTRIFIED POWER TRANSFER</x:v>
      </x:c>
      <x:c r="F105" s="43" t="str">
        <x:v>NOT APPLICABLE</x:v>
      </x:c>
      <x:c r="G105" s="43" t="str">
        <x:v>4.5" x 4.5"</x:v>
      </x:c>
      <x:c r="H105" s="43" t="str"/>
      <x:c r="I105" s="43" t="str"/>
      <x:c r="J105" s="43" t="str"/>
      <x:c r="K105" s="43" t="str">
        <x:v>0.180"</x:v>
      </x:c>
      <x:c r="L105" s="43" t="str">
        <x:v>304 STAINLESS STEEL</x:v>
      </x:c>
      <x:c r="M105" s="43" t="str"/>
      <x:c r="N105" s="43" t="str"/>
      <x:c r="O105" s="43" t="str">
        <x:v>8 x 28 GA WIRE</x:v>
      </x:c>
      <x:c r="P105" s="43" t="str">
        <x:v>HIGH</x:v>
      </x:c>
      <x:c r="Q105" s="53" t="n">
        <x:f>COUNTIF('Vendor Options'!$B$2:$B$284,A105)</x:f>
        <x:v>1</x:v>
      </x:c>
      <x:c r="R105" s="53" t="n">
        <x:f>COUNTA(_xlfn.UNIQUE(_xlfn._xlws.FILTER('Vendor Options'!$C$2:$C$284,'Vendor Options'!$B$2:$B$284=A105)))</x:f>
        <x:v>1</x:v>
      </x:c>
      <x:c r="S105" s="53" t="n">
        <x:f>COUNTIFS('Vendor Options'!$B$2:$B$284,A105,'Vendor Options'!$P$2:$P$284,"PRICED")</x:f>
        <x:v>0</x:v>
      </x:c>
      <x:c r="T105" s="53" t="n">
        <x:f>COUNTIFS('Vendor Options'!$B$2:$B$284,A105,'Vendor Options'!$Q$2:$Q$284,"ACTIVE")</x:f>
        <x:v>1</x:v>
      </x:c>
      <x:c r="U105" s="54" t="str">
        <x:f>IF(S105=0,"",MIN(_xlfn._xlws.FILTER('Vendor Options'!$N$2:$N$284,('Vendor Options'!$B$2:$B$284=A105)*('Vendor Options'!$P$2:$P$284="PRICED"))))</x:f>
      </x:c>
      <x:c r="V105" s="54" t="str">
        <x:f>IF(S105=0,"",MAXIFS('Vendor Options'!$N$2:$N$284,'Vendor Options'!$B$2:$B$284,A105,'Vendor Options'!$P$2:$P$284,"PRICED"))</x:f>
      </x:c>
      <x:c r="W105" s="43" t="str">
        <x:f>IF(P105="REVIEW","REVIEW",IF(T105=0,"REVIEW",IF(S105=0,"NEEDS PRICE","READY")))</x:f>
        <x:v>NEEDS PRICE</x:v>
      </x:c>
    </x:row>
    <x:row r="106" ht="15" hidden="0" customHeight="1">
      <x:c r="A106" s="43" t="str">
        <x:v>SPEC-C7431F5B45E4</x:v>
      </x:c>
      <x:c r="B106" s="43" t="str">
        <x:v>HINGE</x:v>
      </x:c>
      <x:c r="C106" s="43" t="str">
        <x:v>POWER TRANSFER HINGE</x:v>
      </x:c>
      <x:c r="D106" s="43" t="str"/>
      <x:c r="E106" s="43" t="str">
        <x:v>ELECTRIFIED POWER TRANSFER</x:v>
      </x:c>
      <x:c r="F106" s="43" t="str">
        <x:v>NOT APPLICABLE</x:v>
      </x:c>
      <x:c r="G106" s="43" t="str">
        <x:v>4.5" x 4.5"</x:v>
      </x:c>
      <x:c r="H106" s="43" t="str"/>
      <x:c r="I106" s="43" t="str"/>
      <x:c r="J106" s="43" t="str"/>
      <x:c r="K106" s="43" t="str">
        <x:v>0.134"</x:v>
      </x:c>
      <x:c r="L106" s="43" t="str">
        <x:v>316 STAINLESS STEEL</x:v>
      </x:c>
      <x:c r="M106" s="43" t="str"/>
      <x:c r="N106" s="43" t="str"/>
      <x:c r="O106" s="43" t="str">
        <x:v>8 x 28 GA WIRE</x:v>
      </x:c>
      <x:c r="P106" s="43" t="str">
        <x:v>HIGH</x:v>
      </x:c>
      <x:c r="Q106" s="53" t="n">
        <x:f>COUNTIF('Vendor Options'!$B$2:$B$284,A106)</x:f>
        <x:v>1</x:v>
      </x:c>
      <x:c r="R106" s="53" t="n">
        <x:f>COUNTA(_xlfn.UNIQUE(_xlfn._xlws.FILTER('Vendor Options'!$C$2:$C$284,'Vendor Options'!$B$2:$B$284=A106)))</x:f>
        <x:v>1</x:v>
      </x:c>
      <x:c r="S106" s="53" t="n">
        <x:f>COUNTIFS('Vendor Options'!$B$2:$B$284,A106,'Vendor Options'!$P$2:$P$284,"PRICED")</x:f>
        <x:v>0</x:v>
      </x:c>
      <x:c r="T106" s="53" t="n">
        <x:f>COUNTIFS('Vendor Options'!$B$2:$B$284,A106,'Vendor Options'!$Q$2:$Q$284,"ACTIVE")</x:f>
        <x:v>1</x:v>
      </x:c>
      <x:c r="U106" s="54" t="str">
        <x:f>IF(S106=0,"",MIN(_xlfn._xlws.FILTER('Vendor Options'!$N$2:$N$284,('Vendor Options'!$B$2:$B$284=A106)*('Vendor Options'!$P$2:$P$284="PRICED"))))</x:f>
      </x:c>
      <x:c r="V106" s="54" t="str">
        <x:f>IF(S106=0,"",MAXIFS('Vendor Options'!$N$2:$N$284,'Vendor Options'!$B$2:$B$284,A106,'Vendor Options'!$P$2:$P$284,"PRICED"))</x:f>
      </x:c>
      <x:c r="W106" s="43" t="str">
        <x:f>IF(P106="REVIEW","REVIEW",IF(T106=0,"REVIEW",IF(S106=0,"NEEDS PRICE","READY")))</x:f>
        <x:v>NEEDS PRICE</x:v>
      </x:c>
    </x:row>
    <x:row r="107" ht="15" hidden="0" customHeight="1">
      <x:c r="A107" s="43" t="str">
        <x:v>SPEC-F4CEDBA6C85C</x:v>
      </x:c>
      <x:c r="B107" s="43" t="str">
        <x:v>HINGE</x:v>
      </x:c>
      <x:c r="C107" s="43" t="str">
        <x:v>SPECIAL BUTT HINGE</x:v>
      </x:c>
      <x:c r="D107" s="43" t="str"/>
      <x:c r="E107" s="43" t="str">
        <x:v>NON-REMOVABLE PIN</x:v>
      </x:c>
      <x:c r="F107" s="43" t="str">
        <x:v>NOT APPLICABLE</x:v>
      </x:c>
      <x:c r="G107" s="43" t="str">
        <x:v>5.0" x 4.5"</x:v>
      </x:c>
      <x:c r="H107" s="43" t="str"/>
      <x:c r="I107" s="43" t="str"/>
      <x:c r="J107" s="43" t="str"/>
      <x:c r="K107" s="43" t="str">
        <x:v>0.180"</x:v>
      </x:c>
      <x:c r="L107" s="43" t="str">
        <x:v>304 STAINLESS STEEL</x:v>
      </x:c>
      <x:c r="M107" s="43" t="str"/>
      <x:c r="N107" s="43" t="str"/>
      <x:c r="O107" s="43" t="str">
        <x:v>NON-REMOVABLE PIN; 3 x 04 GA WIRE</x:v>
      </x:c>
      <x:c r="P107" s="43" t="str">
        <x:v>HIGH</x:v>
      </x:c>
      <x:c r="Q107" s="53" t="n">
        <x:f>COUNTIF('Vendor Options'!$B$2:$B$284,A107)</x:f>
        <x:v>1</x:v>
      </x:c>
      <x:c r="R107" s="53" t="n">
        <x:f>COUNTA(_xlfn.UNIQUE(_xlfn._xlws.FILTER('Vendor Options'!$C$2:$C$284,'Vendor Options'!$B$2:$B$284=A107)))</x:f>
        <x:v>1</x:v>
      </x:c>
      <x:c r="S107" s="53" t="n">
        <x:f>COUNTIFS('Vendor Options'!$B$2:$B$284,A107,'Vendor Options'!$P$2:$P$284,"PRICED")</x:f>
        <x:v>0</x:v>
      </x:c>
      <x:c r="T107" s="53" t="n">
        <x:f>COUNTIFS('Vendor Options'!$B$2:$B$284,A107,'Vendor Options'!$Q$2:$Q$284,"ACTIVE")</x:f>
        <x:v>1</x:v>
      </x:c>
      <x:c r="U107" s="54" t="str">
        <x:f>IF(S107=0,"",MIN(_xlfn._xlws.FILTER('Vendor Options'!$N$2:$N$284,('Vendor Options'!$B$2:$B$284=A107)*('Vendor Options'!$P$2:$P$284="PRICED"))))</x:f>
      </x:c>
      <x:c r="V107" s="54" t="str">
        <x:f>IF(S107=0,"",MAXIFS('Vendor Options'!$N$2:$N$284,'Vendor Options'!$B$2:$B$284,A107,'Vendor Options'!$P$2:$P$284,"PRICED"))</x:f>
      </x:c>
      <x:c r="W107" s="43" t="str">
        <x:f>IF(P107="REVIEW","REVIEW",IF(T107=0,"REVIEW",IF(S107=0,"NEEDS PRICE","READY")))</x:f>
        <x:v>NEEDS PRICE</x:v>
      </x:c>
    </x:row>
    <x:row r="108" ht="15" hidden="0" customHeight="1">
      <x:c r="A108" s="43" t="str">
        <x:v>SPEC-E60B40B45B93</x:v>
      </x:c>
      <x:c r="B108" s="43" t="str">
        <x:v>HINGE</x:v>
      </x:c>
      <x:c r="C108" s="43" t="str">
        <x:v>SPECIAL BUTT HINGE</x:v>
      </x:c>
      <x:c r="D108" s="43" t="str"/>
      <x:c r="E108" s="43" t="str">
        <x:v>NON-REMOVABLE PIN</x:v>
      </x:c>
      <x:c r="F108" s="43" t="str">
        <x:v>NOT APPLICABLE</x:v>
      </x:c>
      <x:c r="G108" s="43" t="str">
        <x:v>5.0" x 5.0"</x:v>
      </x:c>
      <x:c r="H108" s="43" t="str"/>
      <x:c r="I108" s="43" t="str"/>
      <x:c r="J108" s="43" t="str"/>
      <x:c r="K108" s="43" t="str">
        <x:v>0.180"</x:v>
      </x:c>
      <x:c r="L108" s="43" t="str">
        <x:v>304 STAINLESS STEEL</x:v>
      </x:c>
      <x:c r="M108" s="43" t="str"/>
      <x:c r="N108" s="43" t="str"/>
      <x:c r="O108" s="43" t="str">
        <x:v>NON-REMOVABLE PIN; 3 x 04 GA WIRE</x:v>
      </x:c>
      <x:c r="P108" s="43" t="str">
        <x:v>HIGH</x:v>
      </x:c>
      <x:c r="Q108" s="53" t="n">
        <x:f>COUNTIF('Vendor Options'!$B$2:$B$284,A108)</x:f>
        <x:v>1</x:v>
      </x:c>
      <x:c r="R108" s="53" t="n">
        <x:f>COUNTA(_xlfn.UNIQUE(_xlfn._xlws.FILTER('Vendor Options'!$C$2:$C$284,'Vendor Options'!$B$2:$B$284=A108)))</x:f>
        <x:v>1</x:v>
      </x:c>
      <x:c r="S108" s="53" t="n">
        <x:f>COUNTIFS('Vendor Options'!$B$2:$B$284,A108,'Vendor Options'!$P$2:$P$284,"PRICED")</x:f>
        <x:v>0</x:v>
      </x:c>
      <x:c r="T108" s="53" t="n">
        <x:f>COUNTIFS('Vendor Options'!$B$2:$B$284,A108,'Vendor Options'!$Q$2:$Q$284,"ACTIVE")</x:f>
        <x:v>0</x:v>
      </x:c>
      <x:c r="U108" s="54" t="str">
        <x:f>IF(S108=0,"",MIN(_xlfn._xlws.FILTER('Vendor Options'!$N$2:$N$284,('Vendor Options'!$B$2:$B$284=A108)*('Vendor Options'!$P$2:$P$284="PRICED"))))</x:f>
      </x:c>
      <x:c r="V108" s="54" t="str">
        <x:f>IF(S108=0,"",MAXIFS('Vendor Options'!$N$2:$N$284,'Vendor Options'!$B$2:$B$284,A108,'Vendor Options'!$P$2:$P$284,"PRICED"))</x:f>
      </x:c>
      <x:c r="W108" s="43" t="str">
        <x:f>IF(P108="REVIEW","REVIEW",IF(T108=0,"REVIEW",IF(S108=0,"NEEDS PRICE","READY")))</x:f>
        <x:v>REVIEW</x:v>
      </x:c>
    </x:row>
    <x:row r="109" ht="15" hidden="0" customHeight="1">
      <x:c r="A109" s="43" t="str">
        <x:v>SPEC-86E6996563AA</x:v>
      </x:c>
      <x:c r="B109" s="43" t="str">
        <x:v>HINGE</x:v>
      </x:c>
      <x:c r="C109" s="43" t="str">
        <x:v>SPRING BUTT HINGE</x:v>
      </x:c>
      <x:c r="D109" s="43" t="str"/>
      <x:c r="E109" s="43" t="str"/>
      <x:c r="F109" s="43" t="str">
        <x:v>NOT APPLICABLE</x:v>
      </x:c>
      <x:c r="G109" s="43" t="str">
        <x:v>4.5" x 4.5"</x:v>
      </x:c>
      <x:c r="H109" s="43" t="str"/>
      <x:c r="I109" s="43" t="str"/>
      <x:c r="J109" s="43" t="str"/>
      <x:c r="K109" s="43" t="str">
        <x:v>0.134"</x:v>
      </x:c>
      <x:c r="L109" s="43" t="str">
        <x:v>304 STAINLESS STEEL</x:v>
      </x:c>
      <x:c r="M109" s="43" t="str"/>
      <x:c r="N109" s="43" t="str"/>
      <x:c r="O109" s="43" t="str">
        <x:v>3 x 04 GA WIRE</x:v>
      </x:c>
      <x:c r="P109" s="43" t="str">
        <x:v>HIGH</x:v>
      </x:c>
      <x:c r="Q109" s="53" t="n">
        <x:f>COUNTIF('Vendor Options'!$B$2:$B$284,A109)</x:f>
        <x:v>1</x:v>
      </x:c>
      <x:c r="R109" s="53" t="n">
        <x:f>COUNTA(_xlfn.UNIQUE(_xlfn._xlws.FILTER('Vendor Options'!$C$2:$C$284,'Vendor Options'!$B$2:$B$284=A109)))</x:f>
        <x:v>1</x:v>
      </x:c>
      <x:c r="S109" s="53" t="n">
        <x:f>COUNTIFS('Vendor Options'!$B$2:$B$284,A109,'Vendor Options'!$P$2:$P$284,"PRICED")</x:f>
        <x:v>0</x:v>
      </x:c>
      <x:c r="T109" s="53" t="n">
        <x:f>COUNTIFS('Vendor Options'!$B$2:$B$284,A109,'Vendor Options'!$Q$2:$Q$284,"ACTIVE")</x:f>
        <x:v>1</x:v>
      </x:c>
      <x:c r="U109" s="54" t="str">
        <x:f>IF(S109=0,"",MIN(_xlfn._xlws.FILTER('Vendor Options'!$N$2:$N$284,('Vendor Options'!$B$2:$B$284=A109)*('Vendor Options'!$P$2:$P$284="PRICED"))))</x:f>
      </x:c>
      <x:c r="V109" s="54" t="str">
        <x:f>IF(S109=0,"",MAXIFS('Vendor Options'!$N$2:$N$284,'Vendor Options'!$B$2:$B$284,A109,'Vendor Options'!$P$2:$P$284,"PRICED"))</x:f>
      </x:c>
      <x:c r="W109" s="43" t="str">
        <x:f>IF(P109="REVIEW","REVIEW",IF(T109=0,"REVIEW",IF(S109=0,"NEEDS PRICE","READY")))</x:f>
        <x:v>NEEDS PRICE</x:v>
      </x:c>
    </x:row>
    <x:row r="110" ht="15" hidden="0" customHeight="1">
      <x:c r="A110" s="43" t="str">
        <x:v>SPEC-DE59CAC94BBD</x:v>
      </x:c>
      <x:c r="B110" s="43" t="str">
        <x:v>HINGE</x:v>
      </x:c>
      <x:c r="C110" s="43" t="str">
        <x:v>SPRING BUTT HINGE</x:v>
      </x:c>
      <x:c r="D110" s="43" t="str"/>
      <x:c r="E110" s="43" t="str"/>
      <x:c r="F110" s="43" t="str">
        <x:v>NOT APPLICABLE</x:v>
      </x:c>
      <x:c r="G110" s="43" t="str">
        <x:v>4.5" x 4.5"</x:v>
      </x:c>
      <x:c r="H110" s="43" t="str"/>
      <x:c r="I110" s="43" t="str"/>
      <x:c r="J110" s="43" t="str"/>
      <x:c r="K110" s="43" t="str">
        <x:v>0.180"</x:v>
      </x:c>
      <x:c r="L110" s="43" t="str">
        <x:v>304 STAINLESS STEEL</x:v>
      </x:c>
      <x:c r="M110" s="43" t="str"/>
      <x:c r="N110" s="43" t="str"/>
      <x:c r="O110" s="43" t="str">
        <x:v>3 x 04 GA WIRE</x:v>
      </x:c>
      <x:c r="P110" s="43" t="str">
        <x:v>HIGH</x:v>
      </x:c>
      <x:c r="Q110" s="53" t="n">
        <x:f>COUNTIF('Vendor Options'!$B$2:$B$284,A110)</x:f>
        <x:v>1</x:v>
      </x:c>
      <x:c r="R110" s="53" t="n">
        <x:f>COUNTA(_xlfn.UNIQUE(_xlfn._xlws.FILTER('Vendor Options'!$C$2:$C$284,'Vendor Options'!$B$2:$B$284=A110)))</x:f>
        <x:v>1</x:v>
      </x:c>
      <x:c r="S110" s="53" t="n">
        <x:f>COUNTIFS('Vendor Options'!$B$2:$B$284,A110,'Vendor Options'!$P$2:$P$284,"PRICED")</x:f>
        <x:v>1</x:v>
      </x:c>
      <x:c r="T110" s="53" t="n">
        <x:f>COUNTIFS('Vendor Options'!$B$2:$B$284,A110,'Vendor Options'!$Q$2:$Q$284,"ACTIVE")</x:f>
        <x:v>0</x:v>
      </x:c>
      <x:c r="U110" s="54" t="n">
        <x:f>IF(S110=0,"",MIN(_xlfn._xlws.FILTER('Vendor Options'!$N$2:$N$284,('Vendor Options'!$B$2:$B$284=A110)*('Vendor Options'!$P$2:$P$284="PRICED"))))</x:f>
        <x:v>96.25</x:v>
      </x:c>
      <x:c r="V110" s="54" t="n">
        <x:f>IF(S110=0,"",MAXIFS('Vendor Options'!$N$2:$N$284,'Vendor Options'!$B$2:$B$284,A110,'Vendor Options'!$P$2:$P$284,"PRICED"))</x:f>
        <x:v>96.25</x:v>
      </x:c>
      <x:c r="W110" s="43" t="str">
        <x:f>IF(P110="REVIEW","REVIEW",IF(T110=0,"REVIEW",IF(S110=0,"NEEDS PRICE","READY")))</x:f>
        <x:v>REVIEW</x:v>
      </x:c>
    </x:row>
    <x:row r="111" ht="15" hidden="0" customHeight="1">
      <x:c r="A111" s="43" t="str">
        <x:v>SPEC-244285DE4CEC</x:v>
      </x:c>
      <x:c r="B111" s="43" t="str">
        <x:v>HINGE</x:v>
      </x:c>
      <x:c r="C111" s="43" t="str">
        <x:v>STANDARD WEIGHT BUTT HINGE</x:v>
      </x:c>
      <x:c r="D111" s="43" t="str"/>
      <x:c r="E111" s="43" t="str"/>
      <x:c r="F111" s="43" t="str">
        <x:v>NOT APPLICABLE</x:v>
      </x:c>
      <x:c r="G111" s="43" t="str"/>
      <x:c r="H111" s="43" t="str"/>
      <x:c r="I111" s="43" t="str"/>
      <x:c r="J111" s="43" t="str"/>
      <x:c r="K111" s="43" t="str">
        <x:v>0.134"</x:v>
      </x:c>
      <x:c r="L111" s="43" t="str">
        <x:v>304 STAINLESS STEEL</x:v>
      </x:c>
      <x:c r="M111" s="43" t="str"/>
      <x:c r="N111" s="43" t="str"/>
      <x:c r="O111" s="43" t="str">
        <x:v>3 x 04 GA WIRE</x:v>
      </x:c>
      <x:c r="P111" s="43" t="str">
        <x:v>MEDIUM</x:v>
      </x:c>
      <x:c r="Q111" s="53" t="n">
        <x:f>COUNTIF('Vendor Options'!$B$2:$B$284,A111)</x:f>
        <x:v>1</x:v>
      </x:c>
      <x:c r="R111" s="53" t="n">
        <x:f>COUNTA(_xlfn.UNIQUE(_xlfn._xlws.FILTER('Vendor Options'!$C$2:$C$284,'Vendor Options'!$B$2:$B$284=A111)))</x:f>
        <x:v>1</x:v>
      </x:c>
      <x:c r="S111" s="53" t="n">
        <x:f>COUNTIFS('Vendor Options'!$B$2:$B$284,A111,'Vendor Options'!$P$2:$P$284,"PRICED")</x:f>
        <x:v>0</x:v>
      </x:c>
      <x:c r="T111" s="53" t="n">
        <x:f>COUNTIFS('Vendor Options'!$B$2:$B$284,A111,'Vendor Options'!$Q$2:$Q$284,"ACTIVE")</x:f>
        <x:v>0</x:v>
      </x:c>
      <x:c r="U111" s="54" t="str">
        <x:f>IF(S111=0,"",MIN(_xlfn._xlws.FILTER('Vendor Options'!$N$2:$N$284,('Vendor Options'!$B$2:$B$284=A111)*('Vendor Options'!$P$2:$P$284="PRICED"))))</x:f>
      </x:c>
      <x:c r="V111" s="54" t="str">
        <x:f>IF(S111=0,"",MAXIFS('Vendor Options'!$N$2:$N$284,'Vendor Options'!$B$2:$B$284,A111,'Vendor Options'!$P$2:$P$284,"PRICED"))</x:f>
      </x:c>
      <x:c r="W111" s="43" t="str">
        <x:f>IF(P111="REVIEW","REVIEW",IF(T111=0,"REVIEW",IF(S111=0,"NEEDS PRICE","READY")))</x:f>
        <x:v>REVIEW</x:v>
      </x:c>
    </x:row>
    <x:row r="112" ht="15" hidden="0" customHeight="1">
      <x:c r="A112" s="43" t="str">
        <x:v>SPEC-0475607E1A90</x:v>
      </x:c>
      <x:c r="B112" s="43" t="str">
        <x:v>HINGE</x:v>
      </x:c>
      <x:c r="C112" s="43" t="str">
        <x:v>STANDARD WEIGHT BUTT HINGE</x:v>
      </x:c>
      <x:c r="D112" s="43" t="str"/>
      <x:c r="E112" s="43" t="str">
        <x:v>NON-REMOVABLE PIN</x:v>
      </x:c>
      <x:c r="F112" s="43" t="str">
        <x:v>NOT APPLICABLE</x:v>
      </x:c>
      <x:c r="G112" s="43" t="str">
        <x:v>4.5" x 4.5"</x:v>
      </x:c>
      <x:c r="H112" s="43" t="str"/>
      <x:c r="I112" s="43" t="str"/>
      <x:c r="J112" s="43" t="str"/>
      <x:c r="K112" s="43" t="str">
        <x:v>0.134"</x:v>
      </x:c>
      <x:c r="L112" s="43" t="str">
        <x:v>304 STAINLESS STEEL</x:v>
      </x:c>
      <x:c r="M112" s="43" t="str"/>
      <x:c r="N112" s="43" t="str"/>
      <x:c r="O112" s="43" t="str">
        <x:v>NON-REMOVABLE PIN; 3 x 04 GA WIRE</x:v>
      </x:c>
      <x:c r="P112" s="43" t="str">
        <x:v>HIGH</x:v>
      </x:c>
      <x:c r="Q112" s="53" t="n">
        <x:f>COUNTIF('Vendor Options'!$B$2:$B$284,A112)</x:f>
        <x:v>1</x:v>
      </x:c>
      <x:c r="R112" s="53" t="n">
        <x:f>COUNTA(_xlfn.UNIQUE(_xlfn._xlws.FILTER('Vendor Options'!$C$2:$C$284,'Vendor Options'!$B$2:$B$284=A112)))</x:f>
        <x:v>1</x:v>
      </x:c>
      <x:c r="S112" s="53" t="n">
        <x:f>COUNTIFS('Vendor Options'!$B$2:$B$284,A112,'Vendor Options'!$P$2:$P$284,"PRICED")</x:f>
        <x:v>0</x:v>
      </x:c>
      <x:c r="T112" s="53" t="n">
        <x:f>COUNTIFS('Vendor Options'!$B$2:$B$284,A112,'Vendor Options'!$Q$2:$Q$284,"ACTIVE")</x:f>
        <x:v>0</x:v>
      </x:c>
      <x:c r="U112" s="54" t="str">
        <x:f>IF(S112=0,"",MIN(_xlfn._xlws.FILTER('Vendor Options'!$N$2:$N$284,('Vendor Options'!$B$2:$B$284=A112)*('Vendor Options'!$P$2:$P$284="PRICED"))))</x:f>
      </x:c>
      <x:c r="V112" s="54" t="str">
        <x:f>IF(S112=0,"",MAXIFS('Vendor Options'!$N$2:$N$284,'Vendor Options'!$B$2:$B$284,A112,'Vendor Options'!$P$2:$P$284,"PRICED"))</x:f>
      </x:c>
      <x:c r="W112" s="43" t="str">
        <x:f>IF(P112="REVIEW","REVIEW",IF(T112=0,"REVIEW",IF(S112=0,"NEEDS PRICE","READY")))</x:f>
        <x:v>REVIEW</x:v>
      </x:c>
    </x:row>
    <x:row r="113" ht="15" hidden="0" customHeight="1">
      <x:c r="A113" s="43" t="str">
        <x:v>SPEC-286A187D72D2</x:v>
      </x:c>
      <x:c r="B113" s="43" t="str">
        <x:v>LOCK</x:v>
      </x:c>
      <x:c r="C113" s="43" t="str">
        <x:v>CYLINDRICAL LOCK</x:v>
      </x:c>
      <x:c r="D113" s="43" t="str">
        <x:v>CYLINDRICAL</x:v>
      </x:c>
      <x:c r="E113" s="43" t="str">
        <x:v>CLASSROOM</x:v>
      </x:c>
      <x:c r="F113" s="43" t="str">
        <x:v>LFIC</x:v>
      </x:c>
      <x:c r="G113" s="43" t="str"/>
      <x:c r="H113" s="43" t="str"/>
      <x:c r="I113" s="43" t="str"/>
      <x:c r="J113" s="43" t="str"/>
      <x:c r="K113" s="43" t="str"/>
      <x:c r="L113" s="43" t="str"/>
      <x:c r="M113" s="43" t="str">
        <x:v>626</x:v>
      </x:c>
      <x:c r="N113" s="43" t="str"/>
      <x:c r="O113" s="43" t="str"/>
      <x:c r="P113" s="43" t="str">
        <x:v>HIGH</x:v>
      </x:c>
      <x:c r="Q113" s="53" t="n">
        <x:f>COUNTIF('Vendor Options'!$B$2:$B$284,A113)</x:f>
        <x:v>2</x:v>
      </x:c>
      <x:c r="R113" s="53" t="n">
        <x:f>COUNTA(_xlfn.UNIQUE(_xlfn._xlws.FILTER('Vendor Options'!$C$2:$C$284,'Vendor Options'!$B$2:$B$284=A113)))</x:f>
        <x:v>2</x:v>
      </x:c>
      <x:c r="S113" s="53" t="n">
        <x:f>COUNTIFS('Vendor Options'!$B$2:$B$284,A113,'Vendor Options'!$P$2:$P$284,"PRICED")</x:f>
        <x:v>2</x:v>
      </x:c>
      <x:c r="T113" s="53" t="n">
        <x:f>COUNTIFS('Vendor Options'!$B$2:$B$284,A113,'Vendor Options'!$Q$2:$Q$284,"ACTIVE")</x:f>
        <x:v>2</x:v>
      </x:c>
      <x:c r="U113" s="54" t="n">
        <x:f>IF(S113=0,"",MIN(_xlfn._xlws.FILTER('Vendor Options'!$N$2:$N$284,('Vendor Options'!$B$2:$B$284=A113)*('Vendor Options'!$P$2:$P$284="PRICED"))))</x:f>
        <x:v>227.48</x:v>
      </x:c>
      <x:c r="V113" s="54" t="n">
        <x:f>IF(S113=0,"",MAXIFS('Vendor Options'!$N$2:$N$284,'Vendor Options'!$B$2:$B$284,A113,'Vendor Options'!$P$2:$P$284,"PRICED"))</x:f>
        <x:v>833.72</x:v>
      </x:c>
      <x:c r="W113" s="43" t="str">
        <x:f>IF(P113="REVIEW","REVIEW",IF(T113=0,"REVIEW",IF(S113=0,"NEEDS PRICE","READY")))</x:f>
        <x:v>READY</x:v>
      </x:c>
    </x:row>
    <x:row r="114" ht="15" hidden="0" customHeight="1">
      <x:c r="A114" s="43" t="str">
        <x:v>SPEC-5C4DA25D107E</x:v>
      </x:c>
      <x:c r="B114" s="43" t="str">
        <x:v>LOCK</x:v>
      </x:c>
      <x:c r="C114" s="43" t="str">
        <x:v>CYLINDRICAL LOCK</x:v>
      </x:c>
      <x:c r="D114" s="43" t="str">
        <x:v>CYLINDRICAL</x:v>
      </x:c>
      <x:c r="E114" s="43" t="str">
        <x:v>CLASSROOM</x:v>
      </x:c>
      <x:c r="F114" s="43" t="str">
        <x:v>SFIC</x:v>
      </x:c>
      <x:c r="G114" s="43" t="str"/>
      <x:c r="H114" s="43" t="str"/>
      <x:c r="I114" s="43" t="str"/>
      <x:c r="J114" s="43" t="str"/>
      <x:c r="K114" s="43" t="str"/>
      <x:c r="L114" s="43" t="str"/>
      <x:c r="M114" s="43" t="str">
        <x:v>626</x:v>
      </x:c>
      <x:c r="N114" s="43" t="str"/>
      <x:c r="O114" s="43" t="str"/>
      <x:c r="P114" s="43" t="str">
        <x:v>HIGH</x:v>
      </x:c>
      <x:c r="Q114" s="53" t="n">
        <x:f>COUNTIF('Vendor Options'!$B$2:$B$284,A114)</x:f>
        <x:v>8</x:v>
      </x:c>
      <x:c r="R114" s="53" t="n">
        <x:f>COUNTA(_xlfn.UNIQUE(_xlfn._xlws.FILTER('Vendor Options'!$C$2:$C$284,'Vendor Options'!$B$2:$B$284=A114)))</x:f>
        <x:v>4</x:v>
      </x:c>
      <x:c r="S114" s="53" t="n">
        <x:f>COUNTIFS('Vendor Options'!$B$2:$B$284,A114,'Vendor Options'!$P$2:$P$284,"PRICED")</x:f>
        <x:v>6</x:v>
      </x:c>
      <x:c r="T114" s="53" t="n">
        <x:f>COUNTIFS('Vendor Options'!$B$2:$B$284,A114,'Vendor Options'!$Q$2:$Q$284,"ACTIVE")</x:f>
        <x:v>7</x:v>
      </x:c>
      <x:c r="U114" s="54" t="n">
        <x:f>IF(S114=0,"",MIN(_xlfn._xlws.FILTER('Vendor Options'!$N$2:$N$284,('Vendor Options'!$B$2:$B$284=A114)*('Vendor Options'!$P$2:$P$284="PRICED"))))</x:f>
        <x:v>105.32</x:v>
      </x:c>
      <x:c r="V114" s="54" t="n">
        <x:f>IF(S114=0,"",MAXIFS('Vendor Options'!$N$2:$N$284,'Vendor Options'!$B$2:$B$284,A114,'Vendor Options'!$P$2:$P$284,"PRICED"))</x:f>
        <x:v>833.72</x:v>
      </x:c>
      <x:c r="W114" s="43" t="str">
        <x:f>IF(P114="REVIEW","REVIEW",IF(T114=0,"REVIEW",IF(S114=0,"NEEDS PRICE","READY")))</x:f>
        <x:v>READY</x:v>
      </x:c>
    </x:row>
    <x:row r="115" ht="15" hidden="0" customHeight="1">
      <x:c r="A115" s="43" t="str">
        <x:v>SPEC-46A9513103A2</x:v>
      </x:c>
      <x:c r="B115" s="43" t="str">
        <x:v>LOCK</x:v>
      </x:c>
      <x:c r="C115" s="43" t="str">
        <x:v>CYLINDRICAL LOCK</x:v>
      </x:c>
      <x:c r="D115" s="43" t="str">
        <x:v>CYLINDRICAL</x:v>
      </x:c>
      <x:c r="E115" s="43" t="str">
        <x:v>CLASSROOM</x:v>
      </x:c>
      <x:c r="F115" s="43" t="str">
        <x:v>STANDARD</x:v>
      </x:c>
      <x:c r="G115" s="43" t="str"/>
      <x:c r="H115" s="43" t="str"/>
      <x:c r="I115" s="43" t="str"/>
      <x:c r="J115" s="43" t="str"/>
      <x:c r="K115" s="43" t="str"/>
      <x:c r="L115" s="43" t="str"/>
      <x:c r="M115" s="43" t="str">
        <x:v>626</x:v>
      </x:c>
      <x:c r="N115" s="43" t="str"/>
      <x:c r="O115" s="43" t="str"/>
      <x:c r="P115" s="43" t="str">
        <x:v>HIGH</x:v>
      </x:c>
      <x:c r="Q115" s="53" t="n">
        <x:f>COUNTIF('Vendor Options'!$B$2:$B$284,A115)</x:f>
        <x:v>8</x:v>
      </x:c>
      <x:c r="R115" s="53" t="n">
        <x:f>COUNTA(_xlfn.UNIQUE(_xlfn._xlws.FILTER('Vendor Options'!$C$2:$C$284,'Vendor Options'!$B$2:$B$284=A115)))</x:f>
        <x:v>4</x:v>
      </x:c>
      <x:c r="S115" s="53" t="n">
        <x:f>COUNTIFS('Vendor Options'!$B$2:$B$284,A115,'Vendor Options'!$P$2:$P$284,"PRICED")</x:f>
        <x:v>6</x:v>
      </x:c>
      <x:c r="T115" s="53" t="n">
        <x:f>COUNTIFS('Vendor Options'!$B$2:$B$284,A115,'Vendor Options'!$Q$2:$Q$284,"ACTIVE")</x:f>
        <x:v>8</x:v>
      </x:c>
      <x:c r="U115" s="54" t="n">
        <x:f>IF(S115=0,"",MIN(_xlfn._xlws.FILTER('Vendor Options'!$N$2:$N$284,('Vendor Options'!$B$2:$B$284=A115)*('Vendor Options'!$P$2:$P$284="PRICED"))))</x:f>
        <x:v>93.3</x:v>
      </x:c>
      <x:c r="V115" s="54" t="n">
        <x:f>IF(S115=0,"",MAXIFS('Vendor Options'!$N$2:$N$284,'Vendor Options'!$B$2:$B$284,A115,'Vendor Options'!$P$2:$P$284,"PRICED"))</x:f>
        <x:v>932.52</x:v>
      </x:c>
      <x:c r="W115" s="43" t="str">
        <x:f>IF(P115="REVIEW","REVIEW",IF(T115=0,"REVIEW",IF(S115=0,"NEEDS PRICE","READY")))</x:f>
        <x:v>READY</x:v>
      </x:c>
    </x:row>
    <x:row r="116" ht="15" hidden="0" customHeight="1">
      <x:c r="A116" s="43" t="str">
        <x:v>SPEC-55D2279AA3E0</x:v>
      </x:c>
      <x:c r="B116" s="43" t="str">
        <x:v>LOCK</x:v>
      </x:c>
      <x:c r="C116" s="43" t="str">
        <x:v>CYLINDRICAL LOCK</x:v>
      </x:c>
      <x:c r="D116" s="43" t="str">
        <x:v>CYLINDRICAL</x:v>
      </x:c>
      <x:c r="E116" s="43" t="str">
        <x:v>DORMITORY / CORRIDOR</x:v>
      </x:c>
      <x:c r="F116" s="43" t="str">
        <x:v>LFIC</x:v>
      </x:c>
      <x:c r="G116" s="43" t="str"/>
      <x:c r="H116" s="43" t="str"/>
      <x:c r="I116" s="43" t="str"/>
      <x:c r="J116" s="43" t="str"/>
      <x:c r="K116" s="43" t="str"/>
      <x:c r="L116" s="43" t="str"/>
      <x:c r="M116" s="43" t="str">
        <x:v>626</x:v>
      </x:c>
      <x:c r="N116" s="43" t="str"/>
      <x:c r="O116" s="43" t="str"/>
      <x:c r="P116" s="43" t="str">
        <x:v>HIGH</x:v>
      </x:c>
      <x:c r="Q116" s="53" t="n">
        <x:f>COUNTIF('Vendor Options'!$B$2:$B$284,A116)</x:f>
        <x:v>2</x:v>
      </x:c>
      <x:c r="R116" s="53" t="n">
        <x:f>COUNTA(_xlfn.UNIQUE(_xlfn._xlws.FILTER('Vendor Options'!$C$2:$C$284,'Vendor Options'!$B$2:$B$284=A116)))</x:f>
        <x:v>2</x:v>
      </x:c>
      <x:c r="S116" s="53" t="n">
        <x:f>COUNTIFS('Vendor Options'!$B$2:$B$284,A116,'Vendor Options'!$P$2:$P$284,"PRICED")</x:f>
        <x:v>2</x:v>
      </x:c>
      <x:c r="T116" s="53" t="n">
        <x:f>COUNTIFS('Vendor Options'!$B$2:$B$284,A116,'Vendor Options'!$Q$2:$Q$284,"ACTIVE")</x:f>
        <x:v>2</x:v>
      </x:c>
      <x:c r="U116" s="54" t="n">
        <x:f>IF(S116=0,"",MIN(_xlfn._xlws.FILTER('Vendor Options'!$N$2:$N$284,('Vendor Options'!$B$2:$B$284=A116)*('Vendor Options'!$P$2:$P$284="PRICED"))))</x:f>
        <x:v>227.48</x:v>
      </x:c>
      <x:c r="V116" s="54" t="n">
        <x:f>IF(S116=0,"",MAXIFS('Vendor Options'!$N$2:$N$284,'Vendor Options'!$B$2:$B$284,A116,'Vendor Options'!$P$2:$P$284,"PRICED"))</x:f>
        <x:v>833.72</x:v>
      </x:c>
      <x:c r="W116" s="43" t="str">
        <x:f>IF(P116="REVIEW","REVIEW",IF(T116=0,"REVIEW",IF(S116=0,"NEEDS PRICE","READY")))</x:f>
        <x:v>READY</x:v>
      </x:c>
    </x:row>
    <x:row r="117" ht="15" hidden="0" customHeight="1">
      <x:c r="A117" s="43" t="str">
        <x:v>SPEC-478FBADD4B27</x:v>
      </x:c>
      <x:c r="B117" s="43" t="str">
        <x:v>LOCK</x:v>
      </x:c>
      <x:c r="C117" s="43" t="str">
        <x:v>CYLINDRICAL LOCK</x:v>
      </x:c>
      <x:c r="D117" s="43" t="str">
        <x:v>CYLINDRICAL</x:v>
      </x:c>
      <x:c r="E117" s="43" t="str">
        <x:v>DORMITORY / CORRIDOR</x:v>
      </x:c>
      <x:c r="F117" s="43" t="str">
        <x:v>SFIC</x:v>
      </x:c>
      <x:c r="G117" s="43" t="str"/>
      <x:c r="H117" s="43" t="str"/>
      <x:c r="I117" s="43" t="str"/>
      <x:c r="J117" s="43" t="str"/>
      <x:c r="K117" s="43" t="str"/>
      <x:c r="L117" s="43" t="str"/>
      <x:c r="M117" s="43" t="str">
        <x:v>626</x:v>
      </x:c>
      <x:c r="N117" s="43" t="str"/>
      <x:c r="O117" s="43" t="str"/>
      <x:c r="P117" s="43" t="str">
        <x:v>HIGH</x:v>
      </x:c>
      <x:c r="Q117" s="53" t="n">
        <x:f>COUNTIF('Vendor Options'!$B$2:$B$284,A117)</x:f>
        <x:v>6</x:v>
      </x:c>
      <x:c r="R117" s="53" t="n">
        <x:f>COUNTA(_xlfn.UNIQUE(_xlfn._xlws.FILTER('Vendor Options'!$C$2:$C$284,'Vendor Options'!$B$2:$B$284=A117)))</x:f>
        <x:v>4</x:v>
      </x:c>
      <x:c r="S117" s="53" t="n">
        <x:f>COUNTIFS('Vendor Options'!$B$2:$B$284,A117,'Vendor Options'!$P$2:$P$284,"PRICED")</x:f>
        <x:v>5</x:v>
      </x:c>
      <x:c r="T117" s="53" t="n">
        <x:f>COUNTIFS('Vendor Options'!$B$2:$B$284,A117,'Vendor Options'!$Q$2:$Q$284,"ACTIVE")</x:f>
        <x:v>6</x:v>
      </x:c>
      <x:c r="U117" s="54" t="n">
        <x:f>IF(S117=0,"",MIN(_xlfn._xlws.FILTER('Vendor Options'!$N$2:$N$284,('Vendor Options'!$B$2:$B$284=A117)*('Vendor Options'!$P$2:$P$284="PRICED"))))</x:f>
        <x:v>121.93</x:v>
      </x:c>
      <x:c r="V117" s="54" t="n">
        <x:f>IF(S117=0,"",MAXIFS('Vendor Options'!$N$2:$N$284,'Vendor Options'!$B$2:$B$284,A117,'Vendor Options'!$P$2:$P$284,"PRICED"))</x:f>
        <x:v>921</x:v>
      </x:c>
      <x:c r="W117" s="43" t="str">
        <x:f>IF(P117="REVIEW","REVIEW",IF(T117=0,"REVIEW",IF(S117=0,"NEEDS PRICE","READY")))</x:f>
        <x:v>READY</x:v>
      </x:c>
    </x:row>
    <x:row r="118" ht="15" hidden="0" customHeight="1">
      <x:c r="A118" s="43" t="str">
        <x:v>SPEC-FDC7690E5163</x:v>
      </x:c>
      <x:c r="B118" s="43" t="str">
        <x:v>LOCK</x:v>
      </x:c>
      <x:c r="C118" s="43" t="str">
        <x:v>CYLINDRICAL LOCK</x:v>
      </x:c>
      <x:c r="D118" s="43" t="str">
        <x:v>CYLINDRICAL</x:v>
      </x:c>
      <x:c r="E118" s="43" t="str">
        <x:v>DORMITORY / CORRIDOR</x:v>
      </x:c>
      <x:c r="F118" s="43" t="str">
        <x:v>STANDARD</x:v>
      </x:c>
      <x:c r="G118" s="43" t="str"/>
      <x:c r="H118" s="43" t="str"/>
      <x:c r="I118" s="43" t="str"/>
      <x:c r="J118" s="43" t="str"/>
      <x:c r="K118" s="43" t="str"/>
      <x:c r="L118" s="43" t="str"/>
      <x:c r="M118" s="43" t="str">
        <x:v>626</x:v>
      </x:c>
      <x:c r="N118" s="43" t="str"/>
      <x:c r="O118" s="43" t="str"/>
      <x:c r="P118" s="43" t="str">
        <x:v>HIGH</x:v>
      </x:c>
      <x:c r="Q118" s="53" t="n">
        <x:f>COUNTIF('Vendor Options'!$B$2:$B$284,A118)</x:f>
        <x:v>6</x:v>
      </x:c>
      <x:c r="R118" s="53" t="n">
        <x:f>COUNTA(_xlfn.UNIQUE(_xlfn._xlws.FILTER('Vendor Options'!$C$2:$C$284,'Vendor Options'!$B$2:$B$284=A118)))</x:f>
        <x:v>4</x:v>
      </x:c>
      <x:c r="S118" s="53" t="n">
        <x:f>COUNTIFS('Vendor Options'!$B$2:$B$284,A118,'Vendor Options'!$P$2:$P$284,"PRICED")</x:f>
        <x:v>5</x:v>
      </x:c>
      <x:c r="T118" s="53" t="n">
        <x:f>COUNTIFS('Vendor Options'!$B$2:$B$284,A118,'Vendor Options'!$Q$2:$Q$284,"ACTIVE")</x:f>
        <x:v>6</x:v>
      </x:c>
      <x:c r="U118" s="54" t="n">
        <x:f>IF(S118=0,"",MIN(_xlfn._xlws.FILTER('Vendor Options'!$N$2:$N$284,('Vendor Options'!$B$2:$B$284=A118)*('Vendor Options'!$P$2:$P$284="PRICED"))))</x:f>
        <x:v>111.5</x:v>
      </x:c>
      <x:c r="V118" s="54" t="n">
        <x:f>IF(S118=0,"",MAXIFS('Vendor Options'!$N$2:$N$284,'Vendor Options'!$B$2:$B$284,A118,'Vendor Options'!$P$2:$P$284,"PRICED"))</x:f>
        <x:v>932.52</x:v>
      </x:c>
      <x:c r="W118" s="43" t="str">
        <x:f>IF(P118="REVIEW","REVIEW",IF(T118=0,"REVIEW",IF(S118=0,"NEEDS PRICE","READY")))</x:f>
        <x:v>READY</x:v>
      </x:c>
    </x:row>
    <x:row r="119" ht="15" hidden="0" customHeight="1">
      <x:c r="A119" s="43" t="str">
        <x:v>SPEC-95A42CF7F9AC</x:v>
      </x:c>
      <x:c r="B119" s="43" t="str">
        <x:v>LOCK</x:v>
      </x:c>
      <x:c r="C119" s="43" t="str">
        <x:v>CYLINDRICAL LOCK</x:v>
      </x:c>
      <x:c r="D119" s="43" t="str">
        <x:v>CYLINDRICAL</x:v>
      </x:c>
      <x:c r="E119" s="43" t="str">
        <x:v>ENTRY</x:v>
      </x:c>
      <x:c r="F119" s="43" t="str">
        <x:v>LFIC</x:v>
      </x:c>
      <x:c r="G119" s="43" t="str"/>
      <x:c r="H119" s="43" t="str"/>
      <x:c r="I119" s="43" t="str"/>
      <x:c r="J119" s="43" t="str"/>
      <x:c r="K119" s="43" t="str"/>
      <x:c r="L119" s="43" t="str"/>
      <x:c r="M119" s="43" t="str">
        <x:v>626</x:v>
      </x:c>
      <x:c r="N119" s="43" t="str">
        <x:v>FAIL SECURE</x:v>
      </x:c>
      <x:c r="O119" s="43" t="str"/>
      <x:c r="P119" s="43" t="str">
        <x:v>HIGH</x:v>
      </x:c>
      <x:c r="Q119" s="53" t="n">
        <x:f>COUNTIF('Vendor Options'!$B$2:$B$284,A119)</x:f>
        <x:v>1</x:v>
      </x:c>
      <x:c r="R119" s="53" t="n">
        <x:f>COUNTA(_xlfn.UNIQUE(_xlfn._xlws.FILTER('Vendor Options'!$C$2:$C$284,'Vendor Options'!$B$2:$B$284=A119)))</x:f>
        <x:v>1</x:v>
      </x:c>
      <x:c r="S119" s="53" t="n">
        <x:f>COUNTIFS('Vendor Options'!$B$2:$B$284,A119,'Vendor Options'!$P$2:$P$284,"PRICED")</x:f>
        <x:v>1</x:v>
      </x:c>
      <x:c r="T119" s="53" t="n">
        <x:f>COUNTIFS('Vendor Options'!$B$2:$B$284,A119,'Vendor Options'!$Q$2:$Q$284,"ACTIVE")</x:f>
        <x:v>1</x:v>
      </x:c>
      <x:c r="U119" s="54" t="n">
        <x:f>IF(S119=0,"",MIN(_xlfn._xlws.FILTER('Vendor Options'!$N$2:$N$284,('Vendor Options'!$B$2:$B$284=A119)*('Vendor Options'!$P$2:$P$284="PRICED"))))</x:f>
        <x:v>394.99</x:v>
      </x:c>
      <x:c r="V119" s="54" t="n">
        <x:f>IF(S119=0,"",MAXIFS('Vendor Options'!$N$2:$N$284,'Vendor Options'!$B$2:$B$284,A119,'Vendor Options'!$P$2:$P$284,"PRICED"))</x:f>
        <x:v>394.99</x:v>
      </x:c>
      <x:c r="W119" s="43" t="str">
        <x:f>IF(P119="REVIEW","REVIEW",IF(T119=0,"REVIEW",IF(S119=0,"NEEDS PRICE","READY")))</x:f>
        <x:v>READY</x:v>
      </x:c>
    </x:row>
    <x:row r="120" ht="15" hidden="0" customHeight="1">
      <x:c r="A120" s="43" t="str">
        <x:v>SPEC-E99F2405E5BB</x:v>
      </x:c>
      <x:c r="B120" s="43" t="str">
        <x:v>LOCK</x:v>
      </x:c>
      <x:c r="C120" s="43" t="str">
        <x:v>CYLINDRICAL LOCK</x:v>
      </x:c>
      <x:c r="D120" s="43" t="str">
        <x:v>CYLINDRICAL</x:v>
      </x:c>
      <x:c r="E120" s="43" t="str">
        <x:v>ENTRY</x:v>
      </x:c>
      <x:c r="F120" s="43" t="str">
        <x:v>LFIC</x:v>
      </x:c>
      <x:c r="G120" s="43" t="str"/>
      <x:c r="H120" s="43" t="str"/>
      <x:c r="I120" s="43" t="str"/>
      <x:c r="J120" s="43" t="str"/>
      <x:c r="K120" s="43" t="str"/>
      <x:c r="L120" s="43" t="str"/>
      <x:c r="M120" s="43" t="str">
        <x:v>626</x:v>
      </x:c>
      <x:c r="N120" s="43" t="str"/>
      <x:c r="O120" s="43" t="str"/>
      <x:c r="P120" s="43" t="str">
        <x:v>HIGH</x:v>
      </x:c>
      <x:c r="Q120" s="53" t="n">
        <x:f>COUNTIF('Vendor Options'!$B$2:$B$284,A120)</x:f>
        <x:v>2</x:v>
      </x:c>
      <x:c r="R120" s="53" t="n">
        <x:f>COUNTA(_xlfn.UNIQUE(_xlfn._xlws.FILTER('Vendor Options'!$C$2:$C$284,'Vendor Options'!$B$2:$B$284=A120)))</x:f>
        <x:v>2</x:v>
      </x:c>
      <x:c r="S120" s="53" t="n">
        <x:f>COUNTIFS('Vendor Options'!$B$2:$B$284,A120,'Vendor Options'!$P$2:$P$284,"PRICED")</x:f>
        <x:v>2</x:v>
      </x:c>
      <x:c r="T120" s="53" t="n">
        <x:f>COUNTIFS('Vendor Options'!$B$2:$B$284,A120,'Vendor Options'!$Q$2:$Q$284,"ACTIVE")</x:f>
        <x:v>2</x:v>
      </x:c>
      <x:c r="U120" s="54" t="n">
        <x:f>IF(S120=0,"",MIN(_xlfn._xlws.FILTER('Vendor Options'!$N$2:$N$284,('Vendor Options'!$B$2:$B$284=A120)*('Vendor Options'!$P$2:$P$284="PRICED"))))</x:f>
        <x:v>210.89</x:v>
      </x:c>
      <x:c r="V120" s="54" t="n">
        <x:f>IF(S120=0,"",MAXIFS('Vendor Options'!$N$2:$N$284,'Vendor Options'!$B$2:$B$284,A120,'Vendor Options'!$P$2:$P$284,"PRICED"))</x:f>
        <x:v>833.72</x:v>
      </x:c>
      <x:c r="W120" s="43" t="str">
        <x:f>IF(P120="REVIEW","REVIEW",IF(T120=0,"REVIEW",IF(S120=0,"NEEDS PRICE","READY")))</x:f>
        <x:v>READY</x:v>
      </x:c>
    </x:row>
    <x:row r="121" ht="15" hidden="0" customHeight="1">
      <x:c r="A121" s="43" t="str">
        <x:v>SPEC-1B29D52847DA</x:v>
      </x:c>
      <x:c r="B121" s="43" t="str">
        <x:v>LOCK</x:v>
      </x:c>
      <x:c r="C121" s="43" t="str">
        <x:v>CYLINDRICAL LOCK</x:v>
      </x:c>
      <x:c r="D121" s="43" t="str">
        <x:v>CYLINDRICAL</x:v>
      </x:c>
      <x:c r="E121" s="43" t="str">
        <x:v>ENTRY</x:v>
      </x:c>
      <x:c r="F121" s="43" t="str">
        <x:v>SFIC</x:v>
      </x:c>
      <x:c r="G121" s="43" t="str"/>
      <x:c r="H121" s="43" t="str"/>
      <x:c r="I121" s="43" t="str"/>
      <x:c r="J121" s="43" t="str"/>
      <x:c r="K121" s="43" t="str"/>
      <x:c r="L121" s="43" t="str"/>
      <x:c r="M121" s="43" t="str">
        <x:v>626</x:v>
      </x:c>
      <x:c r="N121" s="43" t="str"/>
      <x:c r="O121" s="43" t="str"/>
      <x:c r="P121" s="43" t="str">
        <x:v>HIGH</x:v>
      </x:c>
      <x:c r="Q121" s="53" t="n">
        <x:f>COUNTIF('Vendor Options'!$B$2:$B$284,A121)</x:f>
        <x:v>8</x:v>
      </x:c>
      <x:c r="R121" s="53" t="n">
        <x:f>COUNTA(_xlfn.UNIQUE(_xlfn._xlws.FILTER('Vendor Options'!$C$2:$C$284,'Vendor Options'!$B$2:$B$284=A121)))</x:f>
        <x:v>4</x:v>
      </x:c>
      <x:c r="S121" s="53" t="n">
        <x:f>COUNTIFS('Vendor Options'!$B$2:$B$284,A121,'Vendor Options'!$P$2:$P$284,"PRICED")</x:f>
        <x:v>6</x:v>
      </x:c>
      <x:c r="T121" s="53" t="n">
        <x:f>COUNTIFS('Vendor Options'!$B$2:$B$284,A121,'Vendor Options'!$Q$2:$Q$284,"ACTIVE")</x:f>
        <x:v>7</x:v>
      </x:c>
      <x:c r="U121" s="54" t="n">
        <x:f>IF(S121=0,"",MIN(_xlfn._xlws.FILTER('Vendor Options'!$N$2:$N$284,('Vendor Options'!$B$2:$B$284=A121)*('Vendor Options'!$P$2:$P$284="PRICED"))))</x:f>
        <x:v>100.76</x:v>
      </x:c>
      <x:c r="V121" s="54" t="n">
        <x:f>IF(S121=0,"",MAXIFS('Vendor Options'!$N$2:$N$284,'Vendor Options'!$B$2:$B$284,A121,'Vendor Options'!$P$2:$P$284,"PRICED"))</x:f>
        <x:v>833.72</x:v>
      </x:c>
      <x:c r="W121" s="43" t="str">
        <x:f>IF(P121="REVIEW","REVIEW",IF(T121=0,"REVIEW",IF(S121=0,"NEEDS PRICE","READY")))</x:f>
        <x:v>READY</x:v>
      </x:c>
    </x:row>
    <x:row r="122" ht="15" hidden="0" customHeight="1">
      <x:c r="A122" s="43" t="str">
        <x:v>SPEC-20084902F758</x:v>
      </x:c>
      <x:c r="B122" s="43" t="str">
        <x:v>LOCK</x:v>
      </x:c>
      <x:c r="C122" s="43" t="str">
        <x:v>CYLINDRICAL LOCK</x:v>
      </x:c>
      <x:c r="D122" s="43" t="str">
        <x:v>CYLINDRICAL</x:v>
      </x:c>
      <x:c r="E122" s="43" t="str">
        <x:v>ENTRY</x:v>
      </x:c>
      <x:c r="F122" s="43" t="str">
        <x:v>SFIC</x:v>
      </x:c>
      <x:c r="G122" s="43" t="str"/>
      <x:c r="H122" s="43" t="str"/>
      <x:c r="I122" s="43" t="str"/>
      <x:c r="J122" s="43" t="str"/>
      <x:c r="K122" s="43" t="str"/>
      <x:c r="L122" s="43" t="str"/>
      <x:c r="M122" s="43" t="str">
        <x:v>626</x:v>
      </x:c>
      <x:c r="N122" s="43" t="str">
        <x:v>FAIL SECURE</x:v>
      </x:c>
      <x:c r="O122" s="43" t="str"/>
      <x:c r="P122" s="43" t="str">
        <x:v>HIGH</x:v>
      </x:c>
      <x:c r="Q122" s="53" t="n">
        <x:f>COUNTIF('Vendor Options'!$B$2:$B$284,A122)</x:f>
        <x:v>1</x:v>
      </x:c>
      <x:c r="R122" s="53" t="n">
        <x:f>COUNTA(_xlfn.UNIQUE(_xlfn._xlws.FILTER('Vendor Options'!$C$2:$C$284,'Vendor Options'!$B$2:$B$284=A122)))</x:f>
        <x:v>1</x:v>
      </x:c>
      <x:c r="S122" s="53" t="n">
        <x:f>COUNTIFS('Vendor Options'!$B$2:$B$284,A122,'Vendor Options'!$P$2:$P$284,"PRICED")</x:f>
        <x:v>1</x:v>
      </x:c>
      <x:c r="T122" s="53" t="n">
        <x:f>COUNTIFS('Vendor Options'!$B$2:$B$284,A122,'Vendor Options'!$Q$2:$Q$284,"ACTIVE")</x:f>
        <x:v>1</x:v>
      </x:c>
      <x:c r="U122" s="54" t="n">
        <x:f>IF(S122=0,"",MIN(_xlfn._xlws.FILTER('Vendor Options'!$N$2:$N$284,('Vendor Options'!$B$2:$B$284=A122)*('Vendor Options'!$P$2:$P$284="PRICED"))))</x:f>
        <x:v>359.08</x:v>
      </x:c>
      <x:c r="V122" s="54" t="n">
        <x:f>IF(S122=0,"",MAXIFS('Vendor Options'!$N$2:$N$284,'Vendor Options'!$B$2:$B$284,A122,'Vendor Options'!$P$2:$P$284,"PRICED"))</x:f>
        <x:v>359.08</x:v>
      </x:c>
      <x:c r="W122" s="43" t="str">
        <x:f>IF(P122="REVIEW","REVIEW",IF(T122=0,"REVIEW",IF(S122=0,"NEEDS PRICE","READY")))</x:f>
        <x:v>READY</x:v>
      </x:c>
    </x:row>
    <x:row r="123" ht="15" hidden="0" customHeight="1">
      <x:c r="A123" s="43" t="str">
        <x:v>SPEC-298651EAB3F0</x:v>
      </x:c>
      <x:c r="B123" s="43" t="str">
        <x:v>LOCK</x:v>
      </x:c>
      <x:c r="C123" s="43" t="str">
        <x:v>CYLINDRICAL LOCK</x:v>
      </x:c>
      <x:c r="D123" s="43" t="str">
        <x:v>CYLINDRICAL</x:v>
      </x:c>
      <x:c r="E123" s="43" t="str">
        <x:v>ENTRY</x:v>
      </x:c>
      <x:c r="F123" s="43" t="str">
        <x:v>STANDARD</x:v>
      </x:c>
      <x:c r="G123" s="43" t="str"/>
      <x:c r="H123" s="43" t="str"/>
      <x:c r="I123" s="43" t="str"/>
      <x:c r="J123" s="43" t="str"/>
      <x:c r="K123" s="43" t="str"/>
      <x:c r="L123" s="43" t="str"/>
      <x:c r="M123" s="43" t="str">
        <x:v>626</x:v>
      </x:c>
      <x:c r="N123" s="43" t="str"/>
      <x:c r="O123" s="43" t="str"/>
      <x:c r="P123" s="43" t="str">
        <x:v>HIGH</x:v>
      </x:c>
      <x:c r="Q123" s="53" t="n">
        <x:f>COUNTIF('Vendor Options'!$B$2:$B$284,A123)</x:f>
        <x:v>8</x:v>
      </x:c>
      <x:c r="R123" s="53" t="n">
        <x:f>COUNTA(_xlfn.UNIQUE(_xlfn._xlws.FILTER('Vendor Options'!$C$2:$C$284,'Vendor Options'!$B$2:$B$284=A123)))</x:f>
        <x:v>4</x:v>
      </x:c>
      <x:c r="S123" s="53" t="n">
        <x:f>COUNTIFS('Vendor Options'!$B$2:$B$284,A123,'Vendor Options'!$P$2:$P$284,"PRICED")</x:f>
        <x:v>6</x:v>
      </x:c>
      <x:c r="T123" s="53" t="n">
        <x:f>COUNTIFS('Vendor Options'!$B$2:$B$284,A123,'Vendor Options'!$Q$2:$Q$284,"ACTIVE")</x:f>
        <x:v>7</x:v>
      </x:c>
      <x:c r="U123" s="54" t="n">
        <x:f>IF(S123=0,"",MIN(_xlfn._xlws.FILTER('Vendor Options'!$N$2:$N$284,('Vendor Options'!$B$2:$B$284=A123)*('Vendor Options'!$P$2:$P$284="PRICED"))))</x:f>
        <x:v>89.27</x:v>
      </x:c>
      <x:c r="V123" s="54" t="n">
        <x:f>IF(S123=0,"",MAXIFS('Vendor Options'!$N$2:$N$284,'Vendor Options'!$B$2:$B$284,A123,'Vendor Options'!$P$2:$P$284,"PRICED"))</x:f>
        <x:v>932.52</x:v>
      </x:c>
      <x:c r="W123" s="43" t="str">
        <x:f>IF(P123="REVIEW","REVIEW",IF(T123=0,"REVIEW",IF(S123=0,"NEEDS PRICE","READY")))</x:f>
        <x:v>READY</x:v>
      </x:c>
    </x:row>
    <x:row r="124" ht="15" hidden="0" customHeight="1">
      <x:c r="A124" s="43" t="str">
        <x:v>SPEC-4F3533C4A796</x:v>
      </x:c>
      <x:c r="B124" s="43" t="str">
        <x:v>LOCK</x:v>
      </x:c>
      <x:c r="C124" s="43" t="str">
        <x:v>CYLINDRICAL LOCK</x:v>
      </x:c>
      <x:c r="D124" s="43" t="str">
        <x:v>CYLINDRICAL</x:v>
      </x:c>
      <x:c r="E124" s="43" t="str">
        <x:v>ENTRY</x:v>
      </x:c>
      <x:c r="F124" s="43" t="str">
        <x:v>STANDARD</x:v>
      </x:c>
      <x:c r="G124" s="43" t="str"/>
      <x:c r="H124" s="43" t="str"/>
      <x:c r="I124" s="43" t="str"/>
      <x:c r="J124" s="43" t="str"/>
      <x:c r="K124" s="43" t="str"/>
      <x:c r="L124" s="43" t="str"/>
      <x:c r="M124" s="43" t="str">
        <x:v>626</x:v>
      </x:c>
      <x:c r="N124" s="43" t="str">
        <x:v>FAIL SAFE</x:v>
      </x:c>
      <x:c r="O124" s="43" t="str"/>
      <x:c r="P124" s="43" t="str">
        <x:v>HIGH</x:v>
      </x:c>
      <x:c r="Q124" s="53" t="n">
        <x:f>COUNTIF('Vendor Options'!$B$2:$B$284,A124)</x:f>
        <x:v>1</x:v>
      </x:c>
      <x:c r="R124" s="53" t="n">
        <x:f>COUNTA(_xlfn.UNIQUE(_xlfn._xlws.FILTER('Vendor Options'!$C$2:$C$284,'Vendor Options'!$B$2:$B$284=A124)))</x:f>
        <x:v>1</x:v>
      </x:c>
      <x:c r="S124" s="53" t="n">
        <x:f>COUNTIFS('Vendor Options'!$B$2:$B$284,A124,'Vendor Options'!$P$2:$P$284,"PRICED")</x:f>
        <x:v>1</x:v>
      </x:c>
      <x:c r="T124" s="53" t="n">
        <x:f>COUNTIFS('Vendor Options'!$B$2:$B$284,A124,'Vendor Options'!$Q$2:$Q$284,"ACTIVE")</x:f>
        <x:v>0</x:v>
      </x:c>
      <x:c r="U124" s="54" t="n">
        <x:f>IF(S124=0,"",MIN(_xlfn._xlws.FILTER('Vendor Options'!$N$2:$N$284,('Vendor Options'!$B$2:$B$284=A124)*('Vendor Options'!$P$2:$P$284="PRICED"))))</x:f>
        <x:v>116.88</x:v>
      </x:c>
      <x:c r="V124" s="54" t="n">
        <x:f>IF(S124=0,"",MAXIFS('Vendor Options'!$N$2:$N$284,'Vendor Options'!$B$2:$B$284,A124,'Vendor Options'!$P$2:$P$284,"PRICED"))</x:f>
        <x:v>116.88</x:v>
      </x:c>
      <x:c r="W124" s="43" t="str">
        <x:f>IF(P124="REVIEW","REVIEW",IF(T124=0,"REVIEW",IF(S124=0,"NEEDS PRICE","READY")))</x:f>
        <x:v>REVIEW</x:v>
      </x:c>
    </x:row>
    <x:row r="125" ht="15" hidden="0" customHeight="1">
      <x:c r="A125" s="43" t="str">
        <x:v>SPEC-5446FAC943AB</x:v>
      </x:c>
      <x:c r="B125" s="43" t="str">
        <x:v>LOCK</x:v>
      </x:c>
      <x:c r="C125" s="43" t="str">
        <x:v>CYLINDRICAL LOCK</x:v>
      </x:c>
      <x:c r="D125" s="43" t="str">
        <x:v>CYLINDRICAL</x:v>
      </x:c>
      <x:c r="E125" s="43" t="str">
        <x:v>ENTRY</x:v>
      </x:c>
      <x:c r="F125" s="43" t="str">
        <x:v>STANDARD</x:v>
      </x:c>
      <x:c r="G125" s="43" t="str"/>
      <x:c r="H125" s="43" t="str"/>
      <x:c r="I125" s="43" t="str"/>
      <x:c r="J125" s="43" t="str"/>
      <x:c r="K125" s="43" t="str"/>
      <x:c r="L125" s="43" t="str"/>
      <x:c r="M125" s="43" t="str">
        <x:v>626</x:v>
      </x:c>
      <x:c r="N125" s="43" t="str">
        <x:v>FAIL SECURE</x:v>
      </x:c>
      <x:c r="O125" s="43" t="str"/>
      <x:c r="P125" s="43" t="str">
        <x:v>HIGH</x:v>
      </x:c>
      <x:c r="Q125" s="53" t="n">
        <x:f>COUNTIF('Vendor Options'!$B$2:$B$284,A125)</x:f>
        <x:v>2</x:v>
      </x:c>
      <x:c r="R125" s="53" t="n">
        <x:f>COUNTA(_xlfn.UNIQUE(_xlfn._xlws.FILTER('Vendor Options'!$C$2:$C$284,'Vendor Options'!$B$2:$B$284=A125)))</x:f>
        <x:v>2</x:v>
      </x:c>
      <x:c r="S125" s="53" t="n">
        <x:f>COUNTIFS('Vendor Options'!$B$2:$B$284,A125,'Vendor Options'!$P$2:$P$284,"PRICED")</x:f>
        <x:v>2</x:v>
      </x:c>
      <x:c r="T125" s="53" t="n">
        <x:f>COUNTIFS('Vendor Options'!$B$2:$B$284,A125,'Vendor Options'!$Q$2:$Q$284,"ACTIVE")</x:f>
        <x:v>1</x:v>
      </x:c>
      <x:c r="U125" s="54" t="n">
        <x:f>IF(S125=0,"",MIN(_xlfn._xlws.FILTER('Vendor Options'!$N$2:$N$284,('Vendor Options'!$B$2:$B$284=A125)*('Vendor Options'!$P$2:$P$284="PRICED"))))</x:f>
        <x:v>106.88</x:v>
      </x:c>
      <x:c r="V125" s="54" t="n">
        <x:f>IF(S125=0,"",MAXIFS('Vendor Options'!$N$2:$N$284,'Vendor Options'!$B$2:$B$284,A125,'Vendor Options'!$P$2:$P$284,"PRICED"))</x:f>
        <x:v>359.08</x:v>
      </x:c>
      <x:c r="W125" s="43" t="str">
        <x:f>IF(P125="REVIEW","REVIEW",IF(T125=0,"REVIEW",IF(S125=0,"NEEDS PRICE","READY")))</x:f>
        <x:v>READY</x:v>
      </x:c>
    </x:row>
    <x:row r="126" ht="15" hidden="0" customHeight="1">
      <x:c r="A126" s="43" t="str">
        <x:v>SPEC-3B800FDF68F4</x:v>
      </x:c>
      <x:c r="B126" s="43" t="str">
        <x:v>LOCK</x:v>
      </x:c>
      <x:c r="C126" s="43" t="str">
        <x:v>CYLINDRICAL LOCK</x:v>
      </x:c>
      <x:c r="D126" s="43" t="str">
        <x:v>CYLINDRICAL</x:v>
      </x:c>
      <x:c r="E126" s="43" t="str">
        <x:v>STOREROOM</x:v>
      </x:c>
      <x:c r="F126" s="43" t="str">
        <x:v>LFIC</x:v>
      </x:c>
      <x:c r="G126" s="43" t="str"/>
      <x:c r="H126" s="43" t="str"/>
      <x:c r="I126" s="43" t="str"/>
      <x:c r="J126" s="43" t="str"/>
      <x:c r="K126" s="43" t="str"/>
      <x:c r="L126" s="43" t="str"/>
      <x:c r="M126" s="43" t="str">
        <x:v>626</x:v>
      </x:c>
      <x:c r="N126" s="43" t="str"/>
      <x:c r="O126" s="43" t="str"/>
      <x:c r="P126" s="43" t="str">
        <x:v>HIGH</x:v>
      </x:c>
      <x:c r="Q126" s="53" t="n">
        <x:f>COUNTIF('Vendor Options'!$B$2:$B$284,A126)</x:f>
        <x:v>2</x:v>
      </x:c>
      <x:c r="R126" s="53" t="n">
        <x:f>COUNTA(_xlfn.UNIQUE(_xlfn._xlws.FILTER('Vendor Options'!$C$2:$C$284,'Vendor Options'!$B$2:$B$284=A126)))</x:f>
        <x:v>2</x:v>
      </x:c>
      <x:c r="S126" s="53" t="n">
        <x:f>COUNTIFS('Vendor Options'!$B$2:$B$284,A126,'Vendor Options'!$P$2:$P$284,"PRICED")</x:f>
        <x:v>2</x:v>
      </x:c>
      <x:c r="T126" s="53" t="n">
        <x:f>COUNTIFS('Vendor Options'!$B$2:$B$284,A126,'Vendor Options'!$Q$2:$Q$284,"ACTIVE")</x:f>
        <x:v>2</x:v>
      </x:c>
      <x:c r="U126" s="54" t="n">
        <x:f>IF(S126=0,"",MIN(_xlfn._xlws.FILTER('Vendor Options'!$N$2:$N$284,('Vendor Options'!$B$2:$B$284=A126)*('Vendor Options'!$P$2:$P$284="PRICED"))))</x:f>
        <x:v>210.89</x:v>
      </x:c>
      <x:c r="V126" s="54" t="n">
        <x:f>IF(S126=0,"",MAXIFS('Vendor Options'!$N$2:$N$284,'Vendor Options'!$B$2:$B$284,A126,'Vendor Options'!$P$2:$P$284,"PRICED"))</x:f>
        <x:v>833.72</x:v>
      </x:c>
      <x:c r="W126" s="43" t="str">
        <x:f>IF(P126="REVIEW","REVIEW",IF(T126=0,"REVIEW",IF(S126=0,"NEEDS PRICE","READY")))</x:f>
        <x:v>READY</x:v>
      </x:c>
    </x:row>
    <x:row r="127" ht="15" hidden="0" customHeight="1">
      <x:c r="A127" s="43" t="str">
        <x:v>SPEC-3AA63A49680F</x:v>
      </x:c>
      <x:c r="B127" s="43" t="str">
        <x:v>LOCK</x:v>
      </x:c>
      <x:c r="C127" s="43" t="str">
        <x:v>CYLINDRICAL LOCK</x:v>
      </x:c>
      <x:c r="D127" s="43" t="str">
        <x:v>CYLINDRICAL</x:v>
      </x:c>
      <x:c r="E127" s="43" t="str">
        <x:v>STOREROOM</x:v>
      </x:c>
      <x:c r="F127" s="43" t="str">
        <x:v>SFIC</x:v>
      </x:c>
      <x:c r="G127" s="43" t="str"/>
      <x:c r="H127" s="43" t="str"/>
      <x:c r="I127" s="43" t="str"/>
      <x:c r="J127" s="43" t="str"/>
      <x:c r="K127" s="43" t="str"/>
      <x:c r="L127" s="43" t="str"/>
      <x:c r="M127" s="43" t="str">
        <x:v>626</x:v>
      </x:c>
      <x:c r="N127" s="43" t="str"/>
      <x:c r="O127" s="43" t="str"/>
      <x:c r="P127" s="43" t="str">
        <x:v>HIGH</x:v>
      </x:c>
      <x:c r="Q127" s="53" t="n">
        <x:f>COUNTIF('Vendor Options'!$B$2:$B$284,A127)</x:f>
        <x:v>8</x:v>
      </x:c>
      <x:c r="R127" s="53" t="n">
        <x:f>COUNTA(_xlfn.UNIQUE(_xlfn._xlws.FILTER('Vendor Options'!$C$2:$C$284,'Vendor Options'!$B$2:$B$284=A127)))</x:f>
        <x:v>4</x:v>
      </x:c>
      <x:c r="S127" s="53" t="n">
        <x:f>COUNTIFS('Vendor Options'!$B$2:$B$284,A127,'Vendor Options'!$P$2:$P$284,"PRICED")</x:f>
        <x:v>6</x:v>
      </x:c>
      <x:c r="T127" s="53" t="n">
        <x:f>COUNTIFS('Vendor Options'!$B$2:$B$284,A127,'Vendor Options'!$Q$2:$Q$284,"ACTIVE")</x:f>
        <x:v>8</x:v>
      </x:c>
      <x:c r="U127" s="54" t="n">
        <x:f>IF(S127=0,"",MIN(_xlfn._xlws.FILTER('Vendor Options'!$N$2:$N$284,('Vendor Options'!$B$2:$B$284=A127)*('Vendor Options'!$P$2:$P$284="PRICED"))))</x:f>
        <x:v>100.76</x:v>
      </x:c>
      <x:c r="V127" s="54" t="n">
        <x:f>IF(S127=0,"",MAXIFS('Vendor Options'!$N$2:$N$284,'Vendor Options'!$B$2:$B$284,A127,'Vendor Options'!$P$2:$P$284,"PRICED"))</x:f>
        <x:v>893</x:v>
      </x:c>
      <x:c r="W127" s="43" t="str">
        <x:f>IF(P127="REVIEW","REVIEW",IF(T127=0,"REVIEW",IF(S127=0,"NEEDS PRICE","READY")))</x:f>
        <x:v>READY</x:v>
      </x:c>
    </x:row>
    <x:row r="128" ht="15" hidden="0" customHeight="1">
      <x:c r="A128" s="43" t="str">
        <x:v>SPEC-882618A3F0C9</x:v>
      </x:c>
      <x:c r="B128" s="43" t="str">
        <x:v>LOCK</x:v>
      </x:c>
      <x:c r="C128" s="43" t="str">
        <x:v>CYLINDRICAL LOCK</x:v>
      </x:c>
      <x:c r="D128" s="43" t="str">
        <x:v>CYLINDRICAL</x:v>
      </x:c>
      <x:c r="E128" s="43" t="str">
        <x:v>STOREROOM</x:v>
      </x:c>
      <x:c r="F128" s="43" t="str">
        <x:v>STANDARD</x:v>
      </x:c>
      <x:c r="G128" s="43" t="str"/>
      <x:c r="H128" s="43" t="str"/>
      <x:c r="I128" s="43" t="str"/>
      <x:c r="J128" s="43" t="str"/>
      <x:c r="K128" s="43" t="str"/>
      <x:c r="L128" s="43" t="str"/>
      <x:c r="M128" s="43" t="str">
        <x:v>626</x:v>
      </x:c>
      <x:c r="N128" s="43" t="str"/>
      <x:c r="O128" s="43" t="str"/>
      <x:c r="P128" s="43" t="str">
        <x:v>HIGH</x:v>
      </x:c>
      <x:c r="Q128" s="53" t="n">
        <x:f>COUNTIF('Vendor Options'!$B$2:$B$284,A128)</x:f>
        <x:v>8</x:v>
      </x:c>
      <x:c r="R128" s="53" t="n">
        <x:f>COUNTA(_xlfn.UNIQUE(_xlfn._xlws.FILTER('Vendor Options'!$C$2:$C$284,'Vendor Options'!$B$2:$B$284=A128)))</x:f>
        <x:v>4</x:v>
      </x:c>
      <x:c r="S128" s="53" t="n">
        <x:f>COUNTIFS('Vendor Options'!$B$2:$B$284,A128,'Vendor Options'!$P$2:$P$284,"PRICED")</x:f>
        <x:v>6</x:v>
      </x:c>
      <x:c r="T128" s="53" t="n">
        <x:f>COUNTIFS('Vendor Options'!$B$2:$B$284,A128,'Vendor Options'!$Q$2:$Q$284,"ACTIVE")</x:f>
        <x:v>8</x:v>
      </x:c>
      <x:c r="U128" s="54" t="n">
        <x:f>IF(S128=0,"",MIN(_xlfn._xlws.FILTER('Vendor Options'!$N$2:$N$284,('Vendor Options'!$B$2:$B$284=A128)*('Vendor Options'!$P$2:$P$284="PRICED"))))</x:f>
        <x:v>89.27</x:v>
      </x:c>
      <x:c r="V128" s="54" t="n">
        <x:f>IF(S128=0,"",MAXIFS('Vendor Options'!$N$2:$N$284,'Vendor Options'!$B$2:$B$284,A128,'Vendor Options'!$P$2:$P$284,"PRICED"))</x:f>
        <x:v>932.52</x:v>
      </x:c>
      <x:c r="W128" s="43" t="str">
        <x:f>IF(P128="REVIEW","REVIEW",IF(T128=0,"REVIEW",IF(S128=0,"NEEDS PRICE","READY")))</x:f>
        <x:v>READY</x:v>
      </x:c>
    </x:row>
    <x:row r="129" ht="15" hidden="0" customHeight="1">
      <x:c r="A129" s="43" t="str">
        <x:v>SPEC-E1BC0AC27D6E</x:v>
      </x:c>
      <x:c r="B129" s="43" t="str">
        <x:v>LOCK</x:v>
      </x:c>
      <x:c r="C129" s="43" t="str">
        <x:v>MORTISE LOCK</x:v>
      </x:c>
      <x:c r="D129" s="43" t="str">
        <x:v>MORTISE</x:v>
      </x:c>
      <x:c r="E129" s="43" t="str"/>
      <x:c r="F129" s="43" t="str">
        <x:v>STANDARD</x:v>
      </x:c>
      <x:c r="G129" s="43" t="str"/>
      <x:c r="H129" s="43" t="str"/>
      <x:c r="I129" s="43" t="str"/>
      <x:c r="J129" s="43" t="str"/>
      <x:c r="K129" s="43" t="str"/>
      <x:c r="L129" s="43" t="str"/>
      <x:c r="M129" s="43" t="str">
        <x:v>626</x:v>
      </x:c>
      <x:c r="N129" s="43" t="str"/>
      <x:c r="O129" s="43" t="str"/>
      <x:c r="P129" s="43" t="str">
        <x:v>MEDIUM</x:v>
      </x:c>
      <x:c r="Q129" s="53" t="n">
        <x:f>COUNTIF('Vendor Options'!$B$2:$B$284,A129)</x:f>
        <x:v>1</x:v>
      </x:c>
      <x:c r="R129" s="53" t="n">
        <x:f>COUNTA(_xlfn.UNIQUE(_xlfn._xlws.FILTER('Vendor Options'!$C$2:$C$284,'Vendor Options'!$B$2:$B$284=A129)))</x:f>
        <x:v>1</x:v>
      </x:c>
      <x:c r="S129" s="53" t="n">
        <x:f>COUNTIFS('Vendor Options'!$B$2:$B$284,A129,'Vendor Options'!$P$2:$P$284,"PRICED")</x:f>
        <x:v>0</x:v>
      </x:c>
      <x:c r="T129" s="53" t="n">
        <x:f>COUNTIFS('Vendor Options'!$B$2:$B$284,A129,'Vendor Options'!$Q$2:$Q$284,"ACTIVE")</x:f>
        <x:v>0</x:v>
      </x:c>
      <x:c r="U129" s="54" t="str">
        <x:f>IF(S129=0,"",MIN(_xlfn._xlws.FILTER('Vendor Options'!$N$2:$N$284,('Vendor Options'!$B$2:$B$284=A129)*('Vendor Options'!$P$2:$P$284="PRICED"))))</x:f>
      </x:c>
      <x:c r="V129" s="54" t="str">
        <x:f>IF(S129=0,"",MAXIFS('Vendor Options'!$N$2:$N$284,'Vendor Options'!$B$2:$B$284,A129,'Vendor Options'!$P$2:$P$284,"PRICED"))</x:f>
      </x:c>
      <x:c r="W129" s="43" t="str">
        <x:f>IF(P129="REVIEW","REVIEW",IF(T129=0,"REVIEW",IF(S129=0,"NEEDS PRICE","READY")))</x:f>
        <x:v>REVIEW</x:v>
      </x:c>
    </x:row>
    <x:row r="130" ht="15" hidden="0" customHeight="1">
      <x:c r="A130" s="43" t="str">
        <x:v>SPEC-4729E3036CB9</x:v>
      </x:c>
      <x:c r="B130" s="43" t="str">
        <x:v>LOCK</x:v>
      </x:c>
      <x:c r="C130" s="43" t="str">
        <x:v>MORTISE LOCK</x:v>
      </x:c>
      <x:c r="D130" s="43" t="str">
        <x:v>MORTISE</x:v>
      </x:c>
      <x:c r="E130" s="43" t="str"/>
      <x:c r="F130" s="43" t="str">
        <x:v>STANDARD</x:v>
      </x:c>
      <x:c r="G130" s="43" t="str"/>
      <x:c r="H130" s="43" t="str"/>
      <x:c r="I130" s="43" t="str"/>
      <x:c r="J130" s="43" t="str"/>
      <x:c r="K130" s="43" t="str"/>
      <x:c r="L130" s="43" t="str"/>
      <x:c r="M130" s="43" t="str">
        <x:v>630</x:v>
      </x:c>
      <x:c r="N130" s="43" t="str"/>
      <x:c r="O130" s="43" t="str"/>
      <x:c r="P130" s="43" t="str">
        <x:v>MEDIUM</x:v>
      </x:c>
      <x:c r="Q130" s="53" t="n">
        <x:f>COUNTIF('Vendor Options'!$B$2:$B$284,A130)</x:f>
        <x:v>1</x:v>
      </x:c>
      <x:c r="R130" s="53" t="n">
        <x:f>COUNTA(_xlfn.UNIQUE(_xlfn._xlws.FILTER('Vendor Options'!$C$2:$C$284,'Vendor Options'!$B$2:$B$284=A130)))</x:f>
        <x:v>1</x:v>
      </x:c>
      <x:c r="S130" s="53" t="n">
        <x:f>COUNTIFS('Vendor Options'!$B$2:$B$284,A130,'Vendor Options'!$P$2:$P$284,"PRICED")</x:f>
        <x:v>0</x:v>
      </x:c>
      <x:c r="T130" s="53" t="n">
        <x:f>COUNTIFS('Vendor Options'!$B$2:$B$284,A130,'Vendor Options'!$Q$2:$Q$284,"ACTIVE")</x:f>
        <x:v>0</x:v>
      </x:c>
      <x:c r="U130" s="54" t="str">
        <x:f>IF(S130=0,"",MIN(_xlfn._xlws.FILTER('Vendor Options'!$N$2:$N$284,('Vendor Options'!$B$2:$B$284=A130)*('Vendor Options'!$P$2:$P$284="PRICED"))))</x:f>
      </x:c>
      <x:c r="V130" s="54" t="str">
        <x:f>IF(S130=0,"",MAXIFS('Vendor Options'!$N$2:$N$284,'Vendor Options'!$B$2:$B$284,A130,'Vendor Options'!$P$2:$P$284,"PRICED"))</x:f>
      </x:c>
      <x:c r="W130" s="43" t="str">
        <x:f>IF(P130="REVIEW","REVIEW",IF(T130=0,"REVIEW",IF(S130=0,"NEEDS PRICE","READY")))</x:f>
        <x:v>REVIEW</x:v>
      </x:c>
    </x:row>
    <x:row r="131" ht="15" hidden="0" customHeight="1">
      <x:c r="A131" s="43" t="str">
        <x:v>SPEC-71EA9B147D8B</x:v>
      </x:c>
      <x:c r="B131" s="43" t="str">
        <x:v>LOCK</x:v>
      </x:c>
      <x:c r="C131" s="43" t="str">
        <x:v>MORTISE LOCK</x:v>
      </x:c>
      <x:c r="D131" s="43" t="str">
        <x:v>MORTISE</x:v>
      </x:c>
      <x:c r="E131" s="43" t="str">
        <x:v>CLASSROOM</x:v>
      </x:c>
      <x:c r="F131" s="43" t="str">
        <x:v>STANDARD</x:v>
      </x:c>
      <x:c r="G131" s="43" t="str"/>
      <x:c r="H131" s="43" t="str"/>
      <x:c r="I131" s="43" t="str"/>
      <x:c r="J131" s="43" t="str"/>
      <x:c r="K131" s="43" t="str"/>
      <x:c r="L131" s="43" t="str"/>
      <x:c r="M131" s="43" t="str">
        <x:v>626</x:v>
      </x:c>
      <x:c r="N131" s="43" t="str"/>
      <x:c r="O131" s="43" t="str"/>
      <x:c r="P131" s="43" t="str">
        <x:v>HIGH</x:v>
      </x:c>
      <x:c r="Q131" s="53" t="n">
        <x:f>COUNTIF('Vendor Options'!$B$2:$B$284,A131)</x:f>
        <x:v>1</x:v>
      </x:c>
      <x:c r="R131" s="53" t="n">
        <x:f>COUNTA(_xlfn.UNIQUE(_xlfn._xlws.FILTER('Vendor Options'!$C$2:$C$284,'Vendor Options'!$B$2:$B$284=A131)))</x:f>
        <x:v>1</x:v>
      </x:c>
      <x:c r="S131" s="53" t="n">
        <x:f>COUNTIFS('Vendor Options'!$B$2:$B$284,A131,'Vendor Options'!$P$2:$P$284,"PRICED")</x:f>
        <x:v>0</x:v>
      </x:c>
      <x:c r="T131" s="53" t="n">
        <x:f>COUNTIFS('Vendor Options'!$B$2:$B$284,A131,'Vendor Options'!$Q$2:$Q$284,"ACTIVE")</x:f>
        <x:v>1</x:v>
      </x:c>
      <x:c r="U131" s="54" t="str">
        <x:f>IF(S131=0,"",MIN(_xlfn._xlws.FILTER('Vendor Options'!$N$2:$N$284,('Vendor Options'!$B$2:$B$284=A131)*('Vendor Options'!$P$2:$P$284="PRICED"))))</x:f>
      </x:c>
      <x:c r="V131" s="54" t="str">
        <x:f>IF(S131=0,"",MAXIFS('Vendor Options'!$N$2:$N$284,'Vendor Options'!$B$2:$B$284,A131,'Vendor Options'!$P$2:$P$284,"PRICED"))</x:f>
      </x:c>
      <x:c r="W131" s="43" t="str">
        <x:f>IF(P131="REVIEW","REVIEW",IF(T131=0,"REVIEW",IF(S131=0,"NEEDS PRICE","READY")))</x:f>
        <x:v>NEEDS PRICE</x:v>
      </x:c>
    </x:row>
    <x:row r="132" ht="15" hidden="0" customHeight="1">
      <x:c r="A132" s="43" t="str">
        <x:v>SPEC-AA2D21F78E1A</x:v>
      </x:c>
      <x:c r="B132" s="43" t="str">
        <x:v>LOCK</x:v>
      </x:c>
      <x:c r="C132" s="43" t="str">
        <x:v>MORTISE LOCK</x:v>
      </x:c>
      <x:c r="D132" s="43" t="str">
        <x:v>MORTISE</x:v>
      </x:c>
      <x:c r="E132" s="43" t="str">
        <x:v>DORMITORY / CORRIDOR</x:v>
      </x:c>
      <x:c r="F132" s="43" t="str">
        <x:v>STANDARD</x:v>
      </x:c>
      <x:c r="G132" s="43" t="str"/>
      <x:c r="H132" s="43" t="str"/>
      <x:c r="I132" s="43" t="str"/>
      <x:c r="J132" s="43" t="str"/>
      <x:c r="K132" s="43" t="str"/>
      <x:c r="L132" s="43" t="str"/>
      <x:c r="M132" s="43" t="str">
        <x:v>626</x:v>
      </x:c>
      <x:c r="N132" s="43" t="str"/>
      <x:c r="O132" s="43" t="str"/>
      <x:c r="P132" s="43" t="str">
        <x:v>HIGH</x:v>
      </x:c>
      <x:c r="Q132" s="53" t="n">
        <x:f>COUNTIF('Vendor Options'!$B$2:$B$284,A132)</x:f>
        <x:v>1</x:v>
      </x:c>
      <x:c r="R132" s="53" t="n">
        <x:f>COUNTA(_xlfn.UNIQUE(_xlfn._xlws.FILTER('Vendor Options'!$C$2:$C$284,'Vendor Options'!$B$2:$B$284=A132)))</x:f>
        <x:v>1</x:v>
      </x:c>
      <x:c r="S132" s="53" t="n">
        <x:f>COUNTIFS('Vendor Options'!$B$2:$B$284,A132,'Vendor Options'!$P$2:$P$284,"PRICED")</x:f>
        <x:v>0</x:v>
      </x:c>
      <x:c r="T132" s="53" t="n">
        <x:f>COUNTIFS('Vendor Options'!$B$2:$B$284,A132,'Vendor Options'!$Q$2:$Q$284,"ACTIVE")</x:f>
        <x:v>1</x:v>
      </x:c>
      <x:c r="U132" s="54" t="str">
        <x:f>IF(S132=0,"",MIN(_xlfn._xlws.FILTER('Vendor Options'!$N$2:$N$284,('Vendor Options'!$B$2:$B$284=A132)*('Vendor Options'!$P$2:$P$284="PRICED"))))</x:f>
      </x:c>
      <x:c r="V132" s="54" t="str">
        <x:f>IF(S132=0,"",MAXIFS('Vendor Options'!$N$2:$N$284,'Vendor Options'!$B$2:$B$284,A132,'Vendor Options'!$P$2:$P$284,"PRICED"))</x:f>
      </x:c>
      <x:c r="W132" s="43" t="str">
        <x:f>IF(P132="REVIEW","REVIEW",IF(T132=0,"REVIEW",IF(S132=0,"NEEDS PRICE","READY")))</x:f>
        <x:v>NEEDS PRICE</x:v>
      </x:c>
    </x:row>
    <x:row r="133" ht="15" hidden="0" customHeight="1">
      <x:c r="A133" s="43" t="str">
        <x:v>SPEC-E66729F39E6C</x:v>
      </x:c>
      <x:c r="B133" s="43" t="str">
        <x:v>LOCK</x:v>
      </x:c>
      <x:c r="C133" s="43" t="str">
        <x:v>MORTISE LOCK</x:v>
      </x:c>
      <x:c r="D133" s="43" t="str">
        <x:v>MORTISE</x:v>
      </x:c>
      <x:c r="E133" s="43" t="str">
        <x:v>DORMITORY / CORRIDOR</x:v>
      </x:c>
      <x:c r="F133" s="43" t="str">
        <x:v>STANDARD</x:v>
      </x:c>
      <x:c r="G133" s="43" t="str"/>
      <x:c r="H133" s="43" t="str"/>
      <x:c r="I133" s="43" t="str"/>
      <x:c r="J133" s="43" t="str"/>
      <x:c r="K133" s="43" t="str"/>
      <x:c r="L133" s="43" t="str"/>
      <x:c r="M133" s="43" t="str">
        <x:v>630</x:v>
      </x:c>
      <x:c r="N133" s="43" t="str"/>
      <x:c r="O133" s="43" t="str"/>
      <x:c r="P133" s="43" t="str">
        <x:v>HIGH</x:v>
      </x:c>
      <x:c r="Q133" s="53" t="n">
        <x:f>COUNTIF('Vendor Options'!$B$2:$B$284,A133)</x:f>
        <x:v>1</x:v>
      </x:c>
      <x:c r="R133" s="53" t="n">
        <x:f>COUNTA(_xlfn.UNIQUE(_xlfn._xlws.FILTER('Vendor Options'!$C$2:$C$284,'Vendor Options'!$B$2:$B$284=A133)))</x:f>
        <x:v>1</x:v>
      </x:c>
      <x:c r="S133" s="53" t="n">
        <x:f>COUNTIFS('Vendor Options'!$B$2:$B$284,A133,'Vendor Options'!$P$2:$P$284,"PRICED")</x:f>
        <x:v>0</x:v>
      </x:c>
      <x:c r="T133" s="53" t="n">
        <x:f>COUNTIFS('Vendor Options'!$B$2:$B$284,A133,'Vendor Options'!$Q$2:$Q$284,"ACTIVE")</x:f>
        <x:v>0</x:v>
      </x:c>
      <x:c r="U133" s="54" t="str">
        <x:f>IF(S133=0,"",MIN(_xlfn._xlws.FILTER('Vendor Options'!$N$2:$N$284,('Vendor Options'!$B$2:$B$284=A133)*('Vendor Options'!$P$2:$P$284="PRICED"))))</x:f>
      </x:c>
      <x:c r="V133" s="54" t="str">
        <x:f>IF(S133=0,"",MAXIFS('Vendor Options'!$N$2:$N$284,'Vendor Options'!$B$2:$B$284,A133,'Vendor Options'!$P$2:$P$284,"PRICED"))</x:f>
      </x:c>
      <x:c r="W133" s="43" t="str">
        <x:f>IF(P133="REVIEW","REVIEW",IF(T133=0,"REVIEW",IF(S133=0,"NEEDS PRICE","READY")))</x:f>
        <x:v>REVIEW</x:v>
      </x:c>
    </x:row>
    <x:row r="134" ht="15" hidden="0" customHeight="1">
      <x:c r="A134" s="43" t="str">
        <x:v>SPEC-E036640F0FCE</x:v>
      </x:c>
      <x:c r="B134" s="43" t="str">
        <x:v>LOCK</x:v>
      </x:c>
      <x:c r="C134" s="43" t="str">
        <x:v>MORTISE LOCK</x:v>
      </x:c>
      <x:c r="D134" s="43" t="str">
        <x:v>MORTISE</x:v>
      </x:c>
      <x:c r="E134" s="43" t="str">
        <x:v>ENTRY</x:v>
      </x:c>
      <x:c r="F134" s="43" t="str">
        <x:v>STANDARD</x:v>
      </x:c>
      <x:c r="G134" s="43" t="str"/>
      <x:c r="H134" s="43" t="str"/>
      <x:c r="I134" s="43" t="str"/>
      <x:c r="J134" s="43" t="str"/>
      <x:c r="K134" s="43" t="str"/>
      <x:c r="L134" s="43" t="str"/>
      <x:c r="M134" s="43" t="str">
        <x:v>630</x:v>
      </x:c>
      <x:c r="N134" s="43" t="str"/>
      <x:c r="O134" s="43" t="str"/>
      <x:c r="P134" s="43" t="str">
        <x:v>HIGH</x:v>
      </x:c>
      <x:c r="Q134" s="53" t="n">
        <x:f>COUNTIF('Vendor Options'!$B$2:$B$284,A134)</x:f>
        <x:v>1</x:v>
      </x:c>
      <x:c r="R134" s="53" t="n">
        <x:f>COUNTA(_xlfn.UNIQUE(_xlfn._xlws.FILTER('Vendor Options'!$C$2:$C$284,'Vendor Options'!$B$2:$B$284=A134)))</x:f>
        <x:v>1</x:v>
      </x:c>
      <x:c r="S134" s="53" t="n">
        <x:f>COUNTIFS('Vendor Options'!$B$2:$B$284,A134,'Vendor Options'!$P$2:$P$284,"PRICED")</x:f>
        <x:v>0</x:v>
      </x:c>
      <x:c r="T134" s="53" t="n">
        <x:f>COUNTIFS('Vendor Options'!$B$2:$B$284,A134,'Vendor Options'!$Q$2:$Q$284,"ACTIVE")</x:f>
        <x:v>0</x:v>
      </x:c>
      <x:c r="U134" s="54" t="str">
        <x:f>IF(S134=0,"",MIN(_xlfn._xlws.FILTER('Vendor Options'!$N$2:$N$284,('Vendor Options'!$B$2:$B$284=A134)*('Vendor Options'!$P$2:$P$284="PRICED"))))</x:f>
      </x:c>
      <x:c r="V134" s="54" t="str">
        <x:f>IF(S134=0,"",MAXIFS('Vendor Options'!$N$2:$N$284,'Vendor Options'!$B$2:$B$284,A134,'Vendor Options'!$P$2:$P$284,"PRICED"))</x:f>
      </x:c>
      <x:c r="W134" s="43" t="str">
        <x:f>IF(P134="REVIEW","REVIEW",IF(T134=0,"REVIEW",IF(S134=0,"NEEDS PRICE","READY")))</x:f>
        <x:v>REVIEW</x:v>
      </x:c>
    </x:row>
    <x:row r="135" ht="15" hidden="0" customHeight="1">
      <x:c r="A135" s="43" t="str">
        <x:v>SPEC-01558E77D141</x:v>
      </x:c>
      <x:c r="B135" s="43" t="str">
        <x:v>LOCK</x:v>
      </x:c>
      <x:c r="C135" s="43" t="str">
        <x:v>MORTISE LOCK</x:v>
      </x:c>
      <x:c r="D135" s="43" t="str">
        <x:v>MORTISE</x:v>
      </x:c>
      <x:c r="E135" s="43" t="str">
        <x:v>STOREROOM</x:v>
      </x:c>
      <x:c r="F135" s="43" t="str">
        <x:v>STANDARD</x:v>
      </x:c>
      <x:c r="G135" s="43" t="str"/>
      <x:c r="H135" s="43" t="str"/>
      <x:c r="I135" s="43" t="str"/>
      <x:c r="J135" s="43" t="str"/>
      <x:c r="K135" s="43" t="str"/>
      <x:c r="L135" s="43" t="str"/>
      <x:c r="M135" s="43" t="str">
        <x:v>626</x:v>
      </x:c>
      <x:c r="N135" s="43" t="str"/>
      <x:c r="O135" s="43" t="str"/>
      <x:c r="P135" s="43" t="str">
        <x:v>HIGH</x:v>
      </x:c>
      <x:c r="Q135" s="53" t="n">
        <x:f>COUNTIF('Vendor Options'!$B$2:$B$284,A135)</x:f>
        <x:v>2</x:v>
      </x:c>
      <x:c r="R135" s="53" t="n">
        <x:f>COUNTA(_xlfn.UNIQUE(_xlfn._xlws.FILTER('Vendor Options'!$C$2:$C$284,'Vendor Options'!$B$2:$B$284=A135)))</x:f>
        <x:v>1</x:v>
      </x:c>
      <x:c r="S135" s="53" t="n">
        <x:f>COUNTIFS('Vendor Options'!$B$2:$B$284,A135,'Vendor Options'!$P$2:$P$284,"PRICED")</x:f>
        <x:v>0</x:v>
      </x:c>
      <x:c r="T135" s="53" t="n">
        <x:f>COUNTIFS('Vendor Options'!$B$2:$B$284,A135,'Vendor Options'!$Q$2:$Q$284,"ACTIVE")</x:f>
        <x:v>2</x:v>
      </x:c>
      <x:c r="U135" s="54" t="str">
        <x:f>IF(S135=0,"",MIN(_xlfn._xlws.FILTER('Vendor Options'!$N$2:$N$284,('Vendor Options'!$B$2:$B$284=A135)*('Vendor Options'!$P$2:$P$284="PRICED"))))</x:f>
      </x:c>
      <x:c r="V135" s="54" t="str">
        <x:f>IF(S135=0,"",MAXIFS('Vendor Options'!$N$2:$N$284,'Vendor Options'!$B$2:$B$284,A135,'Vendor Options'!$P$2:$P$284,"PRICED"))</x:f>
      </x:c>
      <x:c r="W135" s="43" t="str">
        <x:f>IF(P135="REVIEW","REVIEW",IF(T135=0,"REVIEW",IF(S135=0,"NEEDS PRICE","READY")))</x:f>
        <x:v>NEEDS PRICE</x:v>
      </x:c>
    </x:row>
    <x:row r="136" ht="15" hidden="0" customHeight="1">
      <x:c r="A136" s="43" t="str">
        <x:v>SPEC-15FDCC55AD13</x:v>
      </x:c>
      <x:c r="B136" s="43" t="str">
        <x:v>LOCK</x:v>
      </x:c>
      <x:c r="C136" s="43" t="str">
        <x:v>MORTISE LOCK</x:v>
      </x:c>
      <x:c r="D136" s="43" t="str">
        <x:v>MORTISE</x:v>
      </x:c>
      <x:c r="E136" s="43" t="str">
        <x:v>STOREROOM</x:v>
      </x:c>
      <x:c r="F136" s="43" t="str">
        <x:v>STANDARD</x:v>
      </x:c>
      <x:c r="G136" s="43" t="str"/>
      <x:c r="H136" s="43" t="str"/>
      <x:c r="I136" s="43" t="str"/>
      <x:c r="J136" s="43" t="str"/>
      <x:c r="K136" s="43" t="str"/>
      <x:c r="L136" s="43" t="str"/>
      <x:c r="M136" s="43" t="str">
        <x:v>630</x:v>
      </x:c>
      <x:c r="N136" s="43" t="str"/>
      <x:c r="O136" s="43" t="str"/>
      <x:c r="P136" s="43" t="str">
        <x:v>HIGH</x:v>
      </x:c>
      <x:c r="Q136" s="53" t="n">
        <x:f>COUNTIF('Vendor Options'!$B$2:$B$284,A136)</x:f>
        <x:v>1</x:v>
      </x:c>
      <x:c r="R136" s="53" t="n">
        <x:f>COUNTA(_xlfn.UNIQUE(_xlfn._xlws.FILTER('Vendor Options'!$C$2:$C$284,'Vendor Options'!$B$2:$B$284=A136)))</x:f>
        <x:v>1</x:v>
      </x:c>
      <x:c r="S136" s="53" t="n">
        <x:f>COUNTIFS('Vendor Options'!$B$2:$B$284,A136,'Vendor Options'!$P$2:$P$284,"PRICED")</x:f>
        <x:v>0</x:v>
      </x:c>
      <x:c r="T136" s="53" t="n">
        <x:f>COUNTIFS('Vendor Options'!$B$2:$B$284,A136,'Vendor Options'!$Q$2:$Q$284,"ACTIVE")</x:f>
        <x:v>1</x:v>
      </x:c>
      <x:c r="U136" s="54" t="str">
        <x:f>IF(S136=0,"",MIN(_xlfn._xlws.FILTER('Vendor Options'!$N$2:$N$284,('Vendor Options'!$B$2:$B$284=A136)*('Vendor Options'!$P$2:$P$284="PRICED"))))</x:f>
      </x:c>
      <x:c r="V136" s="54" t="str">
        <x:f>IF(S136=0,"",MAXIFS('Vendor Options'!$N$2:$N$284,'Vendor Options'!$B$2:$B$284,A136,'Vendor Options'!$P$2:$P$284,"PRICED"))</x:f>
      </x:c>
      <x:c r="W136" s="43" t="str">
        <x:f>IF(P136="REVIEW","REVIEW",IF(T136=0,"REVIEW",IF(S136=0,"NEEDS PRICE","READY")))</x:f>
        <x:v>NEEDS PRICE</x:v>
      </x:c>
    </x:row>
    <x:row r="137" ht="15" hidden="0" customHeight="1">
      <x:c r="A137" s="43" t="str">
        <x:v>SPEC-DCF3F116451F</x:v>
      </x:c>
      <x:c r="B137" s="43" t="str">
        <x:v>PANIC TRIM</x:v>
      </x:c>
      <x:c r="C137" s="43" t="str">
        <x:v>ESCUTCHEON TRIM</x:v>
      </x:c>
      <x:c r="D137" s="43" t="str">
        <x:v>MORTISE</x:v>
      </x:c>
      <x:c r="E137" s="43" t="str">
        <x:v>ENTRY</x:v>
      </x:c>
      <x:c r="F137" s="43" t="str">
        <x:v>LFIC</x:v>
      </x:c>
      <x:c r="G137" s="43" t="str"/>
      <x:c r="H137" s="43" t="str"/>
      <x:c r="I137" s="43" t="str"/>
      <x:c r="J137" s="43" t="str"/>
      <x:c r="K137" s="43" t="str"/>
      <x:c r="L137" s="43" t="str"/>
      <x:c r="M137" s="43" t="str"/>
      <x:c r="N137" s="43" t="str"/>
      <x:c r="O137" s="43" t="str"/>
      <x:c r="P137" s="43" t="str">
        <x:v>MEDIUM</x:v>
      </x:c>
      <x:c r="Q137" s="53" t="n">
        <x:f>COUNTIF('Vendor Options'!$B$2:$B$284,A137)</x:f>
        <x:v>1</x:v>
      </x:c>
      <x:c r="R137" s="53" t="n">
        <x:f>COUNTA(_xlfn.UNIQUE(_xlfn._xlws.FILTER('Vendor Options'!$C$2:$C$284,'Vendor Options'!$B$2:$B$284=A137)))</x:f>
        <x:v>1</x:v>
      </x:c>
      <x:c r="S137" s="53" t="n">
        <x:f>COUNTIFS('Vendor Options'!$B$2:$B$284,A137,'Vendor Options'!$P$2:$P$284,"PRICED")</x:f>
        <x:v>1</x:v>
      </x:c>
      <x:c r="T137" s="53" t="n">
        <x:f>COUNTIFS('Vendor Options'!$B$2:$B$284,A137,'Vendor Options'!$Q$2:$Q$284,"ACTIVE")</x:f>
        <x:v>1</x:v>
      </x:c>
      <x:c r="U137" s="54" t="n">
        <x:f>IF(S137=0,"",MIN(_xlfn._xlws.FILTER('Vendor Options'!$N$2:$N$284,('Vendor Options'!$B$2:$B$284=A137)*('Vendor Options'!$P$2:$P$284="PRICED"))))</x:f>
        <x:v>274.07</x:v>
      </x:c>
      <x:c r="V137" s="54" t="n">
        <x:f>IF(S137=0,"",MAXIFS('Vendor Options'!$N$2:$N$284,'Vendor Options'!$B$2:$B$284,A137,'Vendor Options'!$P$2:$P$284,"PRICED"))</x:f>
        <x:v>274.07</x:v>
      </x:c>
      <x:c r="W137" s="43" t="str">
        <x:f>IF(P137="REVIEW","REVIEW",IF(T137=0,"REVIEW",IF(S137=0,"NEEDS PRICE","READY")))</x:f>
        <x:v>READY</x:v>
      </x:c>
    </x:row>
    <x:row r="138" ht="15" hidden="0" customHeight="1">
      <x:c r="A138" s="43" t="str">
        <x:v>SPEC-A6EFC30CD655</x:v>
      </x:c>
      <x:c r="B138" s="43" t="str">
        <x:v>PANIC TRIM</x:v>
      </x:c>
      <x:c r="C138" s="43" t="str">
        <x:v>ESCUTCHEON TRIM</x:v>
      </x:c>
      <x:c r="D138" s="43" t="str">
        <x:v>MORTISE</x:v>
      </x:c>
      <x:c r="E138" s="43" t="str">
        <x:v>ENTRY</x:v>
      </x:c>
      <x:c r="F138" s="43" t="str">
        <x:v>SFIC</x:v>
      </x:c>
      <x:c r="G138" s="43" t="str"/>
      <x:c r="H138" s="43" t="str"/>
      <x:c r="I138" s="43" t="str"/>
      <x:c r="J138" s="43" t="str"/>
      <x:c r="K138" s="43" t="str"/>
      <x:c r="L138" s="43" t="str"/>
      <x:c r="M138" s="43" t="str"/>
      <x:c r="N138" s="43" t="str"/>
      <x:c r="O138" s="43" t="str"/>
      <x:c r="P138" s="43" t="str">
        <x:v>MEDIUM</x:v>
      </x:c>
      <x:c r="Q138" s="53" t="n">
        <x:f>COUNTIF('Vendor Options'!$B$2:$B$284,A138)</x:f>
        <x:v>1</x:v>
      </x:c>
      <x:c r="R138" s="53" t="n">
        <x:f>COUNTA(_xlfn.UNIQUE(_xlfn._xlws.FILTER('Vendor Options'!$C$2:$C$284,'Vendor Options'!$B$2:$B$284=A138)))</x:f>
        <x:v>1</x:v>
      </x:c>
      <x:c r="S138" s="53" t="n">
        <x:f>COUNTIFS('Vendor Options'!$B$2:$B$284,A138,'Vendor Options'!$P$2:$P$284,"PRICED")</x:f>
        <x:v>1</x:v>
      </x:c>
      <x:c r="T138" s="53" t="n">
        <x:f>COUNTIFS('Vendor Options'!$B$2:$B$284,A138,'Vendor Options'!$Q$2:$Q$284,"ACTIVE")</x:f>
        <x:v>1</x:v>
      </x:c>
      <x:c r="U138" s="54" t="n">
        <x:f>IF(S138=0,"",MIN(_xlfn._xlws.FILTER('Vendor Options'!$N$2:$N$284,('Vendor Options'!$B$2:$B$284=A138)*('Vendor Options'!$P$2:$P$284="PRICED"))))</x:f>
        <x:v>274.7</x:v>
      </x:c>
      <x:c r="V138" s="54" t="n">
        <x:f>IF(S138=0,"",MAXIFS('Vendor Options'!$N$2:$N$284,'Vendor Options'!$B$2:$B$284,A138,'Vendor Options'!$P$2:$P$284,"PRICED"))</x:f>
        <x:v>274.7</x:v>
      </x:c>
      <x:c r="W138" s="43" t="str">
        <x:f>IF(P138="REVIEW","REVIEW",IF(T138=0,"REVIEW",IF(S138=0,"NEEDS PRICE","READY")))</x:f>
        <x:v>READY</x:v>
      </x:c>
    </x:row>
    <x:row r="139" ht="15" hidden="0" customHeight="1">
      <x:c r="A139" s="43" t="str">
        <x:v>SPEC-99F287537EEF</x:v>
      </x:c>
      <x:c r="B139" s="43" t="str">
        <x:v>PANIC TRIM</x:v>
      </x:c>
      <x:c r="C139" s="43" t="str">
        <x:v>ESCUTCHEON TRIM</x:v>
      </x:c>
      <x:c r="D139" s="43" t="str">
        <x:v>MORTISE</x:v>
      </x:c>
      <x:c r="E139" s="43" t="str">
        <x:v>ENTRY</x:v>
      </x:c>
      <x:c r="F139" s="43" t="str">
        <x:v>STANDARD</x:v>
      </x:c>
      <x:c r="G139" s="43" t="str"/>
      <x:c r="H139" s="43" t="str"/>
      <x:c r="I139" s="43" t="str"/>
      <x:c r="J139" s="43" t="str"/>
      <x:c r="K139" s="43" t="str"/>
      <x:c r="L139" s="43" t="str"/>
      <x:c r="M139" s="43" t="str"/>
      <x:c r="N139" s="43" t="str"/>
      <x:c r="O139" s="43" t="str"/>
      <x:c r="P139" s="43" t="str">
        <x:v>MEDIUM</x:v>
      </x:c>
      <x:c r="Q139" s="53" t="n">
        <x:f>COUNTIF('Vendor Options'!$B$2:$B$284,A139)</x:f>
        <x:v>1</x:v>
      </x:c>
      <x:c r="R139" s="53" t="n">
        <x:f>COUNTA(_xlfn.UNIQUE(_xlfn._xlws.FILTER('Vendor Options'!$C$2:$C$284,'Vendor Options'!$B$2:$B$284=A139)))</x:f>
        <x:v>1</x:v>
      </x:c>
      <x:c r="S139" s="53" t="n">
        <x:f>COUNTIFS('Vendor Options'!$B$2:$B$284,A139,'Vendor Options'!$P$2:$P$284,"PRICED")</x:f>
        <x:v>1</x:v>
      </x:c>
      <x:c r="T139" s="53" t="n">
        <x:f>COUNTIFS('Vendor Options'!$B$2:$B$284,A139,'Vendor Options'!$Q$2:$Q$284,"ACTIVE")</x:f>
        <x:v>1</x:v>
      </x:c>
      <x:c r="U139" s="54" t="n">
        <x:f>IF(S139=0,"",MIN(_xlfn._xlws.FILTER('Vendor Options'!$N$2:$N$284,('Vendor Options'!$B$2:$B$284=A139)*('Vendor Options'!$P$2:$P$284="PRICED"))))</x:f>
        <x:v>236.97</x:v>
      </x:c>
      <x:c r="V139" s="54" t="n">
        <x:f>IF(S139=0,"",MAXIFS('Vendor Options'!$N$2:$N$284,'Vendor Options'!$B$2:$B$284,A139,'Vendor Options'!$P$2:$P$284,"PRICED"))</x:f>
        <x:v>236.97</x:v>
      </x:c>
      <x:c r="W139" s="43" t="str">
        <x:f>IF(P139="REVIEW","REVIEW",IF(T139=0,"REVIEW",IF(S139=0,"NEEDS PRICE","READY")))</x:f>
        <x:v>READY</x:v>
      </x:c>
    </x:row>
    <x:row r="140" ht="15" hidden="0" customHeight="1">
      <x:c r="A140" s="43" t="str">
        <x:v>SPEC-AC12875358E2</x:v>
      </x:c>
      <x:c r="B140" s="43" t="str">
        <x:v>PANIC TRIM</x:v>
      </x:c>
      <x:c r="C140" s="43" t="str">
        <x:v>ESCUTCHEON TRIM</x:v>
      </x:c>
      <x:c r="D140" s="43" t="str">
        <x:v>MORTISE</x:v>
      </x:c>
      <x:c r="E140" s="43" t="str">
        <x:v>STOREROOM</x:v>
      </x:c>
      <x:c r="F140" s="43" t="str">
        <x:v>LFIC</x:v>
      </x:c>
      <x:c r="G140" s="43" t="str"/>
      <x:c r="H140" s="43" t="str"/>
      <x:c r="I140" s="43" t="str"/>
      <x:c r="J140" s="43" t="str"/>
      <x:c r="K140" s="43" t="str"/>
      <x:c r="L140" s="43" t="str"/>
      <x:c r="M140" s="43" t="str"/>
      <x:c r="N140" s="43" t="str"/>
      <x:c r="O140" s="43" t="str"/>
      <x:c r="P140" s="43" t="str">
        <x:v>MEDIUM</x:v>
      </x:c>
      <x:c r="Q140" s="53" t="n">
        <x:f>COUNTIF('Vendor Options'!$B$2:$B$284,A140)</x:f>
        <x:v>1</x:v>
      </x:c>
      <x:c r="R140" s="53" t="n">
        <x:f>COUNTA(_xlfn.UNIQUE(_xlfn._xlws.FILTER('Vendor Options'!$C$2:$C$284,'Vendor Options'!$B$2:$B$284=A140)))</x:f>
        <x:v>1</x:v>
      </x:c>
      <x:c r="S140" s="53" t="n">
        <x:f>COUNTIFS('Vendor Options'!$B$2:$B$284,A140,'Vendor Options'!$P$2:$P$284,"PRICED")</x:f>
        <x:v>1</x:v>
      </x:c>
      <x:c r="T140" s="53" t="n">
        <x:f>COUNTIFS('Vendor Options'!$B$2:$B$284,A140,'Vendor Options'!$Q$2:$Q$284,"ACTIVE")</x:f>
        <x:v>1</x:v>
      </x:c>
      <x:c r="U140" s="54" t="n">
        <x:f>IF(S140=0,"",MIN(_xlfn._xlws.FILTER('Vendor Options'!$N$2:$N$284,('Vendor Options'!$B$2:$B$284=A140)*('Vendor Options'!$P$2:$P$284="PRICED"))))</x:f>
        <x:v>274.7</x:v>
      </x:c>
      <x:c r="V140" s="54" t="n">
        <x:f>IF(S140=0,"",MAXIFS('Vendor Options'!$N$2:$N$284,'Vendor Options'!$B$2:$B$284,A140,'Vendor Options'!$P$2:$P$284,"PRICED"))</x:f>
        <x:v>274.7</x:v>
      </x:c>
      <x:c r="W140" s="43" t="str">
        <x:f>IF(P140="REVIEW","REVIEW",IF(T140=0,"REVIEW",IF(S140=0,"NEEDS PRICE","READY")))</x:f>
        <x:v>READY</x:v>
      </x:c>
    </x:row>
    <x:row r="141" ht="15" hidden="0" customHeight="1">
      <x:c r="A141" s="43" t="str">
        <x:v>SPEC-259D7AD04F0B</x:v>
      </x:c>
      <x:c r="B141" s="43" t="str">
        <x:v>PANIC TRIM</x:v>
      </x:c>
      <x:c r="C141" s="43" t="str">
        <x:v>ESCUTCHEON TRIM</x:v>
      </x:c>
      <x:c r="D141" s="43" t="str">
        <x:v>MORTISE</x:v>
      </x:c>
      <x:c r="E141" s="43" t="str">
        <x:v>STOREROOM</x:v>
      </x:c>
      <x:c r="F141" s="43" t="str">
        <x:v>SFIC</x:v>
      </x:c>
      <x:c r="G141" s="43" t="str"/>
      <x:c r="H141" s="43" t="str"/>
      <x:c r="I141" s="43" t="str"/>
      <x:c r="J141" s="43" t="str"/>
      <x:c r="K141" s="43" t="str"/>
      <x:c r="L141" s="43" t="str"/>
      <x:c r="M141" s="43" t="str"/>
      <x:c r="N141" s="43" t="str"/>
      <x:c r="O141" s="43" t="str"/>
      <x:c r="P141" s="43" t="str">
        <x:v>MEDIUM</x:v>
      </x:c>
      <x:c r="Q141" s="53" t="n">
        <x:f>COUNTIF('Vendor Options'!$B$2:$B$284,A141)</x:f>
        <x:v>1</x:v>
      </x:c>
      <x:c r="R141" s="53" t="n">
        <x:f>COUNTA(_xlfn.UNIQUE(_xlfn._xlws.FILTER('Vendor Options'!$C$2:$C$284,'Vendor Options'!$B$2:$B$284=A141)))</x:f>
        <x:v>1</x:v>
      </x:c>
      <x:c r="S141" s="53" t="n">
        <x:f>COUNTIFS('Vendor Options'!$B$2:$B$284,A141,'Vendor Options'!$P$2:$P$284,"PRICED")</x:f>
        <x:v>1</x:v>
      </x:c>
      <x:c r="T141" s="53" t="n">
        <x:f>COUNTIFS('Vendor Options'!$B$2:$B$284,A141,'Vendor Options'!$Q$2:$Q$284,"ACTIVE")</x:f>
        <x:v>1</x:v>
      </x:c>
      <x:c r="U141" s="54" t="n">
        <x:f>IF(S141=0,"",MIN(_xlfn._xlws.FILTER('Vendor Options'!$N$2:$N$284,('Vendor Options'!$B$2:$B$284=A141)*('Vendor Options'!$P$2:$P$284="PRICED"))))</x:f>
        <x:v>274.7</x:v>
      </x:c>
      <x:c r="V141" s="54" t="n">
        <x:f>IF(S141=0,"",MAXIFS('Vendor Options'!$N$2:$N$284,'Vendor Options'!$B$2:$B$284,A141,'Vendor Options'!$P$2:$P$284,"PRICED"))</x:f>
        <x:v>274.7</x:v>
      </x:c>
      <x:c r="W141" s="43" t="str">
        <x:f>IF(P141="REVIEW","REVIEW",IF(T141=0,"REVIEW",IF(S141=0,"NEEDS PRICE","READY")))</x:f>
        <x:v>READY</x:v>
      </x:c>
    </x:row>
    <x:row r="142" ht="15" hidden="0" customHeight="1">
      <x:c r="A142" s="43" t="str">
        <x:v>SPEC-E47F09380872</x:v>
      </x:c>
      <x:c r="B142" s="43" t="str">
        <x:v>PANIC TRIM</x:v>
      </x:c>
      <x:c r="C142" s="43" t="str">
        <x:v>ESCUTCHEON TRIM</x:v>
      </x:c>
      <x:c r="D142" s="43" t="str">
        <x:v>MORTISE</x:v>
      </x:c>
      <x:c r="E142" s="43" t="str">
        <x:v>STOREROOM</x:v>
      </x:c>
      <x:c r="F142" s="43" t="str">
        <x:v>STANDARD</x:v>
      </x:c>
      <x:c r="G142" s="43" t="str"/>
      <x:c r="H142" s="43" t="str"/>
      <x:c r="I142" s="43" t="str"/>
      <x:c r="J142" s="43" t="str"/>
      <x:c r="K142" s="43" t="str"/>
      <x:c r="L142" s="43" t="str"/>
      <x:c r="M142" s="43" t="str"/>
      <x:c r="N142" s="43" t="str"/>
      <x:c r="O142" s="43" t="str"/>
      <x:c r="P142" s="43" t="str">
        <x:v>MEDIUM</x:v>
      </x:c>
      <x:c r="Q142" s="53" t="n">
        <x:f>COUNTIF('Vendor Options'!$B$2:$B$284,A142)</x:f>
        <x:v>1</x:v>
      </x:c>
      <x:c r="R142" s="53" t="n">
        <x:f>COUNTA(_xlfn.UNIQUE(_xlfn._xlws.FILTER('Vendor Options'!$C$2:$C$284,'Vendor Options'!$B$2:$B$284=A142)))</x:f>
        <x:v>1</x:v>
      </x:c>
      <x:c r="S142" s="53" t="n">
        <x:f>COUNTIFS('Vendor Options'!$B$2:$B$284,A142,'Vendor Options'!$P$2:$P$284,"PRICED")</x:f>
        <x:v>1</x:v>
      </x:c>
      <x:c r="T142" s="53" t="n">
        <x:f>COUNTIFS('Vendor Options'!$B$2:$B$284,A142,'Vendor Options'!$Q$2:$Q$284,"ACTIVE")</x:f>
        <x:v>1</x:v>
      </x:c>
      <x:c r="U142" s="54" t="n">
        <x:f>IF(S142=0,"",MIN(_xlfn._xlws.FILTER('Vendor Options'!$N$2:$N$284,('Vendor Options'!$B$2:$B$284=A142)*('Vendor Options'!$P$2:$P$284="PRICED"))))</x:f>
        <x:v>236.97</x:v>
      </x:c>
      <x:c r="V142" s="54" t="n">
        <x:f>IF(S142=0,"",MAXIFS('Vendor Options'!$N$2:$N$284,'Vendor Options'!$B$2:$B$284,A142,'Vendor Options'!$P$2:$P$284,"PRICED"))</x:f>
        <x:v>236.97</x:v>
      </x:c>
      <x:c r="W142" s="43" t="str">
        <x:f>IF(P142="REVIEW","REVIEW",IF(T142=0,"REVIEW",IF(S142=0,"NEEDS PRICE","READY")))</x:f>
        <x:v>READY</x:v>
      </x:c>
    </x:row>
    <x:row r="143" ht="15" hidden="0" customHeight="1">
      <x:c r="A143" s="43" t="str">
        <x:v>SPEC-1EEF3EEC4A24</x:v>
      </x:c>
      <x:c r="B143" s="43" t="str">
        <x:v>PANIC TRIM</x:v>
      </x:c>
      <x:c r="C143" s="43" t="str">
        <x:v>ESCUTCHEON TRIM</x:v>
      </x:c>
      <x:c r="D143" s="43" t="str">
        <x:v>RIM</x:v>
      </x:c>
      <x:c r="E143" s="43" t="str"/>
      <x:c r="F143" s="43" t="str">
        <x:v>SFIC</x:v>
      </x:c>
      <x:c r="G143" s="43" t="str"/>
      <x:c r="H143" s="43" t="str"/>
      <x:c r="I143" s="43" t="str"/>
      <x:c r="J143" s="43" t="str"/>
      <x:c r="K143" s="43" t="str"/>
      <x:c r="L143" s="43" t="str"/>
      <x:c r="M143" s="43" t="str">
        <x:v>304</x:v>
      </x:c>
      <x:c r="N143" s="43" t="str"/>
      <x:c r="O143" s="43" t="str"/>
      <x:c r="P143" s="43" t="str">
        <x:v>MEDIUM</x:v>
      </x:c>
      <x:c r="Q143" s="53" t="n">
        <x:f>COUNTIF('Vendor Options'!$B$2:$B$284,A143)</x:f>
        <x:v>1</x:v>
      </x:c>
      <x:c r="R143" s="53" t="n">
        <x:f>COUNTA(_xlfn.UNIQUE(_xlfn._xlws.FILTER('Vendor Options'!$C$2:$C$284,'Vendor Options'!$B$2:$B$284=A143)))</x:f>
        <x:v>1</x:v>
      </x:c>
      <x:c r="S143" s="53" t="n">
        <x:f>COUNTIFS('Vendor Options'!$B$2:$B$284,A143,'Vendor Options'!$P$2:$P$284,"PRICED")</x:f>
        <x:v>1</x:v>
      </x:c>
      <x:c r="T143" s="53" t="n">
        <x:f>COUNTIFS('Vendor Options'!$B$2:$B$284,A143,'Vendor Options'!$Q$2:$Q$284,"ACTIVE")</x:f>
        <x:v>1</x:v>
      </x:c>
      <x:c r="U143" s="54" t="n">
        <x:f>IF(S143=0,"",MIN(_xlfn._xlws.FILTER('Vendor Options'!$N$2:$N$284,('Vendor Options'!$B$2:$B$284=A143)*('Vendor Options'!$P$2:$P$284="PRICED"))))</x:f>
        <x:v>251.55</x:v>
      </x:c>
      <x:c r="V143" s="54" t="n">
        <x:f>IF(S143=0,"",MAXIFS('Vendor Options'!$N$2:$N$284,'Vendor Options'!$B$2:$B$284,A143,'Vendor Options'!$P$2:$P$284,"PRICED"))</x:f>
        <x:v>251.55</x:v>
      </x:c>
      <x:c r="W143" s="43" t="str">
        <x:f>IF(P143="REVIEW","REVIEW",IF(T143=0,"REVIEW",IF(S143=0,"NEEDS PRICE","READY")))</x:f>
        <x:v>READY</x:v>
      </x:c>
    </x:row>
    <x:row r="144" ht="15" hidden="0" customHeight="1">
      <x:c r="A144" s="43" t="str">
        <x:v>SPEC-69C6410D5BA4</x:v>
      </x:c>
      <x:c r="B144" s="43" t="str">
        <x:v>PANIC TRIM</x:v>
      </x:c>
      <x:c r="C144" s="43" t="str">
        <x:v>ESCUTCHEON TRIM</x:v>
      </x:c>
      <x:c r="D144" s="43" t="str">
        <x:v>RIM</x:v>
      </x:c>
      <x:c r="E144" s="43" t="str"/>
      <x:c r="F144" s="43" t="str">
        <x:v>STANDARD</x:v>
      </x:c>
      <x:c r="G144" s="43" t="str"/>
      <x:c r="H144" s="43" t="str"/>
      <x:c r="I144" s="43" t="str"/>
      <x:c r="J144" s="43" t="str"/>
      <x:c r="K144" s="43" t="str"/>
      <x:c r="L144" s="43" t="str"/>
      <x:c r="M144" s="43" t="str">
        <x:v>304</x:v>
      </x:c>
      <x:c r="N144" s="43" t="str"/>
      <x:c r="O144" s="43" t="str"/>
      <x:c r="P144" s="43" t="str">
        <x:v>MEDIUM</x:v>
      </x:c>
      <x:c r="Q144" s="53" t="n">
        <x:f>COUNTIF('Vendor Options'!$B$2:$B$284,A144)</x:f>
        <x:v>1</x:v>
      </x:c>
      <x:c r="R144" s="53" t="n">
        <x:f>COUNTA(_xlfn.UNIQUE(_xlfn._xlws.FILTER('Vendor Options'!$C$2:$C$284,'Vendor Options'!$B$2:$B$284=A144)))</x:f>
        <x:v>1</x:v>
      </x:c>
      <x:c r="S144" s="53" t="n">
        <x:f>COUNTIFS('Vendor Options'!$B$2:$B$284,A144,'Vendor Options'!$P$2:$P$284,"PRICED")</x:f>
        <x:v>1</x:v>
      </x:c>
      <x:c r="T144" s="53" t="n">
        <x:f>COUNTIFS('Vendor Options'!$B$2:$B$284,A144,'Vendor Options'!$Q$2:$Q$284,"ACTIVE")</x:f>
        <x:v>1</x:v>
      </x:c>
      <x:c r="U144" s="54" t="n">
        <x:f>IF(S144=0,"",MIN(_xlfn._xlws.FILTER('Vendor Options'!$N$2:$N$284,('Vendor Options'!$B$2:$B$284=A144)*('Vendor Options'!$P$2:$P$284="PRICED"))))</x:f>
        <x:v>251.55</x:v>
      </x:c>
      <x:c r="V144" s="54" t="n">
        <x:f>IF(S144=0,"",MAXIFS('Vendor Options'!$N$2:$N$284,'Vendor Options'!$B$2:$B$284,A144,'Vendor Options'!$P$2:$P$284,"PRICED"))</x:f>
        <x:v>251.55</x:v>
      </x:c>
      <x:c r="W144" s="43" t="str">
        <x:f>IF(P144="REVIEW","REVIEW",IF(T144=0,"REVIEW",IF(S144=0,"NEEDS PRICE","READY")))</x:f>
        <x:v>READY</x:v>
      </x:c>
    </x:row>
    <x:row r="145" ht="15" hidden="0" customHeight="1">
      <x:c r="A145" s="43" t="str">
        <x:v>SPEC-5A6D704C5CA6</x:v>
      </x:c>
      <x:c r="B145" s="43" t="str">
        <x:v>PANIC TRIM</x:v>
      </x:c>
      <x:c r="C145" s="43" t="str">
        <x:v>ESCUTCHEON TRIM</x:v>
      </x:c>
      <x:c r="D145" s="43" t="str">
        <x:v>RIM</x:v>
      </x:c>
      <x:c r="E145" s="43" t="str">
        <x:v>ENTRY</x:v>
      </x:c>
      <x:c r="F145" s="43" t="str">
        <x:v>LFIC</x:v>
      </x:c>
      <x:c r="G145" s="43" t="str"/>
      <x:c r="H145" s="43" t="str"/>
      <x:c r="I145" s="43" t="str"/>
      <x:c r="J145" s="43" t="str"/>
      <x:c r="K145" s="43" t="str"/>
      <x:c r="L145" s="43" t="str"/>
      <x:c r="M145" s="43" t="str">
        <x:v>630</x:v>
      </x:c>
      <x:c r="N145" s="43" t="str"/>
      <x:c r="O145" s="43" t="str"/>
      <x:c r="P145" s="43" t="str">
        <x:v>HIGH</x:v>
      </x:c>
      <x:c r="Q145" s="53" t="n">
        <x:f>COUNTIF('Vendor Options'!$B$2:$B$284,A145)</x:f>
        <x:v>1</x:v>
      </x:c>
      <x:c r="R145" s="53" t="n">
        <x:f>COUNTA(_xlfn.UNIQUE(_xlfn._xlws.FILTER('Vendor Options'!$C$2:$C$284,'Vendor Options'!$B$2:$B$284=A145)))</x:f>
        <x:v>1</x:v>
      </x:c>
      <x:c r="S145" s="53" t="n">
        <x:f>COUNTIFS('Vendor Options'!$B$2:$B$284,A145,'Vendor Options'!$P$2:$P$284,"PRICED")</x:f>
        <x:v>1</x:v>
      </x:c>
      <x:c r="T145" s="53" t="n">
        <x:f>COUNTIFS('Vendor Options'!$B$2:$B$284,A145,'Vendor Options'!$Q$2:$Q$284,"ACTIVE")</x:f>
        <x:v>1</x:v>
      </x:c>
      <x:c r="U145" s="54" t="n">
        <x:f>IF(S145=0,"",MIN(_xlfn._xlws.FILTER('Vendor Options'!$N$2:$N$284,('Vendor Options'!$B$2:$B$284=A145)*('Vendor Options'!$P$2:$P$284="PRICED"))))</x:f>
        <x:v>252.36</x:v>
      </x:c>
      <x:c r="V145" s="54" t="n">
        <x:f>IF(S145=0,"",MAXIFS('Vendor Options'!$N$2:$N$284,'Vendor Options'!$B$2:$B$284,A145,'Vendor Options'!$P$2:$P$284,"PRICED"))</x:f>
        <x:v>252.36</x:v>
      </x:c>
      <x:c r="W145" s="43" t="str">
        <x:f>IF(P145="REVIEW","REVIEW",IF(T145=0,"REVIEW",IF(S145=0,"NEEDS PRICE","READY")))</x:f>
        <x:v>READY</x:v>
      </x:c>
    </x:row>
    <x:row r="146" ht="15" hidden="0" customHeight="1">
      <x:c r="A146" s="43" t="str">
        <x:v>SPEC-B535D0CC63C5</x:v>
      </x:c>
      <x:c r="B146" s="43" t="str">
        <x:v>PANIC TRIM</x:v>
      </x:c>
      <x:c r="C146" s="43" t="str">
        <x:v>ESCUTCHEON TRIM</x:v>
      </x:c>
      <x:c r="D146" s="43" t="str">
        <x:v>RIM</x:v>
      </x:c>
      <x:c r="E146" s="43" t="str">
        <x:v>ENTRY</x:v>
      </x:c>
      <x:c r="F146" s="43" t="str">
        <x:v>SFIC</x:v>
      </x:c>
      <x:c r="G146" s="43" t="str"/>
      <x:c r="H146" s="43" t="str"/>
      <x:c r="I146" s="43" t="str"/>
      <x:c r="J146" s="43" t="str"/>
      <x:c r="K146" s="43" t="str"/>
      <x:c r="L146" s="43" t="str"/>
      <x:c r="M146" s="43" t="str">
        <x:v>630</x:v>
      </x:c>
      <x:c r="N146" s="43" t="str"/>
      <x:c r="O146" s="43" t="str"/>
      <x:c r="P146" s="43" t="str">
        <x:v>HIGH</x:v>
      </x:c>
      <x:c r="Q146" s="53" t="n">
        <x:f>COUNTIF('Vendor Options'!$B$2:$B$284,A146)</x:f>
        <x:v>1</x:v>
      </x:c>
      <x:c r="R146" s="53" t="n">
        <x:f>COUNTA(_xlfn.UNIQUE(_xlfn._xlws.FILTER('Vendor Options'!$C$2:$C$284,'Vendor Options'!$B$2:$B$284=A146)))</x:f>
        <x:v>1</x:v>
      </x:c>
      <x:c r="S146" s="53" t="n">
        <x:f>COUNTIFS('Vendor Options'!$B$2:$B$284,A146,'Vendor Options'!$P$2:$P$284,"PRICED")</x:f>
        <x:v>1</x:v>
      </x:c>
      <x:c r="T146" s="53" t="n">
        <x:f>COUNTIFS('Vendor Options'!$B$2:$B$284,A146,'Vendor Options'!$Q$2:$Q$284,"ACTIVE")</x:f>
        <x:v>1</x:v>
      </x:c>
      <x:c r="U146" s="54" t="n">
        <x:f>IF(S146=0,"",MIN(_xlfn._xlws.FILTER('Vendor Options'!$N$2:$N$284,('Vendor Options'!$B$2:$B$284=A146)*('Vendor Options'!$P$2:$P$284="PRICED"))))</x:f>
        <x:v>252.36</x:v>
      </x:c>
      <x:c r="V146" s="54" t="n">
        <x:f>IF(S146=0,"",MAXIFS('Vendor Options'!$N$2:$N$284,'Vendor Options'!$B$2:$B$284,A146,'Vendor Options'!$P$2:$P$284,"PRICED"))</x:f>
        <x:v>252.36</x:v>
      </x:c>
      <x:c r="W146" s="43" t="str">
        <x:f>IF(P146="REVIEW","REVIEW",IF(T146=0,"REVIEW",IF(S146=0,"NEEDS PRICE","READY")))</x:f>
        <x:v>READY</x:v>
      </x:c>
    </x:row>
    <x:row r="147" ht="15" hidden="0" customHeight="1">
      <x:c r="A147" s="43" t="str">
        <x:v>SPEC-4E095B175796</x:v>
      </x:c>
      <x:c r="B147" s="43" t="str">
        <x:v>PANIC TRIM</x:v>
      </x:c>
      <x:c r="C147" s="43" t="str">
        <x:v>ESCUTCHEON TRIM</x:v>
      </x:c>
      <x:c r="D147" s="43" t="str">
        <x:v>RIM</x:v>
      </x:c>
      <x:c r="E147" s="43" t="str">
        <x:v>ENTRY</x:v>
      </x:c>
      <x:c r="F147" s="43" t="str">
        <x:v>STANDARD</x:v>
      </x:c>
      <x:c r="G147" s="43" t="str"/>
      <x:c r="H147" s="43" t="str"/>
      <x:c r="I147" s="43" t="str"/>
      <x:c r="J147" s="43" t="str"/>
      <x:c r="K147" s="43" t="str"/>
      <x:c r="L147" s="43" t="str"/>
      <x:c r="M147" s="43" t="str">
        <x:v>630</x:v>
      </x:c>
      <x:c r="N147" s="43" t="str"/>
      <x:c r="O147" s="43" t="str"/>
      <x:c r="P147" s="43" t="str">
        <x:v>HIGH</x:v>
      </x:c>
      <x:c r="Q147" s="53" t="n">
        <x:f>COUNTIF('Vendor Options'!$B$2:$B$284,A147)</x:f>
        <x:v>1</x:v>
      </x:c>
      <x:c r="R147" s="53" t="n">
        <x:f>COUNTA(_xlfn.UNIQUE(_xlfn._xlws.FILTER('Vendor Options'!$C$2:$C$284,'Vendor Options'!$B$2:$B$284=A147)))</x:f>
        <x:v>1</x:v>
      </x:c>
      <x:c r="S147" s="53" t="n">
        <x:f>COUNTIFS('Vendor Options'!$B$2:$B$284,A147,'Vendor Options'!$P$2:$P$284,"PRICED")</x:f>
        <x:v>1</x:v>
      </x:c>
      <x:c r="T147" s="53" t="n">
        <x:f>COUNTIFS('Vendor Options'!$B$2:$B$284,A147,'Vendor Options'!$Q$2:$Q$284,"ACTIVE")</x:f>
        <x:v>1</x:v>
      </x:c>
      <x:c r="U147" s="54" t="n">
        <x:f>IF(S147=0,"",MIN(_xlfn._xlws.FILTER('Vendor Options'!$N$2:$N$284,('Vendor Options'!$B$2:$B$284=A147)*('Vendor Options'!$P$2:$P$284="PRICED"))))</x:f>
        <x:v>214.63</x:v>
      </x:c>
      <x:c r="V147" s="54" t="n">
        <x:f>IF(S147=0,"",MAXIFS('Vendor Options'!$N$2:$N$284,'Vendor Options'!$B$2:$B$284,A147,'Vendor Options'!$P$2:$P$284,"PRICED"))</x:f>
        <x:v>214.63</x:v>
      </x:c>
      <x:c r="W147" s="43" t="str">
        <x:f>IF(P147="REVIEW","REVIEW",IF(T147=0,"REVIEW",IF(S147=0,"NEEDS PRICE","READY")))</x:f>
        <x:v>READY</x:v>
      </x:c>
    </x:row>
    <x:row r="148" ht="15" hidden="0" customHeight="1">
      <x:c r="A148" s="43" t="str">
        <x:v>SPEC-180E7CB1C30C</x:v>
      </x:c>
      <x:c r="B148" s="43" t="str">
        <x:v>PANIC TRIM</x:v>
      </x:c>
      <x:c r="C148" s="43" t="str">
        <x:v>ESCUTCHEON TRIM</x:v>
      </x:c>
      <x:c r="D148" s="43" t="str">
        <x:v>RIM</x:v>
      </x:c>
      <x:c r="E148" s="43" t="str">
        <x:v>STOREROOM</x:v>
      </x:c>
      <x:c r="F148" s="43" t="str">
        <x:v>LFIC</x:v>
      </x:c>
      <x:c r="G148" s="43" t="str"/>
      <x:c r="H148" s="43" t="str"/>
      <x:c r="I148" s="43" t="str"/>
      <x:c r="J148" s="43" t="str"/>
      <x:c r="K148" s="43" t="str"/>
      <x:c r="L148" s="43" t="str"/>
      <x:c r="M148" s="43" t="str">
        <x:v>630</x:v>
      </x:c>
      <x:c r="N148" s="43" t="str"/>
      <x:c r="O148" s="43" t="str"/>
      <x:c r="P148" s="43" t="str">
        <x:v>HIGH</x:v>
      </x:c>
      <x:c r="Q148" s="53" t="n">
        <x:f>COUNTIF('Vendor Options'!$B$2:$B$284,A148)</x:f>
        <x:v>1</x:v>
      </x:c>
      <x:c r="R148" s="53" t="n">
        <x:f>COUNTA(_xlfn.UNIQUE(_xlfn._xlws.FILTER('Vendor Options'!$C$2:$C$284,'Vendor Options'!$B$2:$B$284=A148)))</x:f>
        <x:v>1</x:v>
      </x:c>
      <x:c r="S148" s="53" t="n">
        <x:f>COUNTIFS('Vendor Options'!$B$2:$B$284,A148,'Vendor Options'!$P$2:$P$284,"PRICED")</x:f>
        <x:v>1</x:v>
      </x:c>
      <x:c r="T148" s="53" t="n">
        <x:f>COUNTIFS('Vendor Options'!$B$2:$B$284,A148,'Vendor Options'!$Q$2:$Q$284,"ACTIVE")</x:f>
        <x:v>1</x:v>
      </x:c>
      <x:c r="U148" s="54" t="n">
        <x:f>IF(S148=0,"",MIN(_xlfn._xlws.FILTER('Vendor Options'!$N$2:$N$284,('Vendor Options'!$B$2:$B$284=A148)*('Vendor Options'!$P$2:$P$284="PRICED"))))</x:f>
        <x:v>252.36</x:v>
      </x:c>
      <x:c r="V148" s="54" t="n">
        <x:f>IF(S148=0,"",MAXIFS('Vendor Options'!$N$2:$N$284,'Vendor Options'!$B$2:$B$284,A148,'Vendor Options'!$P$2:$P$284,"PRICED"))</x:f>
        <x:v>252.36</x:v>
      </x:c>
      <x:c r="W148" s="43" t="str">
        <x:f>IF(P148="REVIEW","REVIEW",IF(T148=0,"REVIEW",IF(S148=0,"NEEDS PRICE","READY")))</x:f>
        <x:v>READY</x:v>
      </x:c>
    </x:row>
    <x:row r="149" ht="15" hidden="0" customHeight="1">
      <x:c r="A149" s="43" t="str">
        <x:v>SPEC-BF25F8629A9D</x:v>
      </x:c>
      <x:c r="B149" s="43" t="str">
        <x:v>PANIC TRIM</x:v>
      </x:c>
      <x:c r="C149" s="43" t="str">
        <x:v>ESCUTCHEON TRIM</x:v>
      </x:c>
      <x:c r="D149" s="43" t="str">
        <x:v>RIM</x:v>
      </x:c>
      <x:c r="E149" s="43" t="str">
        <x:v>STOREROOM</x:v>
      </x:c>
      <x:c r="F149" s="43" t="str">
        <x:v>SFIC</x:v>
      </x:c>
      <x:c r="G149" s="43" t="str"/>
      <x:c r="H149" s="43" t="str"/>
      <x:c r="I149" s="43" t="str"/>
      <x:c r="J149" s="43" t="str"/>
      <x:c r="K149" s="43" t="str"/>
      <x:c r="L149" s="43" t="str"/>
      <x:c r="M149" s="43" t="str">
        <x:v>630</x:v>
      </x:c>
      <x:c r="N149" s="43" t="str"/>
      <x:c r="O149" s="43" t="str"/>
      <x:c r="P149" s="43" t="str">
        <x:v>HIGH</x:v>
      </x:c>
      <x:c r="Q149" s="53" t="n">
        <x:f>COUNTIF('Vendor Options'!$B$2:$B$284,A149)</x:f>
        <x:v>1</x:v>
      </x:c>
      <x:c r="R149" s="53" t="n">
        <x:f>COUNTA(_xlfn.UNIQUE(_xlfn._xlws.FILTER('Vendor Options'!$C$2:$C$284,'Vendor Options'!$B$2:$B$284=A149)))</x:f>
        <x:v>1</x:v>
      </x:c>
      <x:c r="S149" s="53" t="n">
        <x:f>COUNTIFS('Vendor Options'!$B$2:$B$284,A149,'Vendor Options'!$P$2:$P$284,"PRICED")</x:f>
        <x:v>1</x:v>
      </x:c>
      <x:c r="T149" s="53" t="n">
        <x:f>COUNTIFS('Vendor Options'!$B$2:$B$284,A149,'Vendor Options'!$Q$2:$Q$284,"ACTIVE")</x:f>
        <x:v>1</x:v>
      </x:c>
      <x:c r="U149" s="54" t="n">
        <x:f>IF(S149=0,"",MIN(_xlfn._xlws.FILTER('Vendor Options'!$N$2:$N$284,('Vendor Options'!$B$2:$B$284=A149)*('Vendor Options'!$P$2:$P$284="PRICED"))))</x:f>
        <x:v>252.36</x:v>
      </x:c>
      <x:c r="V149" s="54" t="n">
        <x:f>IF(S149=0,"",MAXIFS('Vendor Options'!$N$2:$N$284,'Vendor Options'!$B$2:$B$284,A149,'Vendor Options'!$P$2:$P$284,"PRICED"))</x:f>
        <x:v>252.36</x:v>
      </x:c>
      <x:c r="W149" s="43" t="str">
        <x:f>IF(P149="REVIEW","REVIEW",IF(T149=0,"REVIEW",IF(S149=0,"NEEDS PRICE","READY")))</x:f>
        <x:v>READY</x:v>
      </x:c>
    </x:row>
    <x:row r="150" ht="15" hidden="0" customHeight="1">
      <x:c r="A150" s="43" t="str">
        <x:v>SPEC-C953AC09EC93</x:v>
      </x:c>
      <x:c r="B150" s="43" t="str">
        <x:v>PANIC TRIM</x:v>
      </x:c>
      <x:c r="C150" s="43" t="str">
        <x:v>ESCUTCHEON TRIM</x:v>
      </x:c>
      <x:c r="D150" s="43" t="str">
        <x:v>RIM</x:v>
      </x:c>
      <x:c r="E150" s="43" t="str">
        <x:v>STOREROOM</x:v>
      </x:c>
      <x:c r="F150" s="43" t="str">
        <x:v>STANDARD</x:v>
      </x:c>
      <x:c r="G150" s="43" t="str"/>
      <x:c r="H150" s="43" t="str"/>
      <x:c r="I150" s="43" t="str"/>
      <x:c r="J150" s="43" t="str"/>
      <x:c r="K150" s="43" t="str"/>
      <x:c r="L150" s="43" t="str"/>
      <x:c r="M150" s="43" t="str">
        <x:v>630</x:v>
      </x:c>
      <x:c r="N150" s="43" t="str"/>
      <x:c r="O150" s="43" t="str"/>
      <x:c r="P150" s="43" t="str">
        <x:v>HIGH</x:v>
      </x:c>
      <x:c r="Q150" s="53" t="n">
        <x:f>COUNTIF('Vendor Options'!$B$2:$B$284,A150)</x:f>
        <x:v>1</x:v>
      </x:c>
      <x:c r="R150" s="53" t="n">
        <x:f>COUNTA(_xlfn.UNIQUE(_xlfn._xlws.FILTER('Vendor Options'!$C$2:$C$284,'Vendor Options'!$B$2:$B$284=A150)))</x:f>
        <x:v>1</x:v>
      </x:c>
      <x:c r="S150" s="53" t="n">
        <x:f>COUNTIFS('Vendor Options'!$B$2:$B$284,A150,'Vendor Options'!$P$2:$P$284,"PRICED")</x:f>
        <x:v>1</x:v>
      </x:c>
      <x:c r="T150" s="53" t="n">
        <x:f>COUNTIFS('Vendor Options'!$B$2:$B$284,A150,'Vendor Options'!$Q$2:$Q$284,"ACTIVE")</x:f>
        <x:v>1</x:v>
      </x:c>
      <x:c r="U150" s="54" t="n">
        <x:f>IF(S150=0,"",MIN(_xlfn._xlws.FILTER('Vendor Options'!$N$2:$N$284,('Vendor Options'!$B$2:$B$284=A150)*('Vendor Options'!$P$2:$P$284="PRICED"))))</x:f>
        <x:v>214.63</x:v>
      </x:c>
      <x:c r="V150" s="54" t="n">
        <x:f>IF(S150=0,"",MAXIFS('Vendor Options'!$N$2:$N$284,'Vendor Options'!$B$2:$B$284,A150,'Vendor Options'!$P$2:$P$284,"PRICED"))</x:f>
        <x:v>214.63</x:v>
      </x:c>
      <x:c r="W150" s="43" t="str">
        <x:f>IF(P150="REVIEW","REVIEW",IF(T150=0,"REVIEW",IF(S150=0,"NEEDS PRICE","READY")))</x:f>
        <x:v>READY</x:v>
      </x:c>
    </x:row>
    <x:row r="151" ht="15" hidden="0" customHeight="1">
      <x:c r="A151" s="43" t="str">
        <x:v>SPEC-F4E577ACE7BA</x:v>
      </x:c>
      <x:c r="B151" s="43" t="str">
        <x:v>PANIC TRIM</x:v>
      </x:c>
      <x:c r="C151" s="43" t="str">
        <x:v>LEVER ESCUTCHEON TRIM</x:v>
      </x:c>
      <x:c r="D151" s="43" t="str">
        <x:v>MORTISE</x:v>
      </x:c>
      <x:c r="E151" s="43" t="str">
        <x:v>KEY LOCKS / UNLOCKS LEVER - CLUTCH</x:v>
      </x:c>
      <x:c r="F151" s="43" t="str">
        <x:v>STANDARD</x:v>
      </x:c>
      <x:c r="G151" s="43" t="str"/>
      <x:c r="H151" s="43" t="str"/>
      <x:c r="I151" s="43" t="str"/>
      <x:c r="J151" s="43" t="str"/>
      <x:c r="K151" s="43" t="str"/>
      <x:c r="L151" s="43" t="str"/>
      <x:c r="M151" s="43" t="str">
        <x:v>630</x:v>
      </x:c>
      <x:c r="N151" s="43" t="str"/>
      <x:c r="O151" s="43" t="str"/>
      <x:c r="P151" s="43" t="str">
        <x:v>HIGH</x:v>
      </x:c>
      <x:c r="Q151" s="53" t="n">
        <x:f>COUNTIF('Vendor Options'!$B$2:$B$284,A151)</x:f>
        <x:v>1</x:v>
      </x:c>
      <x:c r="R151" s="53" t="n">
        <x:f>COUNTA(_xlfn.UNIQUE(_xlfn._xlws.FILTER('Vendor Options'!$C$2:$C$284,'Vendor Options'!$B$2:$B$284=A151)))</x:f>
        <x:v>1</x:v>
      </x:c>
      <x:c r="S151" s="53" t="n">
        <x:f>COUNTIFS('Vendor Options'!$B$2:$B$284,A151,'Vendor Options'!$P$2:$P$284,"PRICED")</x:f>
        <x:v>1</x:v>
      </x:c>
      <x:c r="T151" s="53" t="n">
        <x:f>COUNTIFS('Vendor Options'!$B$2:$B$284,A151,'Vendor Options'!$Q$2:$Q$284,"ACTIVE")</x:f>
        <x:v>0</x:v>
      </x:c>
      <x:c r="U151" s="54" t="n">
        <x:f>IF(S151=0,"",MIN(_xlfn._xlws.FILTER('Vendor Options'!$N$2:$N$284,('Vendor Options'!$B$2:$B$284=A151)*('Vendor Options'!$P$2:$P$284="PRICED"))))</x:f>
        <x:v>1219</x:v>
      </x:c>
      <x:c r="V151" s="54" t="n">
        <x:f>IF(S151=0,"",MAXIFS('Vendor Options'!$N$2:$N$284,'Vendor Options'!$B$2:$B$284,A151,'Vendor Options'!$P$2:$P$284,"PRICED"))</x:f>
        <x:v>1219</x:v>
      </x:c>
      <x:c r="W151" s="43" t="str">
        <x:f>IF(P151="REVIEW","REVIEW",IF(T151=0,"REVIEW",IF(S151=0,"NEEDS PRICE","READY")))</x:f>
        <x:v>REVIEW</x:v>
      </x:c>
    </x:row>
    <x:row r="152" ht="15" hidden="0" customHeight="1">
      <x:c r="A152" s="43" t="str">
        <x:v>SPEC-AFD3426908DC</x:v>
      </x:c>
      <x:c r="B152" s="43" t="str">
        <x:v>PANIC TRIM</x:v>
      </x:c>
      <x:c r="C152" s="43" t="str">
        <x:v>LEVER ESCUTCHEON TRIM</x:v>
      </x:c>
      <x:c r="D152" s="43" t="str">
        <x:v>MORTISE</x:v>
      </x:c>
      <x:c r="E152" s="43" t="str">
        <x:v>KEY LOCKS / UNLOCKS LEVER</x:v>
      </x:c>
      <x:c r="F152" s="43" t="str">
        <x:v>STANDARD</x:v>
      </x:c>
      <x:c r="G152" s="43" t="str"/>
      <x:c r="H152" s="43" t="str"/>
      <x:c r="I152" s="43" t="str"/>
      <x:c r="J152" s="43" t="str"/>
      <x:c r="K152" s="43" t="str"/>
      <x:c r="L152" s="43" t="str"/>
      <x:c r="M152" s="43" t="str">
        <x:v>630</x:v>
      </x:c>
      <x:c r="N152" s="43" t="str"/>
      <x:c r="O152" s="43" t="str"/>
      <x:c r="P152" s="43" t="str">
        <x:v>HIGH</x:v>
      </x:c>
      <x:c r="Q152" s="53" t="n">
        <x:f>COUNTIF('Vendor Options'!$B$2:$B$284,A152)</x:f>
        <x:v>2</x:v>
      </x:c>
      <x:c r="R152" s="53" t="n">
        <x:f>COUNTA(_xlfn.UNIQUE(_xlfn._xlws.FILTER('Vendor Options'!$C$2:$C$284,'Vendor Options'!$B$2:$B$284=A152)))</x:f>
        <x:v>2</x:v>
      </x:c>
      <x:c r="S152" s="53" t="n">
        <x:f>COUNTIFS('Vendor Options'!$B$2:$B$284,A152,'Vendor Options'!$P$2:$P$284,"PRICED")</x:f>
        <x:v>2</x:v>
      </x:c>
      <x:c r="T152" s="53" t="n">
        <x:f>COUNTIFS('Vendor Options'!$B$2:$B$284,A152,'Vendor Options'!$Q$2:$Q$284,"ACTIVE")</x:f>
        <x:v>0</x:v>
      </x:c>
      <x:c r="U152" s="54" t="n">
        <x:f>IF(S152=0,"",MIN(_xlfn._xlws.FILTER('Vendor Options'!$N$2:$N$284,('Vendor Options'!$B$2:$B$284=A152)*('Vendor Options'!$P$2:$P$284="PRICED"))))</x:f>
        <x:v>857</x:v>
      </x:c>
      <x:c r="V152" s="54" t="n">
        <x:f>IF(S152=0,"",MAXIFS('Vendor Options'!$N$2:$N$284,'Vendor Options'!$B$2:$B$284,A152,'Vendor Options'!$P$2:$P$284,"PRICED"))</x:f>
        <x:v>1250</x:v>
      </x:c>
      <x:c r="W152" s="43" t="str">
        <x:f>IF(P152="REVIEW","REVIEW",IF(T152=0,"REVIEW",IF(S152=0,"NEEDS PRICE","READY")))</x:f>
        <x:v>REVIEW</x:v>
      </x:c>
    </x:row>
    <x:row r="153" ht="15" hidden="0" customHeight="1">
      <x:c r="A153" s="43" t="str">
        <x:v>SPEC-809A92977C48</x:v>
      </x:c>
      <x:c r="B153" s="43" t="str">
        <x:v>PANIC TRIM</x:v>
      </x:c>
      <x:c r="C153" s="43" t="str">
        <x:v>LEVER ESCUTCHEON TRIM</x:v>
      </x:c>
      <x:c r="D153" s="43" t="str">
        <x:v>MORTISE</x:v>
      </x:c>
      <x:c r="E153" s="43" t="str">
        <x:v>KEY RETRACTS LATCH</x:v>
      </x:c>
      <x:c r="F153" s="43" t="str">
        <x:v>STANDARD</x:v>
      </x:c>
      <x:c r="G153" s="43" t="str"/>
      <x:c r="H153" s="43" t="str"/>
      <x:c r="I153" s="43" t="str"/>
      <x:c r="J153" s="43" t="str"/>
      <x:c r="K153" s="43" t="str"/>
      <x:c r="L153" s="43" t="str"/>
      <x:c r="M153" s="43" t="str">
        <x:v>630</x:v>
      </x:c>
      <x:c r="N153" s="43" t="str"/>
      <x:c r="O153" s="43" t="str"/>
      <x:c r="P153" s="43" t="str">
        <x:v>HIGH</x:v>
      </x:c>
      <x:c r="Q153" s="53" t="n">
        <x:f>COUNTIF('Vendor Options'!$B$2:$B$284,A153)</x:f>
        <x:v>2</x:v>
      </x:c>
      <x:c r="R153" s="53" t="n">
        <x:f>COUNTA(_xlfn.UNIQUE(_xlfn._xlws.FILTER('Vendor Options'!$C$2:$C$284,'Vendor Options'!$B$2:$B$284=A153)))</x:f>
        <x:v>2</x:v>
      </x:c>
      <x:c r="S153" s="53" t="n">
        <x:f>COUNTIFS('Vendor Options'!$B$2:$B$284,A153,'Vendor Options'!$P$2:$P$284,"PRICED")</x:f>
        <x:v>2</x:v>
      </x:c>
      <x:c r="T153" s="53" t="n">
        <x:f>COUNTIFS('Vendor Options'!$B$2:$B$284,A153,'Vendor Options'!$Q$2:$Q$284,"ACTIVE")</x:f>
        <x:v>0</x:v>
      </x:c>
      <x:c r="U153" s="54" t="n">
        <x:f>IF(S153=0,"",MIN(_xlfn._xlws.FILTER('Vendor Options'!$N$2:$N$284,('Vendor Options'!$B$2:$B$284=A153)*('Vendor Options'!$P$2:$P$284="PRICED"))))</x:f>
        <x:v>733</x:v>
      </x:c>
      <x:c r="V153" s="54" t="n">
        <x:f>IF(S153=0,"",MAXIFS('Vendor Options'!$N$2:$N$284,'Vendor Options'!$B$2:$B$284,A153,'Vendor Options'!$P$2:$P$284,"PRICED"))</x:f>
        <x:v>1250</x:v>
      </x:c>
      <x:c r="W153" s="43" t="str">
        <x:f>IF(P153="REVIEW","REVIEW",IF(T153=0,"REVIEW",IF(S153=0,"NEEDS PRICE","READY")))</x:f>
        <x:v>REVIEW</x:v>
      </x:c>
    </x:row>
    <x:row r="154" ht="15" hidden="0" customHeight="1">
      <x:c r="A154" s="43" t="str">
        <x:v>SPEC-3433EE87D2B9</x:v>
      </x:c>
      <x:c r="B154" s="43" t="str">
        <x:v>PANIC TRIM</x:v>
      </x:c>
      <x:c r="C154" s="43" t="str">
        <x:v>LEVER ESCUTCHEON TRIM</x:v>
      </x:c>
      <x:c r="D154" s="43" t="str">
        <x:v>RIM</x:v>
      </x:c>
      <x:c r="E154" s="43" t="str">
        <x:v>KEY LOCKS / UNLOCKS LEVER - CLUTCH</x:v>
      </x:c>
      <x:c r="F154" s="43" t="str">
        <x:v>STANDARD</x:v>
      </x:c>
      <x:c r="G154" s="43" t="str"/>
      <x:c r="H154" s="43" t="str"/>
      <x:c r="I154" s="43" t="str"/>
      <x:c r="J154" s="43" t="str"/>
      <x:c r="K154" s="43" t="str"/>
      <x:c r="L154" s="43" t="str"/>
      <x:c r="M154" s="43" t="str">
        <x:v>630</x:v>
      </x:c>
      <x:c r="N154" s="43" t="str"/>
      <x:c r="O154" s="43" t="str"/>
      <x:c r="P154" s="43" t="str">
        <x:v>HIGH</x:v>
      </x:c>
      <x:c r="Q154" s="53" t="n">
        <x:f>COUNTIF('Vendor Options'!$B$2:$B$284,A154)</x:f>
        <x:v>1</x:v>
      </x:c>
      <x:c r="R154" s="53" t="n">
        <x:f>COUNTA(_xlfn.UNIQUE(_xlfn._xlws.FILTER('Vendor Options'!$C$2:$C$284,'Vendor Options'!$B$2:$B$284=A154)))</x:f>
        <x:v>1</x:v>
      </x:c>
      <x:c r="S154" s="53" t="n">
        <x:f>COUNTIFS('Vendor Options'!$B$2:$B$284,A154,'Vendor Options'!$P$2:$P$284,"PRICED")</x:f>
        <x:v>1</x:v>
      </x:c>
      <x:c r="T154" s="53" t="n">
        <x:f>COUNTIFS('Vendor Options'!$B$2:$B$284,A154,'Vendor Options'!$Q$2:$Q$284,"ACTIVE")</x:f>
        <x:v>0</x:v>
      </x:c>
      <x:c r="U154" s="54" t="n">
        <x:f>IF(S154=0,"",MIN(_xlfn._xlws.FILTER('Vendor Options'!$N$2:$N$284,('Vendor Options'!$B$2:$B$284=A154)*('Vendor Options'!$P$2:$P$284="PRICED"))))</x:f>
        <x:v>1219</x:v>
      </x:c>
      <x:c r="V154" s="54" t="n">
        <x:f>IF(S154=0,"",MAXIFS('Vendor Options'!$N$2:$N$284,'Vendor Options'!$B$2:$B$284,A154,'Vendor Options'!$P$2:$P$284,"PRICED"))</x:f>
        <x:v>1219</x:v>
      </x:c>
      <x:c r="W154" s="43" t="str">
        <x:f>IF(P154="REVIEW","REVIEW",IF(T154=0,"REVIEW",IF(S154=0,"NEEDS PRICE","READY")))</x:f>
        <x:v>REVIEW</x:v>
      </x:c>
    </x:row>
    <x:row r="155" ht="15" hidden="0" customHeight="1">
      <x:c r="A155" s="43" t="str">
        <x:v>SPEC-17E12F75ACF6</x:v>
      </x:c>
      <x:c r="B155" s="43" t="str">
        <x:v>PANIC TRIM</x:v>
      </x:c>
      <x:c r="C155" s="43" t="str">
        <x:v>LEVER ESCUTCHEON TRIM</x:v>
      </x:c>
      <x:c r="D155" s="43" t="str">
        <x:v>RIM</x:v>
      </x:c>
      <x:c r="E155" s="43" t="str">
        <x:v>KEY LOCKS / UNLOCKS LEVER</x:v>
      </x:c>
      <x:c r="F155" s="43" t="str">
        <x:v>STANDARD</x:v>
      </x:c>
      <x:c r="G155" s="43" t="str"/>
      <x:c r="H155" s="43" t="str"/>
      <x:c r="I155" s="43" t="str"/>
      <x:c r="J155" s="43" t="str"/>
      <x:c r="K155" s="43" t="str"/>
      <x:c r="L155" s="43" t="str"/>
      <x:c r="M155" s="43" t="str">
        <x:v>630</x:v>
      </x:c>
      <x:c r="N155" s="43" t="str"/>
      <x:c r="O155" s="43" t="str"/>
      <x:c r="P155" s="43" t="str">
        <x:v>HIGH</x:v>
      </x:c>
      <x:c r="Q155" s="53" t="n">
        <x:f>COUNTIF('Vendor Options'!$B$2:$B$284,A155)</x:f>
        <x:v>2</x:v>
      </x:c>
      <x:c r="R155" s="53" t="n">
        <x:f>COUNTA(_xlfn.UNIQUE(_xlfn._xlws.FILTER('Vendor Options'!$C$2:$C$284,'Vendor Options'!$B$2:$B$284=A155)))</x:f>
        <x:v>2</x:v>
      </x:c>
      <x:c r="S155" s="53" t="n">
        <x:f>COUNTIFS('Vendor Options'!$B$2:$B$284,A155,'Vendor Options'!$P$2:$P$284,"PRICED")</x:f>
        <x:v>2</x:v>
      </x:c>
      <x:c r="T155" s="53" t="n">
        <x:f>COUNTIFS('Vendor Options'!$B$2:$B$284,A155,'Vendor Options'!$Q$2:$Q$284,"ACTIVE")</x:f>
        <x:v>0</x:v>
      </x:c>
      <x:c r="U155" s="54" t="n">
        <x:f>IF(S155=0,"",MIN(_xlfn._xlws.FILTER('Vendor Options'!$N$2:$N$284,('Vendor Options'!$B$2:$B$284=A155)*('Vendor Options'!$P$2:$P$284="PRICED"))))</x:f>
        <x:v>857</x:v>
      </x:c>
      <x:c r="V155" s="54" t="n">
        <x:f>IF(S155=0,"",MAXIFS('Vendor Options'!$N$2:$N$284,'Vendor Options'!$B$2:$B$284,A155,'Vendor Options'!$P$2:$P$284,"PRICED"))</x:f>
        <x:v>1250</x:v>
      </x:c>
      <x:c r="W155" s="43" t="str">
        <x:f>IF(P155="REVIEW","REVIEW",IF(T155=0,"REVIEW",IF(S155=0,"NEEDS PRICE","READY")))</x:f>
        <x:v>REVIEW</x:v>
      </x:c>
    </x:row>
    <x:row r="156" ht="15" hidden="0" customHeight="1">
      <x:c r="A156" s="43" t="str">
        <x:v>SPEC-895F5591D942</x:v>
      </x:c>
      <x:c r="B156" s="43" t="str">
        <x:v>PANIC TRIM</x:v>
      </x:c>
      <x:c r="C156" s="43" t="str">
        <x:v>LEVER ESCUTCHEON TRIM</x:v>
      </x:c>
      <x:c r="D156" s="43" t="str">
        <x:v>RIM</x:v>
      </x:c>
      <x:c r="E156" s="43" t="str">
        <x:v>KEY RETRACTS LATCH</x:v>
      </x:c>
      <x:c r="F156" s="43" t="str">
        <x:v>STANDARD</x:v>
      </x:c>
      <x:c r="G156" s="43" t="str"/>
      <x:c r="H156" s="43" t="str"/>
      <x:c r="I156" s="43" t="str"/>
      <x:c r="J156" s="43" t="str"/>
      <x:c r="K156" s="43" t="str"/>
      <x:c r="L156" s="43" t="str"/>
      <x:c r="M156" s="43" t="str">
        <x:v>630</x:v>
      </x:c>
      <x:c r="N156" s="43" t="str"/>
      <x:c r="O156" s="43" t="str"/>
      <x:c r="P156" s="43" t="str">
        <x:v>HIGH</x:v>
      </x:c>
      <x:c r="Q156" s="53" t="n">
        <x:f>COUNTIF('Vendor Options'!$B$2:$B$284,A156)</x:f>
        <x:v>2</x:v>
      </x:c>
      <x:c r="R156" s="53" t="n">
        <x:f>COUNTA(_xlfn.UNIQUE(_xlfn._xlws.FILTER('Vendor Options'!$C$2:$C$284,'Vendor Options'!$B$2:$B$284=A156)))</x:f>
        <x:v>2</x:v>
      </x:c>
      <x:c r="S156" s="53" t="n">
        <x:f>COUNTIFS('Vendor Options'!$B$2:$B$284,A156,'Vendor Options'!$P$2:$P$284,"PRICED")</x:f>
        <x:v>2</x:v>
      </x:c>
      <x:c r="T156" s="53" t="n">
        <x:f>COUNTIFS('Vendor Options'!$B$2:$B$284,A156,'Vendor Options'!$Q$2:$Q$284,"ACTIVE")</x:f>
        <x:v>0</x:v>
      </x:c>
      <x:c r="U156" s="54" t="n">
        <x:f>IF(S156=0,"",MIN(_xlfn._xlws.FILTER('Vendor Options'!$N$2:$N$284,('Vendor Options'!$B$2:$B$284=A156)*('Vendor Options'!$P$2:$P$284="PRICED"))))</x:f>
        <x:v>733</x:v>
      </x:c>
      <x:c r="V156" s="54" t="n">
        <x:f>IF(S156=0,"",MAXIFS('Vendor Options'!$N$2:$N$284,'Vendor Options'!$B$2:$B$284,A156,'Vendor Options'!$P$2:$P$284,"PRICED"))</x:f>
        <x:v>1250</x:v>
      </x:c>
      <x:c r="W156" s="43" t="str">
        <x:f>IF(P156="REVIEW","REVIEW",IF(T156=0,"REVIEW",IF(S156=0,"NEEDS PRICE","READY")))</x:f>
        <x:v>REVIEW</x:v>
      </x:c>
    </x:row>
    <x:row r="157" ht="15" hidden="0" customHeight="1">
      <x:c r="A157" s="43" t="str">
        <x:v>SPEC-AAC9EDB8AAE5</x:v>
      </x:c>
      <x:c r="B157" s="43" t="str">
        <x:v>PANIC TRIM</x:v>
      </x:c>
      <x:c r="C157" s="43" t="str">
        <x:v>PULL TRIM WITH CYLINDER</x:v>
      </x:c>
      <x:c r="D157" s="43" t="str">
        <x:v>MORTISE</x:v>
      </x:c>
      <x:c r="E157" s="43" t="str">
        <x:v>KEY RETRACTS LATCH</x:v>
      </x:c>
      <x:c r="F157" s="43" t="str">
        <x:v>STANDARD</x:v>
      </x:c>
      <x:c r="G157" s="43" t="str"/>
      <x:c r="H157" s="43" t="str"/>
      <x:c r="I157" s="43" t="str"/>
      <x:c r="J157" s="43" t="str"/>
      <x:c r="K157" s="43" t="str"/>
      <x:c r="L157" s="43" t="str"/>
      <x:c r="M157" s="43" t="str">
        <x:v>630</x:v>
      </x:c>
      <x:c r="N157" s="43" t="str"/>
      <x:c r="O157" s="43" t="str"/>
      <x:c r="P157" s="43" t="str">
        <x:v>HIGH</x:v>
      </x:c>
      <x:c r="Q157" s="53" t="n">
        <x:f>COUNTIF('Vendor Options'!$B$2:$B$284,A157)</x:f>
        <x:v>2</x:v>
      </x:c>
      <x:c r="R157" s="53" t="n">
        <x:f>COUNTA(_xlfn.UNIQUE(_xlfn._xlws.FILTER('Vendor Options'!$C$2:$C$284,'Vendor Options'!$B$2:$B$284=A157)))</x:f>
        <x:v>2</x:v>
      </x:c>
      <x:c r="S157" s="53" t="n">
        <x:f>COUNTIFS('Vendor Options'!$B$2:$B$284,A157,'Vendor Options'!$P$2:$P$284,"PRICED")</x:f>
        <x:v>2</x:v>
      </x:c>
      <x:c r="T157" s="53" t="n">
        <x:f>COUNTIFS('Vendor Options'!$B$2:$B$284,A157,'Vendor Options'!$Q$2:$Q$284,"ACTIVE")</x:f>
        <x:v>0</x:v>
      </x:c>
      <x:c r="U157" s="54" t="n">
        <x:f>IF(S157=0,"",MIN(_xlfn._xlws.FILTER('Vendor Options'!$N$2:$N$284,('Vendor Options'!$B$2:$B$284=A157)*('Vendor Options'!$P$2:$P$284="PRICED"))))</x:f>
        <x:v>467</x:v>
      </x:c>
      <x:c r="V157" s="54" t="n">
        <x:f>IF(S157=0,"",MAXIFS('Vendor Options'!$N$2:$N$284,'Vendor Options'!$B$2:$B$284,A157,'Vendor Options'!$P$2:$P$284,"PRICED"))</x:f>
        <x:v>1000</x:v>
      </x:c>
      <x:c r="W157" s="43" t="str">
        <x:f>IF(P157="REVIEW","REVIEW",IF(T157=0,"REVIEW",IF(S157=0,"NEEDS PRICE","READY")))</x:f>
        <x:v>REVIEW</x:v>
      </x:c>
    </x:row>
    <x:row r="158" ht="15" hidden="0" customHeight="1">
      <x:c r="A158" s="43" t="str">
        <x:v>SPEC-09F181C9FAEA</x:v>
      </x:c>
      <x:c r="B158" s="43" t="str">
        <x:v>PANIC TRIM</x:v>
      </x:c>
      <x:c r="C158" s="43" t="str">
        <x:v>PULL TRIM WITH CYLINDER</x:v>
      </x:c>
      <x:c r="D158" s="43" t="str">
        <x:v>RIM</x:v>
      </x:c>
      <x:c r="E158" s="43" t="str"/>
      <x:c r="F158" s="43" t="str">
        <x:v>SFIC</x:v>
      </x:c>
      <x:c r="G158" s="43" t="str"/>
      <x:c r="H158" s="43" t="str"/>
      <x:c r="I158" s="43" t="str"/>
      <x:c r="J158" s="43" t="str"/>
      <x:c r="K158" s="43" t="str"/>
      <x:c r="L158" s="43" t="str"/>
      <x:c r="M158" s="43" t="str">
        <x:v>316</x:v>
      </x:c>
      <x:c r="N158" s="43" t="str"/>
      <x:c r="O158" s="43" t="str"/>
      <x:c r="P158" s="43" t="str">
        <x:v>MEDIUM</x:v>
      </x:c>
      <x:c r="Q158" s="53" t="n">
        <x:f>COUNTIF('Vendor Options'!$B$2:$B$284,A158)</x:f>
        <x:v>1</x:v>
      </x:c>
      <x:c r="R158" s="53" t="n">
        <x:f>COUNTA(_xlfn.UNIQUE(_xlfn._xlws.FILTER('Vendor Options'!$C$2:$C$284,'Vendor Options'!$B$2:$B$284=A158)))</x:f>
        <x:v>1</x:v>
      </x:c>
      <x:c r="S158" s="53" t="n">
        <x:f>COUNTIFS('Vendor Options'!$B$2:$B$284,A158,'Vendor Options'!$P$2:$P$284,"PRICED")</x:f>
        <x:v>1</x:v>
      </x:c>
      <x:c r="T158" s="53" t="n">
        <x:f>COUNTIFS('Vendor Options'!$B$2:$B$284,A158,'Vendor Options'!$Q$2:$Q$284,"ACTIVE")</x:f>
        <x:v>1</x:v>
      </x:c>
      <x:c r="U158" s="54" t="n">
        <x:f>IF(S158=0,"",MIN(_xlfn._xlws.FILTER('Vendor Options'!$N$2:$N$284,('Vendor Options'!$B$2:$B$284=A158)*('Vendor Options'!$P$2:$P$284="PRICED"))))</x:f>
        <x:v>466.9</x:v>
      </x:c>
      <x:c r="V158" s="54" t="n">
        <x:f>IF(S158=0,"",MAXIFS('Vendor Options'!$N$2:$N$284,'Vendor Options'!$B$2:$B$284,A158,'Vendor Options'!$P$2:$P$284,"PRICED"))</x:f>
        <x:v>466.9</x:v>
      </x:c>
      <x:c r="W158" s="43" t="str">
        <x:f>IF(P158="REVIEW","REVIEW",IF(T158=0,"REVIEW",IF(S158=0,"NEEDS PRICE","READY")))</x:f>
        <x:v>READY</x:v>
      </x:c>
    </x:row>
    <x:row r="159" ht="15" hidden="0" customHeight="1">
      <x:c r="A159" s="43" t="str">
        <x:v>SPEC-B1360CC941DC</x:v>
      </x:c>
      <x:c r="B159" s="43" t="str">
        <x:v>PANIC TRIM</x:v>
      </x:c>
      <x:c r="C159" s="43" t="str">
        <x:v>PULL TRIM WITH CYLINDER</x:v>
      </x:c>
      <x:c r="D159" s="43" t="str">
        <x:v>RIM</x:v>
      </x:c>
      <x:c r="E159" s="43" t="str"/>
      <x:c r="F159" s="43" t="str">
        <x:v>STANDARD</x:v>
      </x:c>
      <x:c r="G159" s="43" t="str"/>
      <x:c r="H159" s="43" t="str"/>
      <x:c r="I159" s="43" t="str"/>
      <x:c r="J159" s="43" t="str"/>
      <x:c r="K159" s="43" t="str"/>
      <x:c r="L159" s="43" t="str"/>
      <x:c r="M159" s="43" t="str">
        <x:v>630</x:v>
      </x:c>
      <x:c r="N159" s="43" t="str"/>
      <x:c r="O159" s="43" t="str"/>
      <x:c r="P159" s="43" t="str">
        <x:v>MEDIUM</x:v>
      </x:c>
      <x:c r="Q159" s="53" t="n">
        <x:f>COUNTIF('Vendor Options'!$B$2:$B$284,A159)</x:f>
        <x:v>2</x:v>
      </x:c>
      <x:c r="R159" s="53" t="n">
        <x:f>COUNTA(_xlfn.UNIQUE(_xlfn._xlws.FILTER('Vendor Options'!$C$2:$C$284,'Vendor Options'!$B$2:$B$284=A159)))</x:f>
        <x:v>1</x:v>
      </x:c>
      <x:c r="S159" s="53" t="n">
        <x:f>COUNTIFS('Vendor Options'!$B$2:$B$284,A159,'Vendor Options'!$P$2:$P$284,"PRICED")</x:f>
        <x:v>2</x:v>
      </x:c>
      <x:c r="T159" s="53" t="n">
        <x:f>COUNTIFS('Vendor Options'!$B$2:$B$284,A159,'Vendor Options'!$Q$2:$Q$284,"ACTIVE")</x:f>
        <x:v>2</x:v>
      </x:c>
      <x:c r="U159" s="54" t="n">
        <x:f>IF(S159=0,"",MIN(_xlfn._xlws.FILTER('Vendor Options'!$N$2:$N$284,('Vendor Options'!$B$2:$B$284=A159)*('Vendor Options'!$P$2:$P$284="PRICED"))))</x:f>
        <x:v>136.65</x:v>
      </x:c>
      <x:c r="V159" s="54" t="n">
        <x:f>IF(S159=0,"",MAXIFS('Vendor Options'!$N$2:$N$284,'Vendor Options'!$B$2:$B$284,A159,'Vendor Options'!$P$2:$P$284,"PRICED"))</x:f>
        <x:v>204.55</x:v>
      </x:c>
      <x:c r="W159" s="43" t="str">
        <x:f>IF(P159="REVIEW","REVIEW",IF(T159=0,"REVIEW",IF(S159=0,"NEEDS PRICE","READY")))</x:f>
        <x:v>READY</x:v>
      </x:c>
    </x:row>
    <x:row r="160" ht="15" hidden="0" customHeight="1">
      <x:c r="A160" s="43" t="str">
        <x:v>SPEC-8F99897C5F18</x:v>
      </x:c>
      <x:c r="B160" s="43" t="str">
        <x:v>PANIC TRIM</x:v>
      </x:c>
      <x:c r="C160" s="43" t="str">
        <x:v>PULL TRIM WITH CYLINDER</x:v>
      </x:c>
      <x:c r="D160" s="43" t="str">
        <x:v>RIM</x:v>
      </x:c>
      <x:c r="E160" s="43" t="str">
        <x:v>KEY RETRACTS LATCH</x:v>
      </x:c>
      <x:c r="F160" s="43" t="str">
        <x:v>STANDARD</x:v>
      </x:c>
      <x:c r="G160" s="43" t="str"/>
      <x:c r="H160" s="43" t="str"/>
      <x:c r="I160" s="43" t="str"/>
      <x:c r="J160" s="43" t="str"/>
      <x:c r="K160" s="43" t="str"/>
      <x:c r="L160" s="43" t="str"/>
      <x:c r="M160" s="43" t="str">
        <x:v>630</x:v>
      </x:c>
      <x:c r="N160" s="43" t="str"/>
      <x:c r="O160" s="43" t="str"/>
      <x:c r="P160" s="43" t="str">
        <x:v>HIGH</x:v>
      </x:c>
      <x:c r="Q160" s="53" t="n">
        <x:f>COUNTIF('Vendor Options'!$B$2:$B$284,A160)</x:f>
        <x:v>2</x:v>
      </x:c>
      <x:c r="R160" s="53" t="n">
        <x:f>COUNTA(_xlfn.UNIQUE(_xlfn._xlws.FILTER('Vendor Options'!$C$2:$C$284,'Vendor Options'!$B$2:$B$284=A160)))</x:f>
        <x:v>2</x:v>
      </x:c>
      <x:c r="S160" s="53" t="n">
        <x:f>COUNTIFS('Vendor Options'!$B$2:$B$284,A160,'Vendor Options'!$P$2:$P$284,"PRICED")</x:f>
        <x:v>2</x:v>
      </x:c>
      <x:c r="T160" s="53" t="n">
        <x:f>COUNTIFS('Vendor Options'!$B$2:$B$284,A160,'Vendor Options'!$Q$2:$Q$284,"ACTIVE")</x:f>
        <x:v>0</x:v>
      </x:c>
      <x:c r="U160" s="54" t="n">
        <x:f>IF(S160=0,"",MIN(_xlfn._xlws.FILTER('Vendor Options'!$N$2:$N$284,('Vendor Options'!$B$2:$B$284=A160)*('Vendor Options'!$P$2:$P$284="PRICED"))))</x:f>
        <x:v>467</x:v>
      </x:c>
      <x:c r="V160" s="54" t="n">
        <x:f>IF(S160=0,"",MAXIFS('Vendor Options'!$N$2:$N$284,'Vendor Options'!$B$2:$B$284,A160,'Vendor Options'!$P$2:$P$284,"PRICED"))</x:f>
        <x:v>1000</x:v>
      </x:c>
      <x:c r="W160" s="43" t="str">
        <x:f>IF(P160="REVIEW","REVIEW",IF(T160=0,"REVIEW",IF(S160=0,"NEEDS PRICE","READY")))</x:f>
        <x:v>REVIEW</x:v>
      </x:c>
    </x:row>
    <x:row r="161" ht="15" hidden="0" customHeight="1">
      <x:c r="A161" s="43" t="str">
        <x:v>SPEC-BF967A9B6B97</x:v>
      </x:c>
      <x:c r="B161" s="43" t="str">
        <x:v>PANIC TRIM</x:v>
      </x:c>
      <x:c r="C161" s="43" t="str">
        <x:v>THUMBPIECE PULL TRIM</x:v>
      </x:c>
      <x:c r="D161" s="43" t="str">
        <x:v>MORTISE</x:v>
      </x:c>
      <x:c r="E161" s="43" t="str">
        <x:v>KEY LOCKS / UNLOCKS THUMBPIECE</x:v>
      </x:c>
      <x:c r="F161" s="43" t="str">
        <x:v>STANDARD</x:v>
      </x:c>
      <x:c r="G161" s="43" t="str"/>
      <x:c r="H161" s="43" t="str"/>
      <x:c r="I161" s="43" t="str"/>
      <x:c r="J161" s="43" t="str"/>
      <x:c r="K161" s="43" t="str"/>
      <x:c r="L161" s="43" t="str"/>
      <x:c r="M161" s="43" t="str">
        <x:v>630</x:v>
      </x:c>
      <x:c r="N161" s="43" t="str"/>
      <x:c r="O161" s="43" t="str"/>
      <x:c r="P161" s="43" t="str">
        <x:v>HIGH</x:v>
      </x:c>
      <x:c r="Q161" s="53" t="n">
        <x:f>COUNTIF('Vendor Options'!$B$2:$B$284,A161)</x:f>
        <x:v>2</x:v>
      </x:c>
      <x:c r="R161" s="53" t="n">
        <x:f>COUNTA(_xlfn.UNIQUE(_xlfn._xlws.FILTER('Vendor Options'!$C$2:$C$284,'Vendor Options'!$B$2:$B$284=A161)))</x:f>
        <x:v>2</x:v>
      </x:c>
      <x:c r="S161" s="53" t="n">
        <x:f>COUNTIFS('Vendor Options'!$B$2:$B$284,A161,'Vendor Options'!$P$2:$P$284,"PRICED")</x:f>
        <x:v>2</x:v>
      </x:c>
      <x:c r="T161" s="53" t="n">
        <x:f>COUNTIFS('Vendor Options'!$B$2:$B$284,A161,'Vendor Options'!$Q$2:$Q$284,"ACTIVE")</x:f>
        <x:v>0</x:v>
      </x:c>
      <x:c r="U161" s="54" t="n">
        <x:f>IF(S161=0,"",MIN(_xlfn._xlws.FILTER('Vendor Options'!$N$2:$N$284,('Vendor Options'!$B$2:$B$284=A161)*('Vendor Options'!$P$2:$P$284="PRICED"))))</x:f>
        <x:v>467</x:v>
      </x:c>
      <x:c r="V161" s="54" t="n">
        <x:f>IF(S161=0,"",MAXIFS('Vendor Options'!$N$2:$N$284,'Vendor Options'!$B$2:$B$284,A161,'Vendor Options'!$P$2:$P$284,"PRICED"))</x:f>
        <x:v>1250</x:v>
      </x:c>
      <x:c r="W161" s="43" t="str">
        <x:f>IF(P161="REVIEW","REVIEW",IF(T161=0,"REVIEW",IF(S161=0,"NEEDS PRICE","READY")))</x:f>
        <x:v>REVIEW</x:v>
      </x:c>
    </x:row>
    <x:row r="162" ht="15" hidden="0" customHeight="1">
      <x:c r="A162" s="43" t="str">
        <x:v>SPEC-4E844C1A94F7</x:v>
      </x:c>
      <x:c r="B162" s="43" t="str">
        <x:v>PANIC TRIM</x:v>
      </x:c>
      <x:c r="C162" s="43" t="str">
        <x:v>THUMBPIECE PULL TRIM</x:v>
      </x:c>
      <x:c r="D162" s="43" t="str">
        <x:v>MORTISE</x:v>
      </x:c>
      <x:c r="E162" s="43" t="str">
        <x:v>KEY RETRACTS LATCH</x:v>
      </x:c>
      <x:c r="F162" s="43" t="str">
        <x:v>STANDARD</x:v>
      </x:c>
      <x:c r="G162" s="43" t="str"/>
      <x:c r="H162" s="43" t="str"/>
      <x:c r="I162" s="43" t="str"/>
      <x:c r="J162" s="43" t="str"/>
      <x:c r="K162" s="43" t="str"/>
      <x:c r="L162" s="43" t="str"/>
      <x:c r="M162" s="43" t="str">
        <x:v>630</x:v>
      </x:c>
      <x:c r="N162" s="43" t="str"/>
      <x:c r="O162" s="43" t="str"/>
      <x:c r="P162" s="43" t="str">
        <x:v>HIGH</x:v>
      </x:c>
      <x:c r="Q162" s="53" t="n">
        <x:f>COUNTIF('Vendor Options'!$B$2:$B$284,A162)</x:f>
        <x:v>2</x:v>
      </x:c>
      <x:c r="R162" s="53" t="n">
        <x:f>COUNTA(_xlfn.UNIQUE(_xlfn._xlws.FILTER('Vendor Options'!$C$2:$C$284,'Vendor Options'!$B$2:$B$284=A162)))</x:f>
        <x:v>2</x:v>
      </x:c>
      <x:c r="S162" s="53" t="n">
        <x:f>COUNTIFS('Vendor Options'!$B$2:$B$284,A162,'Vendor Options'!$P$2:$P$284,"PRICED")</x:f>
        <x:v>2</x:v>
      </x:c>
      <x:c r="T162" s="53" t="n">
        <x:f>COUNTIFS('Vendor Options'!$B$2:$B$284,A162,'Vendor Options'!$Q$2:$Q$284,"ACTIVE")</x:f>
        <x:v>0</x:v>
      </x:c>
      <x:c r="U162" s="54" t="n">
        <x:f>IF(S162=0,"",MIN(_xlfn._xlws.FILTER('Vendor Options'!$N$2:$N$284,('Vendor Options'!$B$2:$B$284=A162)*('Vendor Options'!$P$2:$P$284="PRICED"))))</x:f>
        <x:v>443</x:v>
      </x:c>
      <x:c r="V162" s="54" t="n">
        <x:f>IF(S162=0,"",MAXIFS('Vendor Options'!$N$2:$N$284,'Vendor Options'!$B$2:$B$284,A162,'Vendor Options'!$P$2:$P$284,"PRICED"))</x:f>
        <x:v>1000</x:v>
      </x:c>
      <x:c r="W162" s="43" t="str">
        <x:f>IF(P162="REVIEW","REVIEW",IF(T162=0,"REVIEW",IF(S162=0,"NEEDS PRICE","READY")))</x:f>
        <x:v>REVIEW</x:v>
      </x:c>
    </x:row>
    <x:row r="163" ht="15" hidden="0" customHeight="1">
      <x:c r="A163" s="43" t="str">
        <x:v>SPEC-573D87063710</x:v>
      </x:c>
      <x:c r="B163" s="43" t="str">
        <x:v>PANIC TRIM</x:v>
      </x:c>
      <x:c r="C163" s="43" t="str">
        <x:v>THUMBPIECE PULL TRIM</x:v>
      </x:c>
      <x:c r="D163" s="43" t="str">
        <x:v>RIM</x:v>
      </x:c>
      <x:c r="E163" s="43" t="str">
        <x:v>KEY LOCKS / UNLOCKS THUMBPIECE</x:v>
      </x:c>
      <x:c r="F163" s="43" t="str">
        <x:v>STANDARD</x:v>
      </x:c>
      <x:c r="G163" s="43" t="str"/>
      <x:c r="H163" s="43" t="str"/>
      <x:c r="I163" s="43" t="str"/>
      <x:c r="J163" s="43" t="str"/>
      <x:c r="K163" s="43" t="str"/>
      <x:c r="L163" s="43" t="str"/>
      <x:c r="M163" s="43" t="str">
        <x:v>630</x:v>
      </x:c>
      <x:c r="N163" s="43" t="str"/>
      <x:c r="O163" s="43" t="str"/>
      <x:c r="P163" s="43" t="str">
        <x:v>HIGH</x:v>
      </x:c>
      <x:c r="Q163" s="53" t="n">
        <x:f>COUNTIF('Vendor Options'!$B$2:$B$284,A163)</x:f>
        <x:v>2</x:v>
      </x:c>
      <x:c r="R163" s="53" t="n">
        <x:f>COUNTA(_xlfn.UNIQUE(_xlfn._xlws.FILTER('Vendor Options'!$C$2:$C$284,'Vendor Options'!$B$2:$B$284=A163)))</x:f>
        <x:v>2</x:v>
      </x:c>
      <x:c r="S163" s="53" t="n">
        <x:f>COUNTIFS('Vendor Options'!$B$2:$B$284,A163,'Vendor Options'!$P$2:$P$284,"PRICED")</x:f>
        <x:v>2</x:v>
      </x:c>
      <x:c r="T163" s="53" t="n">
        <x:f>COUNTIFS('Vendor Options'!$B$2:$B$284,A163,'Vendor Options'!$Q$2:$Q$284,"ACTIVE")</x:f>
        <x:v>0</x:v>
      </x:c>
      <x:c r="U163" s="54" t="n">
        <x:f>IF(S163=0,"",MIN(_xlfn._xlws.FILTER('Vendor Options'!$N$2:$N$284,('Vendor Options'!$B$2:$B$284=A163)*('Vendor Options'!$P$2:$P$284="PRICED"))))</x:f>
        <x:v>467</x:v>
      </x:c>
      <x:c r="V163" s="54" t="n">
        <x:f>IF(S163=0,"",MAXIFS('Vendor Options'!$N$2:$N$284,'Vendor Options'!$B$2:$B$284,A163,'Vendor Options'!$P$2:$P$284,"PRICED"))</x:f>
        <x:v>1250</x:v>
      </x:c>
      <x:c r="W163" s="43" t="str">
        <x:f>IF(P163="REVIEW","REVIEW",IF(T163=0,"REVIEW",IF(S163=0,"NEEDS PRICE","READY")))</x:f>
        <x:v>REVIEW</x:v>
      </x:c>
    </x:row>
    <x:row r="164" ht="15" hidden="0" customHeight="1">
      <x:c r="A164" s="44" t="str">
        <x:v>SPEC-A097D4F851FA</x:v>
      </x:c>
      <x:c r="B164" s="44" t="str">
        <x:v>PANIC TRIM</x:v>
      </x:c>
      <x:c r="C164" s="44" t="str">
        <x:v>THUMBPIECE PULL TRIM</x:v>
      </x:c>
      <x:c r="D164" s="44" t="str">
        <x:v>RIM</x:v>
      </x:c>
      <x:c r="E164" s="44" t="str">
        <x:v>KEY RETRACTS LATCH</x:v>
      </x:c>
      <x:c r="F164" s="44" t="str">
        <x:v>STANDARD</x:v>
      </x:c>
      <x:c r="G164" s="44" t="str"/>
      <x:c r="H164" s="44" t="str"/>
      <x:c r="I164" s="44" t="str"/>
      <x:c r="J164" s="44" t="str"/>
      <x:c r="K164" s="44" t="str"/>
      <x:c r="L164" s="44" t="str"/>
      <x:c r="M164" s="44" t="str">
        <x:v>630</x:v>
      </x:c>
      <x:c r="N164" s="44" t="str"/>
      <x:c r="O164" s="44" t="str"/>
      <x:c r="P164" s="44" t="str">
        <x:v>HIGH</x:v>
      </x:c>
      <x:c r="Q164" s="55" t="n">
        <x:f>COUNTIF('Vendor Options'!$B$2:$B$284,A164)</x:f>
        <x:v>2</x:v>
      </x:c>
      <x:c r="R164" s="55" t="n">
        <x:f>COUNTA(_xlfn.UNIQUE(_xlfn._xlws.FILTER('Vendor Options'!$C$2:$C$284,'Vendor Options'!$B$2:$B$284=A164)))</x:f>
        <x:v>2</x:v>
      </x:c>
      <x:c r="S164" s="55" t="n">
        <x:f>COUNTIFS('Vendor Options'!$B$2:$B$284,A164,'Vendor Options'!$P$2:$P$284,"PRICED")</x:f>
        <x:v>2</x:v>
      </x:c>
      <x:c r="T164" s="55" t="n">
        <x:f>COUNTIFS('Vendor Options'!$B$2:$B$284,A164,'Vendor Options'!$Q$2:$Q$284,"ACTIVE")</x:f>
        <x:v>0</x:v>
      </x:c>
      <x:c r="U164" s="56" t="n">
        <x:f>IF(S164=0,"",MIN(_xlfn._xlws.FILTER('Vendor Options'!$N$2:$N$284,('Vendor Options'!$B$2:$B$284=A164)*('Vendor Options'!$P$2:$P$284="PRICED"))))</x:f>
        <x:v>443</x:v>
      </x:c>
      <x:c r="V164" s="56" t="n">
        <x:f>IF(S164=0,"",MAXIFS('Vendor Options'!$N$2:$N$284,'Vendor Options'!$B$2:$B$284,A164,'Vendor Options'!$P$2:$P$284,"PRICED"))</x:f>
        <x:v>1000</x:v>
      </x:c>
      <x:c r="W164" s="44" t="str">
        <x:f>IF(P164="REVIEW","REVIEW",IF(T164=0,"REVIEW",IF(S164=0,"NEEDS PRICE","READY")))</x:f>
        <x:v>REVIEW</x:v>
      </x:c>
    </x:row>
  </x:sheetData>
  <x:conditionalFormatting sqref="P2:P164">
    <x:cfRule type="containsText" dxfId="0" priority="1" operator="containsText" text="REVIEW"/>
  </x:conditionalFormatting>
  <x:conditionalFormatting sqref="W2:W164">
    <x:cfRule type="containsText" dxfId="1" priority="2" operator="containsText" text="READY"/>
    <x:cfRule type="containsText" dxfId="2" priority="3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ded73a6111194f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7" hidden="0" customWidth="1"/>
    <x:col min="4" max="4" width="25" hidden="0" customWidth="1"/>
    <x:col min="5" max="5" width="30" hidden="0" customWidth="1"/>
    <x:col min="6" max="6" width="20" hidden="0" customWidth="1"/>
    <x:col min="7" max="7" width="25" hidden="0" customWidth="1"/>
    <x:col min="8" max="8" width="48" hidden="0" customWidth="1"/>
    <x:col min="9" max="9" width="24" hidden="0" customWidth="1"/>
    <x:col min="10" max="10" width="14" hidden="0" customWidth="1"/>
    <x:col min="11" max="11" width="16" hidden="0" customWidth="1"/>
    <x:col min="12" max="12" width="13" hidden="0" customWidth="1"/>
    <x:col min="13" max="13" width="13" hidden="0" customWidth="1"/>
    <x:col min="14" max="14" width="14" hidden="0" customWidth="1"/>
    <x:col min="15" max="15" width="10" hidden="0" customWidth="1"/>
    <x:col min="16" max="16" width="14" hidden="0" customWidth="1"/>
    <x:col min="17" max="17" width="14" hidden="0" customWidth="1"/>
    <x:col min="18" max="18" width="42" hidden="0" customWidth="1"/>
    <x:col min="19" max="19" width="12" hidden="0" customWidth="1"/>
  </x:cols>
  <x:sheetData>
    <x:row r="1" ht="34" hidden="0" customHeight="1">
      <x:c r="A1" s="34" t="str">
        <x:v>Offer_ID</x:v>
      </x:c>
      <x:c r="B1" s="34" t="str">
        <x:v>Spec_ID</x:v>
      </x:c>
      <x:c r="C1" s="34" t="str">
        <x:v>Manufacturer_Vendor</x:v>
      </x:c>
      <x:c r="D1" s="34" t="str">
        <x:v>Vendor_Series</x:v>
      </x:c>
      <x:c r="E1" s="34" t="str">
        <x:v>Vendor_Model</x:v>
      </x:c>
      <x:c r="F1" s="34" t="str">
        <x:v>Vendor_Function_Code</x:v>
      </x:c>
      <x:c r="G1" s="34" t="str">
        <x:v>Manufacturer_Part_Number</x:v>
      </x:c>
      <x:c r="H1" s="34" t="str">
        <x:v>Product_Description_Raw</x:v>
      </x:c>
      <x:c r="I1" s="34" t="str">
        <x:v>Customer_Part_Number</x:v>
      </x:c>
      <x:c r="J1" s="34" t="str">
        <x:v>List_Price</x:v>
      </x:c>
      <x:c r="K1" s="34" t="str">
        <x:v>Discount_Raw</x:v>
      </x:c>
      <x:c r="L1" s="34" t="str">
        <x:v>Discount_1</x:v>
      </x:c>
      <x:c r="M1" s="34" t="str">
        <x:v>Discount_2</x:v>
      </x:c>
      <x:c r="N1" s="34" t="str">
        <x:v>Net_Price</x:v>
      </x:c>
      <x:c r="O1" s="34" t="str">
        <x:v>Currency</x:v>
      </x:c>
      <x:c r="P1" s="34" t="str">
        <x:v>Price_Status</x:v>
      </x:c>
      <x:c r="Q1" s="34" t="str">
        <x:v>Data_Status</x:v>
      </x:c>
      <x:c r="R1" s="34" t="str">
        <x:v>QA_Flags</x:v>
      </x:c>
      <x:c r="S1" s="34" t="str">
        <x:v>Source_Row</x:v>
      </x:c>
    </x:row>
    <x:row r="2" ht="15" hidden="0" customHeight="1">
      <x:c r="A2" t="str">
        <x:v>OFFER-6A4FD294BC25</x:v>
      </x:c>
      <x:c r="B2" t="str">
        <x:v>SPEC-E002DFF25150</x:v>
      </x:c>
      <x:c r="C2" t="str">
        <x:v>DH</x:v>
      </x:c>
      <x:c r="D2" t="str">
        <x:v>116</x:v>
      </x:c>
      <x:c r="E2" t="str">
        <x:v>116 NON HO</x:v>
      </x:c>
      <x:c r="F2" t="str"/>
      <x:c r="G2" t="str">
        <x:v>78000691</x:v>
      </x:c>
      <x:c r="H2" t="str">
        <x:v>78000691 - 116 Door Closer</x:v>
      </x:c>
      <x:c r="I2" t="str"/>
      <x:c r="J2" s="54"/>
      <x:c r="K2" t="str"/>
      <x:c r="L2" s="57"/>
      <x:c r="M2" s="57"/>
      <x:c r="N2" s="54" t="str">
        <x:f>IF(J2="","",J2*(1-IF(L2="",0,L2))*(1-IF(M2="",0,M2)))</x:f>
      </x:c>
      <x:c r="O2" t="str">
        <x:v>USD</x:v>
      </x:c>
      <x:c r="P2" t="str">
        <x:f>IF(J2="","UNPRICED","PRICED")</x:f>
        <x:v>UNPRICED</x:v>
      </x:c>
      <x:c r="Q2" t="str">
        <x:f>IF(OR(ISNUMBER(SEARCH("MISSING_VENDOR",R2)),ISNUMBER(SEARCH("MISSING_PART_NUMBER",R2)),ISNUMBER(SEARCH("PLACEHOLDER_PART_NUMBER",R2)),ISNUMBER(SEARCH("MISSING_REQUIRED_SPEC",R2)),ISNUMBER(SEARCH("PART_NUMBER_CONFLICT",R2)),ISNUMBER(SEARCH("SIZE_PART_MISMATCH",R2)),ISNUMBER(SEARCH("POSSIBLE_PRICE_OUTLIER",R2))),"REVIEW","ACTIVE")</x:f>
        <x:v>ACTIVE</x:v>
      </x:c>
      <x:c r="R2" t="str">
        <x:v>MISSING_PRICE</x:v>
      </x:c>
      <x:c r="S2" t="n">
        <x:v>47</x:v>
      </x:c>
    </x:row>
    <x:row r="3" ht="15" hidden="0" customHeight="1">
      <x:c r="A3" t="str">
        <x:v>OFFER-1020E6CB214F</x:v>
      </x:c>
      <x:c r="B3" t="str">
        <x:v>SPEC-D20D6C31AF5E</x:v>
      </x:c>
      <x:c r="C3" t="str">
        <x:v>DH</x:v>
      </x:c>
      <x:c r="D3" t="str">
        <x:v>316</x:v>
      </x:c>
      <x:c r="E3" t="str">
        <x:v>316 NON HO</x:v>
      </x:c>
      <x:c r="F3" t="str"/>
      <x:c r="G3" t="str">
        <x:v>78000738</x:v>
      </x:c>
      <x:c r="H3" t="str">
        <x:v>78000738 - 316 Door Closer (size 1-6)</x:v>
      </x:c>
      <x:c r="I3" t="str"/>
      <x:c r="J3" s="54"/>
      <x:c r="K3" t="str"/>
      <x:c r="L3" s="57"/>
      <x:c r="M3" s="57"/>
      <x:c r="N3" s="54" t="str">
        <x:f>IF(J3="","",J3*(1-IF(L3="",0,L3))*(1-IF(M3="",0,M3)))</x:f>
      </x:c>
      <x:c r="O3" t="str">
        <x:v>USD</x:v>
      </x:c>
      <x:c r="P3" t="str">
        <x:f>IF(J3="","UNPRICED","PRICED")</x:f>
        <x:v>UNPRICED</x:v>
      </x:c>
      <x:c r="Q3" t="str">
        <x:f>IF(OR(ISNUMBER(SEARCH("MISSING_VENDOR",R3)),ISNUMBER(SEARCH("MISSING_PART_NUMBER",R3)),ISNUMBER(SEARCH("PLACEHOLDER_PART_NUMBER",R3)),ISNUMBER(SEARCH("MISSING_REQUIRED_SPEC",R3)),ISNUMBER(SEARCH("PART_NUMBER_CONFLICT",R3)),ISNUMBER(SEARCH("SIZE_PART_MISMATCH",R3)),ISNUMBER(SEARCH("POSSIBLE_PRICE_OUTLIER",R3))),"REVIEW","ACTIVE")</x:f>
        <x:v>ACTIVE</x:v>
      </x:c>
      <x:c r="R3" t="str">
        <x:v>MISSING_PRICE</x:v>
      </x:c>
      <x:c r="S3" t="n">
        <x:v>45</x:v>
      </x:c>
    </x:row>
    <x:row r="4" ht="15" hidden="0" customHeight="1">
      <x:c r="A4" t="str">
        <x:v>OFFER-B893CCBA816C</x:v>
      </x:c>
      <x:c r="B4" t="str">
        <x:v>SPEC-34F37FF68132</x:v>
      </x:c>
      <x:c r="C4" t="str">
        <x:v>DH</x:v>
      </x:c>
      <x:c r="D4" t="str">
        <x:v>416</x:v>
      </x:c>
      <x:c r="E4" t="str">
        <x:v>416 NON_HO</x:v>
      </x:c>
      <x:c r="F4" t="str"/>
      <x:c r="G4" t="str">
        <x:v>78000015</x:v>
      </x:c>
      <x:c r="H4" t="str">
        <x:v>78000015 - 416 Door Closer (size 1-6)</x:v>
      </x:c>
      <x:c r="I4" t="str"/>
      <x:c r="J4" s="54"/>
      <x:c r="K4" t="str"/>
      <x:c r="L4" s="57"/>
      <x:c r="M4" s="57"/>
      <x:c r="N4" s="54" t="str">
        <x:f>IF(J4="","",J4*(1-IF(L4="",0,L4))*(1-IF(M4="",0,M4)))</x:f>
      </x:c>
      <x:c r="O4" t="str">
        <x:v>USD</x:v>
      </x:c>
      <x:c r="P4" t="str">
        <x:f>IF(J4="","UNPRICED","PRICED")</x:f>
        <x:v>UNPRICED</x:v>
      </x:c>
      <x:c r="Q4" t="str">
        <x:f>IF(OR(ISNUMBER(SEARCH("MISSING_VENDOR",R4)),ISNUMBER(SEARCH("MISSING_PART_NUMBER",R4)),ISNUMBER(SEARCH("PLACEHOLDER_PART_NUMBER",R4)),ISNUMBER(SEARCH("MISSING_REQUIRED_SPEC",R4)),ISNUMBER(SEARCH("PART_NUMBER_CONFLICT",R4)),ISNUMBER(SEARCH("SIZE_PART_MISMATCH",R4)),ISNUMBER(SEARCH("POSSIBLE_PRICE_OUTLIER",R4))),"REVIEW","ACTIVE")</x:f>
        <x:v>ACTIVE</x:v>
      </x:c>
      <x:c r="R4" t="str">
        <x:v>MISSING_PRICE</x:v>
      </x:c>
      <x:c r="S4" t="n">
        <x:v>43</x:v>
      </x:c>
    </x:row>
    <x:row r="5" ht="15" hidden="0" customHeight="1">
      <x:c r="A5" t="str">
        <x:v>OFFER-0D44C1292383</x:v>
      </x:c>
      <x:c r="B5" t="str">
        <x:v>SPEC-83B89DDE240B</x:v>
      </x:c>
      <x:c r="C5" t="str">
        <x:v>DK</x:v>
      </x:c>
      <x:c r="D5" t="str">
        <x:v>8616-DS-NFHD</x:v>
      </x:c>
      <x:c r="E5" t="str">
        <x:v>NO HO CUSH</x:v>
      </x:c>
      <x:c r="F5" t="str"/>
      <x:c r="G5" t="str">
        <x:v>8616-*-DS-*-FC-SN2-DPK89-NFHD-689</x:v>
      </x:c>
      <x:c r="H5" t="str">
        <x:v>8616-*-DS-*-FC-SN2-DPK89-NFHD-689</x:v>
      </x:c>
      <x:c r="I5" t="str"/>
      <x:c r="J5" s="54"/>
      <x:c r="K5" t="str"/>
      <x:c r="L5" s="57"/>
      <x:c r="M5" s="57"/>
      <x:c r="N5" s="54" t="str">
        <x:f>IF(J5="","",J5*(1-IF(L5="",0,L5))*(1-IF(M5="",0,M5)))</x:f>
      </x:c>
      <x:c r="O5" t="str">
        <x:v>USD</x:v>
      </x:c>
      <x:c r="P5" t="str">
        <x:f>IF(J5="","UNPRICED","PRICED")</x:f>
        <x:v>UNPRICED</x:v>
      </x:c>
      <x:c r="Q5" t="str">
        <x:f>IF(OR(ISNUMBER(SEARCH("MISSING_VENDOR",R5)),ISNUMBER(SEARCH("MISSING_PART_NUMBER",R5)),ISNUMBER(SEARCH("PLACEHOLDER_PART_NUMBER",R5)),ISNUMBER(SEARCH("MISSING_REQUIRED_SPEC",R5)),ISNUMBER(SEARCH("PART_NUMBER_CONFLICT",R5)),ISNUMBER(SEARCH("SIZE_PART_MISMATCH",R5)),ISNUMBER(SEARCH("POSSIBLE_PRICE_OUTLIER",R5))),"REVIEW","ACTIVE")</x:f>
        <x:v>ACTIVE</x:v>
      </x:c>
      <x:c r="R5" t="str">
        <x:v>MISSING_PRICE</x:v>
      </x:c>
      <x:c r="S5" t="n">
        <x:v>63</x:v>
      </x:c>
    </x:row>
    <x:row r="6" ht="15" hidden="0" customHeight="1">
      <x:c r="A6" t="str">
        <x:v>OFFER-8B64EEF3FD8A</x:v>
      </x:c>
      <x:c r="B6" t="str">
        <x:v>SPEC-454350D47BF8</x:v>
      </x:c>
      <x:c r="C6" t="str">
        <x:v>DK</x:v>
      </x:c>
      <x:c r="D6" t="str">
        <x:v>8616-DS</x:v>
      </x:c>
      <x:c r="E6" t="str">
        <x:v>NO HO CUSH</x:v>
      </x:c>
      <x:c r="F6" t="str"/>
      <x:c r="G6" t="str">
        <x:v>8616-*-DS-*-FC-SN2-DPK89-*-689</x:v>
      </x:c>
      <x:c r="H6" t="str">
        <x:v>8616-*-DS-*-FC-SN2-DPK89-*-689</x:v>
      </x:c>
      <x:c r="I6" t="str"/>
      <x:c r="J6" s="54"/>
      <x:c r="K6" t="str"/>
      <x:c r="L6" s="57"/>
      <x:c r="M6" s="57"/>
      <x:c r="N6" s="54" t="str">
        <x:f>IF(J6="","",J6*(1-IF(L6="",0,L6))*(1-IF(M6="",0,M6)))</x:f>
      </x:c>
      <x:c r="O6" t="str">
        <x:v>USD</x:v>
      </x:c>
      <x:c r="P6" t="str">
        <x:f>IF(J6="","UNPRICED","PRICED")</x:f>
        <x:v>UNPRICED</x:v>
      </x:c>
      <x:c r="Q6" t="str">
        <x:f>IF(OR(ISNUMBER(SEARCH("MISSING_VENDOR",R6)),ISNUMBER(SEARCH("MISSING_PART_NUMBER",R6)),ISNUMBER(SEARCH("PLACEHOLDER_PART_NUMBER",R6)),ISNUMBER(SEARCH("MISSING_REQUIRED_SPEC",R6)),ISNUMBER(SEARCH("PART_NUMBER_CONFLICT",R6)),ISNUMBER(SEARCH("SIZE_PART_MISMATCH",R6)),ISNUMBER(SEARCH("POSSIBLE_PRICE_OUTLIER",R6))),"REVIEW","ACTIVE")</x:f>
        <x:v>ACTIVE</x:v>
      </x:c>
      <x:c r="R6" t="str">
        <x:v>MISSING_PRICE</x:v>
      </x:c>
      <x:c r="S6" t="n">
        <x:v>62</x:v>
      </x:c>
    </x:row>
    <x:row r="7" ht="15" hidden="0" customHeight="1">
      <x:c r="A7" t="str">
        <x:v>OFFER-976262EECFE2</x:v>
      </x:c>
      <x:c r="B7" t="str">
        <x:v>SPEC-83B89DDE240B</x:v>
      </x:c>
      <x:c r="C7" t="str">
        <x:v>DK</x:v>
      </x:c>
      <x:c r="D7" t="str">
        <x:v>8616-DST_NFHD</x:v>
      </x:c>
      <x:c r="E7" t="str">
        <x:v>HO CUSH</x:v>
      </x:c>
      <x:c r="F7" t="str"/>
      <x:c r="G7" t="str">
        <x:v>8616-*-DST-*-FC-SN2-DPK89-NFHD-689</x:v>
      </x:c>
      <x:c r="H7" t="str">
        <x:v>8616-*-DST-*-FC-SN2-DPK89-NFHD-689</x:v>
      </x:c>
      <x:c r="I7" t="str"/>
      <x:c r="J7" s="54"/>
      <x:c r="K7" t="str"/>
      <x:c r="L7" s="57"/>
      <x:c r="M7" s="57"/>
      <x:c r="N7" s="54" t="str">
        <x:f>IF(J7="","",J7*(1-IF(L7="",0,L7))*(1-IF(M7="",0,M7)))</x:f>
      </x:c>
      <x:c r="O7" t="str">
        <x:v>USD</x:v>
      </x:c>
      <x:c r="P7" t="str">
        <x:f>IF(J7="","UNPRICED","PRICED")</x:f>
        <x:v>UNPRICED</x:v>
      </x:c>
      <x:c r="Q7" t="str">
        <x:f>IF(OR(ISNUMBER(SEARCH("MISSING_VENDOR",R7)),ISNUMBER(SEARCH("MISSING_PART_NUMBER",R7)),ISNUMBER(SEARCH("PLACEHOLDER_PART_NUMBER",R7)),ISNUMBER(SEARCH("MISSING_REQUIRED_SPEC",R7)),ISNUMBER(SEARCH("PART_NUMBER_CONFLICT",R7)),ISNUMBER(SEARCH("SIZE_PART_MISMATCH",R7)),ISNUMBER(SEARCH("POSSIBLE_PRICE_OUTLIER",R7))),"REVIEW","ACTIVE")</x:f>
        <x:v>ACTIVE</x:v>
      </x:c>
      <x:c r="R7" t="str">
        <x:v>MISSING_PRICE</x:v>
      </x:c>
      <x:c r="S7" t="n">
        <x:v>65</x:v>
      </x:c>
    </x:row>
    <x:row r="8" ht="15" hidden="0" customHeight="1">
      <x:c r="A8" t="str">
        <x:v>OFFER-F0E707FCCF47</x:v>
      </x:c>
      <x:c r="B8" t="str">
        <x:v>SPEC-454350D47BF8</x:v>
      </x:c>
      <x:c r="C8" t="str">
        <x:v>DK</x:v>
      </x:c>
      <x:c r="D8" t="str">
        <x:v>8616-DST</x:v>
      </x:c>
      <x:c r="E8" t="str">
        <x:v>HO CUSH</x:v>
      </x:c>
      <x:c r="F8" t="str"/>
      <x:c r="G8" t="str">
        <x:v>8616-*-DST-*-FC-SN2-DPK89-*-689</x:v>
      </x:c>
      <x:c r="H8" t="str">
        <x:v>8616-*-DST-*-FC-SN2-DPK89-*-689</x:v>
      </x:c>
      <x:c r="I8" t="str"/>
      <x:c r="J8" s="54"/>
      <x:c r="K8" t="str"/>
      <x:c r="L8" s="57"/>
      <x:c r="M8" s="57"/>
      <x:c r="N8" s="54" t="str">
        <x:f>IF(J8="","",J8*(1-IF(L8="",0,L8))*(1-IF(M8="",0,M8)))</x:f>
      </x:c>
      <x:c r="O8" t="str">
        <x:v>USD</x:v>
      </x:c>
      <x:c r="P8" t="str">
        <x:f>IF(J8="","UNPRICED","PRICED")</x:f>
        <x:v>UNPRICED</x:v>
      </x:c>
      <x:c r="Q8" t="str">
        <x:f>IF(OR(ISNUMBER(SEARCH("MISSING_VENDOR",R8)),ISNUMBER(SEARCH("MISSING_PART_NUMBER",R8)),ISNUMBER(SEARCH("PLACEHOLDER_PART_NUMBER",R8)),ISNUMBER(SEARCH("MISSING_REQUIRED_SPEC",R8)),ISNUMBER(SEARCH("PART_NUMBER_CONFLICT",R8)),ISNUMBER(SEARCH("SIZE_PART_MISMATCH",R8)),ISNUMBER(SEARCH("POSSIBLE_PRICE_OUTLIER",R8))),"REVIEW","ACTIVE")</x:f>
        <x:v>ACTIVE</x:v>
      </x:c>
      <x:c r="R8" t="str">
        <x:v>MISSING_PRICE</x:v>
      </x:c>
      <x:c r="S8" t="n">
        <x:v>64</x:v>
      </x:c>
    </x:row>
    <x:row r="9" ht="15" hidden="0" customHeight="1">
      <x:c r="A9" t="str">
        <x:v>OFFER-1BBAF72D3C13</x:v>
      </x:c>
      <x:c r="B9" t="str">
        <x:v>SPEC-2F127E570436</x:v>
      </x:c>
      <x:c r="C9" t="str">
        <x:v>DK</x:v>
      </x:c>
      <x:c r="D9" t="str">
        <x:v>8616-NFHD</x:v>
      </x:c>
      <x:c r="E9" t="str">
        <x:v>REG ARM</x:v>
      </x:c>
      <x:c r="F9" t="str"/>
      <x:c r="G9" t="str">
        <x:v>8616-*-AF86-*-FC-SN2-DPK89-NFHD-689</x:v>
      </x:c>
      <x:c r="H9" t="str">
        <x:v>8616-*-AF86-*-FC-SN2-DPK89-NFHD-689</x:v>
      </x:c>
      <x:c r="I9" t="str"/>
      <x:c r="J9" s="54"/>
      <x:c r="K9" t="str"/>
      <x:c r="L9" s="57"/>
      <x:c r="M9" s="57"/>
      <x:c r="N9" s="54" t="str">
        <x:f>IF(J9="","",J9*(1-IF(L9="",0,L9))*(1-IF(M9="",0,M9)))</x:f>
      </x:c>
      <x:c r="O9" t="str">
        <x:v>USD</x:v>
      </x:c>
      <x:c r="P9" t="str">
        <x:f>IF(J9="","UNPRICED","PRICED")</x:f>
        <x:v>UNPRICED</x:v>
      </x:c>
      <x:c r="Q9" t="str">
        <x:f>IF(OR(ISNUMBER(SEARCH("MISSING_VENDOR",R9)),ISNUMBER(SEARCH("MISSING_PART_NUMBER",R9)),ISNUMBER(SEARCH("PLACEHOLDER_PART_NUMBER",R9)),ISNUMBER(SEARCH("MISSING_REQUIRED_SPEC",R9)),ISNUMBER(SEARCH("PART_NUMBER_CONFLICT",R9)),ISNUMBER(SEARCH("SIZE_PART_MISMATCH",R9)),ISNUMBER(SEARCH("POSSIBLE_PRICE_OUTLIER",R9))),"REVIEW","ACTIVE")</x:f>
        <x:v>ACTIVE</x:v>
      </x:c>
      <x:c r="R9" t="str">
        <x:v>MISSING_PRICE</x:v>
      </x:c>
      <x:c r="S9" t="n">
        <x:v>61</x:v>
      </x:c>
    </x:row>
    <x:row r="10" ht="15" hidden="0" customHeight="1">
      <x:c r="A10" t="str">
        <x:v>OFFER-4DA036D9F56F</x:v>
      </x:c>
      <x:c r="B10" t="str">
        <x:v>SPEC-68878C8F942A</x:v>
      </x:c>
      <x:c r="C10" t="str">
        <x:v>DK</x:v>
      </x:c>
      <x:c r="D10" t="str">
        <x:v>8616</x:v>
      </x:c>
      <x:c r="E10" t="str">
        <x:v>REG ARM</x:v>
      </x:c>
      <x:c r="F10" t="str"/>
      <x:c r="G10" t="str">
        <x:v>8616-*-AF86-*-FC-SN2-DPK89-*-689</x:v>
      </x:c>
      <x:c r="H10" t="str">
        <x:v>8616-*-AF86-*-FC-SN2-DPK89-*-689</x:v>
      </x:c>
      <x:c r="I10" t="str"/>
      <x:c r="J10" s="54"/>
      <x:c r="K10" t="str"/>
      <x:c r="L10" s="57"/>
      <x:c r="M10" s="57"/>
      <x:c r="N10" s="54" t="str">
        <x:f>IF(J10="","",J10*(1-IF(L10="",0,L10))*(1-IF(M10="",0,M10)))</x:f>
      </x:c>
      <x:c r="O10" t="str">
        <x:v>USD</x:v>
      </x:c>
      <x:c r="P10" t="str">
        <x:f>IF(J10="","UNPRICED","PRICED")</x:f>
        <x:v>UNPRICED</x:v>
      </x:c>
      <x:c r="Q10" t="str">
        <x:f>IF(OR(ISNUMBER(SEARCH("MISSING_VENDOR",R10)),ISNUMBER(SEARCH("MISSING_PART_NUMBER",R10)),ISNUMBER(SEARCH("PLACEHOLDER_PART_NUMBER",R10)),ISNUMBER(SEARCH("MISSING_REQUIRED_SPEC",R10)),ISNUMBER(SEARCH("PART_NUMBER_CONFLICT",R10)),ISNUMBER(SEARCH("SIZE_PART_MISMATCH",R10)),ISNUMBER(SEARCH("POSSIBLE_PRICE_OUTLIER",R10))),"REVIEW","ACTIVE")</x:f>
        <x:v>ACTIVE</x:v>
      </x:c>
      <x:c r="R10" t="str">
        <x:v>MISSING_PRICE</x:v>
      </x:c>
      <x:c r="S10" t="n">
        <x:v>60</x:v>
      </x:c>
    </x:row>
    <x:row r="11" ht="15" hidden="0" customHeight="1">
      <x:c r="A11" t="str">
        <x:v>OFFER-317FD5B0AF83</x:v>
      </x:c>
      <x:c r="B11" t="str">
        <x:v>SPEC-BB70F917EE11</x:v>
      </x:c>
      <x:c r="C11" t="str">
        <x:v>DK</x:v>
      </x:c>
      <x:c r="D11" t="str">
        <x:v>8916-DS-NFHD</x:v>
      </x:c>
      <x:c r="E11" t="str">
        <x:v>NO HOLD CUSH</x:v>
      </x:c>
      <x:c r="F11" t="str"/>
      <x:c r="G11" t="str">
        <x:v>8916-*-AF89-*-FC-SN2-DPK89-NFHD-689</x:v>
      </x:c>
      <x:c r="H11" t="str">
        <x:v>8916-*-AF89-*-FC-SN2-DPK89-NFHD-689</x:v>
      </x:c>
      <x:c r="I11" t="str"/>
      <x:c r="J11" s="54"/>
      <x:c r="K11" t="str"/>
      <x:c r="L11" s="57"/>
      <x:c r="M11" s="57"/>
      <x:c r="N11" s="54" t="str">
        <x:f>IF(J11="","",J11*(1-IF(L11="",0,L11))*(1-IF(M11="",0,M11)))</x:f>
      </x:c>
      <x:c r="O11" t="str">
        <x:v>USD</x:v>
      </x:c>
      <x:c r="P11" t="str">
        <x:f>IF(J11="","UNPRICED","PRICED")</x:f>
        <x:v>UNPRICED</x:v>
      </x:c>
      <x:c r="Q11" t="str">
        <x:f>IF(OR(ISNUMBER(SEARCH("MISSING_VENDOR",R11)),ISNUMBER(SEARCH("MISSING_PART_NUMBER",R11)),ISNUMBER(SEARCH("PLACEHOLDER_PART_NUMBER",R11)),ISNUMBER(SEARCH("MISSING_REQUIRED_SPEC",R11)),ISNUMBER(SEARCH("PART_NUMBER_CONFLICT",R11)),ISNUMBER(SEARCH("SIZE_PART_MISMATCH",R11)),ISNUMBER(SEARCH("POSSIBLE_PRICE_OUTLIER",R11))),"REVIEW","ACTIVE")</x:f>
        <x:v>REVIEW</x:v>
      </x:c>
      <x:c r="R11" t="str">
        <x:v>MISSING_PRICE; PART_NUMBER_CONFLICT</x:v>
      </x:c>
      <x:c r="S11" t="n">
        <x:v>56</x:v>
      </x:c>
    </x:row>
    <x:row r="12" ht="15" hidden="0" customHeight="1">
      <x:c r="A12" t="str">
        <x:v>OFFER-0436672F6ED0</x:v>
      </x:c>
      <x:c r="B12" t="str">
        <x:v>SPEC-ACD801228BB0</x:v>
      </x:c>
      <x:c r="C12" t="str">
        <x:v>DK</x:v>
      </x:c>
      <x:c r="D12" t="str">
        <x:v>8916-DS</x:v>
      </x:c>
      <x:c r="E12" t="str">
        <x:v>NO HOLD CUSH</x:v>
      </x:c>
      <x:c r="F12" t="str"/>
      <x:c r="G12" t="str">
        <x:v>8916-*-DS-*-FC-SN2-DPK89-NFHD-689</x:v>
      </x:c>
      <x:c r="H12" t="str">
        <x:v>8916-*-DS-*-FC-SN2-DPK89-NFHD-689</x:v>
      </x:c>
      <x:c r="I12" t="str"/>
      <x:c r="J12" s="54"/>
      <x:c r="K12" t="str"/>
      <x:c r="L12" s="57"/>
      <x:c r="M12" s="57"/>
      <x:c r="N12" s="54" t="str">
        <x:f>IF(J12="","",J12*(1-IF(L12="",0,L12))*(1-IF(M12="",0,M12)))</x:f>
      </x:c>
      <x:c r="O12" t="str">
        <x:v>USD</x:v>
      </x:c>
      <x:c r="P12" t="str">
        <x:f>IF(J12="","UNPRICED","PRICED")</x:f>
        <x:v>UNPRICED</x:v>
      </x:c>
      <x:c r="Q12" t="str">
        <x:f>IF(OR(ISNUMBER(SEARCH("MISSING_VENDOR",R12)),ISNUMBER(SEARCH("MISSING_PART_NUMBER",R12)),ISNUMBER(SEARCH("PLACEHOLDER_PART_NUMBER",R12)),ISNUMBER(SEARCH("MISSING_REQUIRED_SPEC",R12)),ISNUMBER(SEARCH("PART_NUMBER_CONFLICT",R12)),ISNUMBER(SEARCH("SIZE_PART_MISMATCH",R12)),ISNUMBER(SEARCH("POSSIBLE_PRICE_OUTLIER",R12))),"REVIEW","ACTIVE")</x:f>
        <x:v>ACTIVE</x:v>
      </x:c>
      <x:c r="R12" t="str">
        <x:v>MISSING_PRICE</x:v>
      </x:c>
      <x:c r="S12" t="n">
        <x:v>55</x:v>
      </x:c>
    </x:row>
    <x:row r="13" ht="15" hidden="0" customHeight="1">
      <x:c r="A13" t="str">
        <x:v>OFFER-FF50844A746B</x:v>
      </x:c>
      <x:c r="B13" t="str">
        <x:v>SPEC-84956FA5E7F7</x:v>
      </x:c>
      <x:c r="C13" t="str">
        <x:v>DK</x:v>
      </x:c>
      <x:c r="D13" t="str">
        <x:v>8916-DST_NFHD</x:v>
      </x:c>
      <x:c r="E13" t="str">
        <x:v>HO CUSH</x:v>
      </x:c>
      <x:c r="F13" t="str"/>
      <x:c r="G13" t="str">
        <x:v>8916-*-DST-*-FC-SN2-DPK89-NFHD-689</x:v>
      </x:c>
      <x:c r="H13" t="str">
        <x:v>8916-*-DST-*-FC-SN2-DPK89-NFHD-689</x:v>
      </x:c>
      <x:c r="I13" t="str"/>
      <x:c r="J13" s="54"/>
      <x:c r="K13" t="str"/>
      <x:c r="L13" s="57"/>
      <x:c r="M13" s="57"/>
      <x:c r="N13" s="54" t="str">
        <x:f>IF(J13="","",J13*(1-IF(L13="",0,L13))*(1-IF(M13="",0,M13)))</x:f>
      </x:c>
      <x:c r="O13" t="str">
        <x:v>USD</x:v>
      </x:c>
      <x:c r="P13" t="str">
        <x:f>IF(J13="","UNPRICED","PRICED")</x:f>
        <x:v>UNPRICED</x:v>
      </x:c>
      <x:c r="Q13" t="str">
        <x:f>IF(OR(ISNUMBER(SEARCH("MISSING_VENDOR",R13)),ISNUMBER(SEARCH("MISSING_PART_NUMBER",R13)),ISNUMBER(SEARCH("PLACEHOLDER_PART_NUMBER",R13)),ISNUMBER(SEARCH("MISSING_REQUIRED_SPEC",R13)),ISNUMBER(SEARCH("PART_NUMBER_CONFLICT",R13)),ISNUMBER(SEARCH("SIZE_PART_MISMATCH",R13)),ISNUMBER(SEARCH("POSSIBLE_PRICE_OUTLIER",R13))),"REVIEW","ACTIVE")</x:f>
        <x:v>ACTIVE</x:v>
      </x:c>
      <x:c r="R13" t="str">
        <x:v>MISSING_PRICE</x:v>
      </x:c>
      <x:c r="S13" t="n">
        <x:v>58</x:v>
      </x:c>
    </x:row>
    <x:row r="14" ht="15" hidden="0" customHeight="1">
      <x:c r="A14" t="str">
        <x:v>OFFER-CD8B6902C50E</x:v>
      </x:c>
      <x:c r="B14" t="str">
        <x:v>SPEC-31B6EA026CF7</x:v>
      </x:c>
      <x:c r="C14" t="str">
        <x:v>DK</x:v>
      </x:c>
      <x:c r="D14" t="str">
        <x:v>8916-DST</x:v>
      </x:c>
      <x:c r="E14" t="str">
        <x:v>HO CUSH</x:v>
      </x:c>
      <x:c r="F14" t="str"/>
      <x:c r="G14" t="str">
        <x:v>8916-*-DST-*-FC-SN2-DPK89-*-689</x:v>
      </x:c>
      <x:c r="H14" t="str">
        <x:v>8916-*-DST-*-FC-SN2-DPK89-*-689</x:v>
      </x:c>
      <x:c r="I14" t="str"/>
      <x:c r="J14" s="54"/>
      <x:c r="K14" t="str"/>
      <x:c r="L14" s="57"/>
      <x:c r="M14" s="57"/>
      <x:c r="N14" s="54" t="str">
        <x:f>IF(J14="","",J14*(1-IF(L14="",0,L14))*(1-IF(M14="",0,M14)))</x:f>
      </x:c>
      <x:c r="O14" t="str">
        <x:v>USD</x:v>
      </x:c>
      <x:c r="P14" t="str">
        <x:f>IF(J14="","UNPRICED","PRICED")</x:f>
        <x:v>UNPRICED</x:v>
      </x:c>
      <x:c r="Q14" t="str">
        <x:f>IF(OR(ISNUMBER(SEARCH("MISSING_VENDOR",R14)),ISNUMBER(SEARCH("MISSING_PART_NUMBER",R14)),ISNUMBER(SEARCH("PLACEHOLDER_PART_NUMBER",R14)),ISNUMBER(SEARCH("MISSING_REQUIRED_SPEC",R14)),ISNUMBER(SEARCH("PART_NUMBER_CONFLICT",R14)),ISNUMBER(SEARCH("SIZE_PART_MISMATCH",R14)),ISNUMBER(SEARCH("POSSIBLE_PRICE_OUTLIER",R14))),"REVIEW","ACTIVE")</x:f>
        <x:v>ACTIVE</x:v>
      </x:c>
      <x:c r="R14" t="str">
        <x:v>MISSING_PRICE</x:v>
      </x:c>
      <x:c r="S14" t="n">
        <x:v>57</x:v>
      </x:c>
    </x:row>
    <x:row r="15" ht="15" hidden="0" customHeight="1">
      <x:c r="A15" t="str">
        <x:v>OFFER-0A4F27CF4812</x:v>
      </x:c>
      <x:c r="B15" t="str">
        <x:v>SPEC-927A1E98A57A</x:v>
      </x:c>
      <x:c r="C15" t="str">
        <x:v>DK</x:v>
      </x:c>
      <x:c r="D15" t="str">
        <x:v>8916-NFHD</x:v>
      </x:c>
      <x:c r="E15" t="str">
        <x:v>REG ARM</x:v>
      </x:c>
      <x:c r="F15" t="str"/>
      <x:c r="G15" t="str">
        <x:v>8916-*-AF89-*-FC-SN2-DPK89-NFHD-689</x:v>
      </x:c>
      <x:c r="H15" t="str">
        <x:v>8916-*-AF89-*-FC-SN2-DPK89-NFHD-689</x:v>
      </x:c>
      <x:c r="I15" t="str"/>
      <x:c r="J15" s="54"/>
      <x:c r="K15" t="str"/>
      <x:c r="L15" s="57"/>
      <x:c r="M15" s="57"/>
      <x:c r="N15" s="54" t="str">
        <x:f>IF(J15="","",J15*(1-IF(L15="",0,L15))*(1-IF(M15="",0,M15)))</x:f>
      </x:c>
      <x:c r="O15" t="str">
        <x:v>USD</x:v>
      </x:c>
      <x:c r="P15" t="str">
        <x:f>IF(J15="","UNPRICED","PRICED")</x:f>
        <x:v>UNPRICED</x:v>
      </x:c>
      <x:c r="Q15" t="str">
        <x:f>IF(OR(ISNUMBER(SEARCH("MISSING_VENDOR",R15)),ISNUMBER(SEARCH("MISSING_PART_NUMBER",R15)),ISNUMBER(SEARCH("PLACEHOLDER_PART_NUMBER",R15)),ISNUMBER(SEARCH("MISSING_REQUIRED_SPEC",R15)),ISNUMBER(SEARCH("PART_NUMBER_CONFLICT",R15)),ISNUMBER(SEARCH("SIZE_PART_MISMATCH",R15)),ISNUMBER(SEARCH("POSSIBLE_PRICE_OUTLIER",R15))),"REVIEW","ACTIVE")</x:f>
        <x:v>REVIEW</x:v>
      </x:c>
      <x:c r="R15" t="str">
        <x:v>MISSING_PRICE; PART_NUMBER_CONFLICT</x:v>
      </x:c>
      <x:c r="S15" t="n">
        <x:v>54</x:v>
      </x:c>
    </x:row>
    <x:row r="16" ht="15" hidden="0" customHeight="1">
      <x:c r="A16" t="str">
        <x:v>OFFER-237D5F0EF0F7</x:v>
      </x:c>
      <x:c r="B16" t="str">
        <x:v>SPEC-5AD426F6A2C6</x:v>
      </x:c>
      <x:c r="C16" t="str">
        <x:v>DK</x:v>
      </x:c>
      <x:c r="D16" t="str">
        <x:v>8916</x:v>
      </x:c>
      <x:c r="E16" t="str">
        <x:v>REG ARM</x:v>
      </x:c>
      <x:c r="F16" t="str"/>
      <x:c r="G16" t="str">
        <x:v>8916-*-AF89-*-FC-*-DPK89-*-689</x:v>
      </x:c>
      <x:c r="H16" t="str">
        <x:v>8916-*-AF89-*-FC-*-DPK89-*-689</x:v>
      </x:c>
      <x:c r="I16" t="str"/>
      <x:c r="J16" s="54"/>
      <x:c r="K16" t="str"/>
      <x:c r="L16" s="57"/>
      <x:c r="M16" s="57"/>
      <x:c r="N16" s="54" t="str">
        <x:f>IF(J16="","",J16*(1-IF(L16="",0,L16))*(1-IF(M16="",0,M16)))</x:f>
      </x:c>
      <x:c r="O16" t="str">
        <x:v>USD</x:v>
      </x:c>
      <x:c r="P16" t="str">
        <x:f>IF(J16="","UNPRICED","PRICED")</x:f>
        <x:v>UNPRICED</x:v>
      </x:c>
      <x:c r="Q16" t="str">
        <x:f>IF(OR(ISNUMBER(SEARCH("MISSING_VENDOR",R16)),ISNUMBER(SEARCH("MISSING_PART_NUMBER",R16)),ISNUMBER(SEARCH("PLACEHOLDER_PART_NUMBER",R16)),ISNUMBER(SEARCH("MISSING_REQUIRED_SPEC",R16)),ISNUMBER(SEARCH("PART_NUMBER_CONFLICT",R16)),ISNUMBER(SEARCH("SIZE_PART_MISMATCH",R16)),ISNUMBER(SEARCH("POSSIBLE_PRICE_OUTLIER",R16))),"REVIEW","ACTIVE")</x:f>
        <x:v>ACTIVE</x:v>
      </x:c>
      <x:c r="R16" t="str">
        <x:v>MISSING_PRICE</x:v>
      </x:c>
      <x:c r="S16" t="n">
        <x:v>53</x:v>
      </x:c>
    </x:row>
    <x:row r="17" ht="15" hidden="0" customHeight="1">
      <x:c r="A17" t="str">
        <x:v>OFFER-78C39747F5FE</x:v>
      </x:c>
      <x:c r="B17" t="str">
        <x:v>SPEC-D20D6C31AF5E</x:v>
      </x:c>
      <x:c r="C17" t="str">
        <x:v>PHG</x:v>
      </x:c>
      <x:c r="D17" t="str">
        <x:v>6000</x:v>
      </x:c>
      <x:c r="E17" t="str">
        <x:v>6000</x:v>
      </x:c>
      <x:c r="F17" t="str"/>
      <x:c r="G17" t="str">
        <x:v>60DC689</x:v>
      </x:c>
      <x:c r="H17" t="str">
        <x:v>60DC689</x:v>
      </x:c>
      <x:c r="I17" t="str"/>
      <x:c r="J17" s="54" t="n">
        <x:v>126.64</x:v>
      </x:c>
      <x:c r="K17" t="str"/>
      <x:c r="L17" s="57"/>
      <x:c r="M17" s="57"/>
      <x:c r="N17" s="54" t="n">
        <x:f>IF(J17="","",J17*(1-IF(L17="",0,L17))*(1-IF(M17="",0,M17)))</x:f>
        <x:v>126.64</x:v>
      </x:c>
      <x:c r="O17" t="str">
        <x:v>USD</x:v>
      </x:c>
      <x:c r="P17" t="str">
        <x:f>IF(J17="","UNPRICED","PRICED")</x:f>
        <x:v>PRICED</x:v>
      </x:c>
      <x:c r="Q17" t="str">
        <x:f>IF(OR(ISNUMBER(SEARCH("MISSING_VENDOR",R17)),ISNUMBER(SEARCH("MISSING_PART_NUMBER",R17)),ISNUMBER(SEARCH("PLACEHOLDER_PART_NUMBER",R17)),ISNUMBER(SEARCH("MISSING_REQUIRED_SPEC",R17)),ISNUMBER(SEARCH("PART_NUMBER_CONFLICT",R17)),ISNUMBER(SEARCH("SIZE_PART_MISMATCH",R17)),ISNUMBER(SEARCH("POSSIBLE_PRICE_OUTLIER",R17))),"REVIEW","ACTIVE")</x:f>
        <x:v>ACTIVE</x:v>
      </x:c>
      <x:c r="R17" t="str"/>
      <x:c r="S17" t="n">
        <x:v>50</x:v>
      </x:c>
    </x:row>
    <x:row r="18" ht="15" hidden="0" customHeight="1">
      <x:c r="A18" t="str">
        <x:v>OFFER-8D67FBF3B952</x:v>
      </x:c>
      <x:c r="B18" t="str">
        <x:v>SPEC-D20D6C31AF5E</x:v>
      </x:c>
      <x:c r="C18" t="str">
        <x:v>PHG</x:v>
      </x:c>
      <x:c r="D18" t="str">
        <x:v>6000</x:v>
      </x:c>
      <x:c r="E18" t="str">
        <x:v>6000</x:v>
      </x:c>
      <x:c r="F18" t="str"/>
      <x:c r="G18" t="str">
        <x:v>60DC690</x:v>
      </x:c>
      <x:c r="H18" t="str">
        <x:v>60DC690</x:v>
      </x:c>
      <x:c r="I18" t="str"/>
      <x:c r="J18" s="54"/>
      <x:c r="K18" t="str"/>
      <x:c r="L18" s="57"/>
      <x:c r="M18" s="57"/>
      <x:c r="N18" s="54" t="str">
        <x:f>IF(J18="","",J18*(1-IF(L18="",0,L18))*(1-IF(M18="",0,M18)))</x:f>
      </x:c>
      <x:c r="O18" t="str">
        <x:v>USD</x:v>
      </x:c>
      <x:c r="P18" t="str">
        <x:f>IF(J18="","UNPRICED","PRICED")</x:f>
        <x:v>UNPRICED</x:v>
      </x:c>
      <x:c r="Q18" t="str">
        <x:f>IF(OR(ISNUMBER(SEARCH("MISSING_VENDOR",R18)),ISNUMBER(SEARCH("MISSING_PART_NUMBER",R18)),ISNUMBER(SEARCH("PLACEHOLDER_PART_NUMBER",R18)),ISNUMBER(SEARCH("MISSING_REQUIRED_SPEC",R18)),ISNUMBER(SEARCH("PART_NUMBER_CONFLICT",R18)),ISNUMBER(SEARCH("SIZE_PART_MISMATCH",R18)),ISNUMBER(SEARCH("POSSIBLE_PRICE_OUTLIER",R18))),"REVIEW","ACTIVE")</x:f>
        <x:v>ACTIVE</x:v>
      </x:c>
      <x:c r="R18" t="str">
        <x:v>MISSING_PRICE</x:v>
      </x:c>
      <x:c r="S18" t="n">
        <x:v>51</x:v>
      </x:c>
    </x:row>
    <x:row r="19" ht="15" hidden="0" customHeight="1">
      <x:c r="A19" t="str">
        <x:v>OFFER-0380400C1FB9</x:v>
      </x:c>
      <x:c r="B19" t="str">
        <x:v>SPEC-34F37FF68132</x:v>
      </x:c>
      <x:c r="C19" t="str">
        <x:v>PHG</x:v>
      </x:c>
      <x:c r="D19" t="str">
        <x:v>8000</x:v>
      </x:c>
      <x:c r="E19" t="str">
        <x:v>8000</x:v>
      </x:c>
      <x:c r="F19" t="str"/>
      <x:c r="G19" t="str">
        <x:v>80DC689</x:v>
      </x:c>
      <x:c r="H19" t="str">
        <x:v>80DC689</x:v>
      </x:c>
      <x:c r="I19" t="str"/>
      <x:c r="J19" s="54" t="n">
        <x:v>177.04</x:v>
      </x:c>
      <x:c r="K19" t="str"/>
      <x:c r="L19" s="57"/>
      <x:c r="M19" s="57"/>
      <x:c r="N19" s="54" t="n">
        <x:f>IF(J19="","",J19*(1-IF(L19="",0,L19))*(1-IF(M19="",0,M19)))</x:f>
        <x:v>177.04</x:v>
      </x:c>
      <x:c r="O19" t="str">
        <x:v>USD</x:v>
      </x:c>
      <x:c r="P19" t="str">
        <x:f>IF(J19="","UNPRICED","PRICED")</x:f>
        <x:v>PRICED</x:v>
      </x:c>
      <x:c r="Q19" t="str">
        <x:f>IF(OR(ISNUMBER(SEARCH("MISSING_VENDOR",R19)),ISNUMBER(SEARCH("MISSING_PART_NUMBER",R19)),ISNUMBER(SEARCH("PLACEHOLDER_PART_NUMBER",R19)),ISNUMBER(SEARCH("MISSING_REQUIRED_SPEC",R19)),ISNUMBER(SEARCH("PART_NUMBER_CONFLICT",R19)),ISNUMBER(SEARCH("SIZE_PART_MISMATCH",R19)),ISNUMBER(SEARCH("POSSIBLE_PRICE_OUTLIER",R19))),"REVIEW","ACTIVE")</x:f>
        <x:v>REVIEW</x:v>
      </x:c>
      <x:c r="R19" t="str">
        <x:v>PART_NUMBER_CONFLICT</x:v>
      </x:c>
      <x:c r="S19" t="n">
        <x:v>48</x:v>
      </x:c>
    </x:row>
    <x:row r="20" ht="15" hidden="0" customHeight="1">
      <x:c r="A20" t="str">
        <x:v>OFFER-D245A70B4EBF</x:v>
      </x:c>
      <x:c r="B20" t="str">
        <x:v>SPEC-34F37FF68132</x:v>
      </x:c>
      <x:c r="C20" t="str">
        <x:v>PHG</x:v>
      </x:c>
      <x:c r="D20" t="str">
        <x:v>8000</x:v>
      </x:c>
      <x:c r="E20" t="str">
        <x:v>8000</x:v>
      </x:c>
      <x:c r="F20" t="str"/>
      <x:c r="G20" t="str">
        <x:v>80DC689</x:v>
      </x:c>
      <x:c r="H20" t="str">
        <x:v>80DC689</x:v>
      </x:c>
      <x:c r="I20" t="str"/>
      <x:c r="J20" s="54" t="n">
        <x:v>122.72</x:v>
      </x:c>
      <x:c r="K20" t="str"/>
      <x:c r="L20" s="57"/>
      <x:c r="M20" s="57"/>
      <x:c r="N20" s="54" t="n">
        <x:f>IF(J20="","",J20*(1-IF(L20="",0,L20))*(1-IF(M20="",0,M20)))</x:f>
        <x:v>122.72</x:v>
      </x:c>
      <x:c r="O20" t="str">
        <x:v>USD</x:v>
      </x:c>
      <x:c r="P20" t="str">
        <x:f>IF(J20="","UNPRICED","PRICED")</x:f>
        <x:v>PRICED</x:v>
      </x:c>
      <x:c r="Q20" t="str">
        <x:f>IF(OR(ISNUMBER(SEARCH("MISSING_VENDOR",R20)),ISNUMBER(SEARCH("MISSING_PART_NUMBER",R20)),ISNUMBER(SEARCH("PLACEHOLDER_PART_NUMBER",R20)),ISNUMBER(SEARCH("MISSING_REQUIRED_SPEC",R20)),ISNUMBER(SEARCH("PART_NUMBER_CONFLICT",R20)),ISNUMBER(SEARCH("SIZE_PART_MISMATCH",R20)),ISNUMBER(SEARCH("POSSIBLE_PRICE_OUTLIER",R20))),"REVIEW","ACTIVE")</x:f>
        <x:v>REVIEW</x:v>
      </x:c>
      <x:c r="R20" t="str">
        <x:v>PART_NUMBER_CONFLICT</x:v>
      </x:c>
      <x:c r="S20" t="n">
        <x:v>49</x:v>
      </x:c>
    </x:row>
    <x:row r="21" ht="15" hidden="0" customHeight="1">
      <x:c r="A21" t="str">
        <x:v>OFFER-A9FA8C40E47A</x:v>
      </x:c>
      <x:c r="B21" t="str">
        <x:v>SPEC-B4C1DFD4E28A</x:v>
      </x:c>
      <x:c r="C21" t="str">
        <x:v>ABH</x:v>
      </x:c>
      <x:c r="D21" t="str">
        <x:v>9414</x:v>
      </x:c>
      <x:c r="E21" t="str">
        <x:v>SLIDE TRACK HOLD OPEN</x:v>
      </x:c>
      <x:c r="F21" t="str"/>
      <x:c r="G21" t="str"/>
      <x:c r="H21" t="str"/>
      <x:c r="I21" t="str"/>
      <x:c r="J21" s="54"/>
      <x:c r="K21" t="str"/>
      <x:c r="L21" s="57"/>
      <x:c r="M21" s="57"/>
      <x:c r="N21" s="54" t="str">
        <x:f>IF(J21="","",J21*(1-IF(L21="",0,L21))*(1-IF(M21="",0,M21)))</x:f>
      </x:c>
      <x:c r="O21" t="str">
        <x:v>USD</x:v>
      </x:c>
      <x:c r="P21" t="str">
        <x:f>IF(J21="","UNPRICED","PRICED")</x:f>
        <x:v>UNPRICED</x:v>
      </x:c>
      <x:c r="Q21" t="str">
        <x:f>IF(OR(ISNUMBER(SEARCH("MISSING_VENDOR",R21)),ISNUMBER(SEARCH("MISSING_PART_NUMBER",R21)),ISNUMBER(SEARCH("PLACEHOLDER_PART_NUMBER",R21)),ISNUMBER(SEARCH("MISSING_REQUIRED_SPEC",R21)),ISNUMBER(SEARCH("PART_NUMBER_CONFLICT",R21)),ISNUMBER(SEARCH("SIZE_PART_MISMATCH",R21)),ISNUMBER(SEARCH("POSSIBLE_PRICE_OUTLIER",R21))),"REVIEW","ACTIVE")</x:f>
        <x:v>REVIEW</x:v>
      </x:c>
      <x:c r="R21" t="str">
        <x:v>MISSING_PRICE; MISSING_PART_NUMBER</x:v>
      </x:c>
      <x:c r="S21" t="n">
        <x:v>67</x:v>
      </x:c>
    </x:row>
    <x:row r="22" ht="15" hidden="0" customHeight="1">
      <x:c r="A22" t="str">
        <x:v>OFFER-6F339B3F6213</x:v>
      </x:c>
      <x:c r="B22" t="str">
        <x:v>SPEC-7396E555AC12</x:v>
      </x:c>
      <x:c r="C22" t="str">
        <x:v>LCN</x:v>
      </x:c>
      <x:c r="D22" t="str">
        <x:v>1460</x:v>
      </x:c>
      <x:c r="E22" t="str">
        <x:v>1460 STD ARM</x:v>
      </x:c>
      <x:c r="F22" t="str"/>
      <x:c r="G22" t="str">
        <x:v>1461-RW/PA</x:v>
      </x:c>
      <x:c r="H22" t="str">
        <x:v>1461-RW/PA 689 TRIPAC</x:v>
      </x:c>
      <x:c r="I22" t="str"/>
      <x:c r="J22" s="54"/>
      <x:c r="K22" t="str"/>
      <x:c r="L22" s="57"/>
      <x:c r="M22" s="57"/>
      <x:c r="N22" s="54" t="str">
        <x:f>IF(J22="","",J22*(1-IF(L22="",0,L22))*(1-IF(M22="",0,M22)))</x:f>
      </x:c>
      <x:c r="O22" t="str">
        <x:v>USD</x:v>
      </x:c>
      <x:c r="P22" t="str">
        <x:f>IF(J22="","UNPRICED","PRICED")</x:f>
        <x:v>UNPRICED</x:v>
      </x:c>
      <x:c r="Q22" t="str">
        <x:f>IF(OR(ISNUMBER(SEARCH("MISSING_VENDOR",R22)),ISNUMBER(SEARCH("MISSING_PART_NUMBER",R22)),ISNUMBER(SEARCH("PLACEHOLDER_PART_NUMBER",R22)),ISNUMBER(SEARCH("MISSING_REQUIRED_SPEC",R22)),ISNUMBER(SEARCH("PART_NUMBER_CONFLICT",R22)),ISNUMBER(SEARCH("SIZE_PART_MISMATCH",R22)),ISNUMBER(SEARCH("POSSIBLE_PRICE_OUTLIER",R22))),"REVIEW","ACTIVE")</x:f>
        <x:v>ACTIVE</x:v>
      </x:c>
      <x:c r="R22" t="str">
        <x:v>MISSING_PRICE</x:v>
      </x:c>
      <x:c r="S22" t="n">
        <x:v>69</x:v>
      </x:c>
    </x:row>
    <x:row r="23" ht="15" hidden="0" customHeight="1">
      <x:c r="A23" t="str">
        <x:v>OFFER-5BC97D4E318D</x:v>
      </x:c>
      <x:c r="B23" t="str">
        <x:v>SPEC-F1DE3D632C62</x:v>
      </x:c>
      <x:c r="C23" t="str">
        <x:v>LCN</x:v>
      </x:c>
      <x:c r="D23" t="str">
        <x:v>1460</x:v>
      </x:c>
      <x:c r="E23" t="str">
        <x:v>1460 HO ARM</x:v>
      </x:c>
      <x:c r="F23" t="str"/>
      <x:c r="G23" t="str">
        <x:v>1460-3049-689</x:v>
      </x:c>
      <x:c r="H23" t="str">
        <x:v>1460-3049-689</x:v>
      </x:c>
      <x:c r="I23" t="str"/>
      <x:c r="J23" s="54"/>
      <x:c r="K23" t="str"/>
      <x:c r="L23" s="57"/>
      <x:c r="M23" s="57"/>
      <x:c r="N23" s="54" t="str">
        <x:f>IF(J23="","",J23*(1-IF(L23="",0,L23))*(1-IF(M23="",0,M23)))</x:f>
      </x:c>
      <x:c r="O23" t="str">
        <x:v>USD</x:v>
      </x:c>
      <x:c r="P23" t="str">
        <x:f>IF(J23="","UNPRICED","PRICED")</x:f>
        <x:v>UNPRICED</x:v>
      </x:c>
      <x:c r="Q23" t="str">
        <x:f>IF(OR(ISNUMBER(SEARCH("MISSING_VENDOR",R23)),ISNUMBER(SEARCH("MISSING_PART_NUMBER",R23)),ISNUMBER(SEARCH("PLACEHOLDER_PART_NUMBER",R23)),ISNUMBER(SEARCH("MISSING_REQUIRED_SPEC",R23)),ISNUMBER(SEARCH("PART_NUMBER_CONFLICT",R23)),ISNUMBER(SEARCH("SIZE_PART_MISMATCH",R23)),ISNUMBER(SEARCH("POSSIBLE_PRICE_OUTLIER",R23))),"REVIEW","ACTIVE")</x:f>
        <x:v>ACTIVE</x:v>
      </x:c>
      <x:c r="R23" t="str">
        <x:v>MISSING_PRICE</x:v>
      </x:c>
      <x:c r="S23" t="n">
        <x:v>70</x:v>
      </x:c>
    </x:row>
    <x:row r="24" ht="15" hidden="0" customHeight="1">
      <x:c r="A24" t="str">
        <x:v>OFFER-1449A7A13575</x:v>
      </x:c>
      <x:c r="B24" t="str">
        <x:v>SPEC-E61CB9AEB56F</x:v>
      </x:c>
      <x:c r="C24" t="str">
        <x:v>LCN</x:v>
      </x:c>
      <x:c r="D24" t="str">
        <x:v>1460</x:v>
      </x:c>
      <x:c r="E24" t="str">
        <x:v>1460 HO CUSH</x:v>
      </x:c>
      <x:c r="F24" t="str"/>
      <x:c r="G24" t="str">
        <x:v>1460-3049</x:v>
      </x:c>
      <x:c r="H24" t="str">
        <x:v>1460-3049 CNS-689</x:v>
      </x:c>
      <x:c r="I24" t="str"/>
      <x:c r="J24" s="54"/>
      <x:c r="K24" t="str"/>
      <x:c r="L24" s="57"/>
      <x:c r="M24" s="57"/>
      <x:c r="N24" s="54" t="str">
        <x:f>IF(J24="","",J24*(1-IF(L24="",0,L24))*(1-IF(M24="",0,M24)))</x:f>
      </x:c>
      <x:c r="O24" t="str">
        <x:v>USD</x:v>
      </x:c>
      <x:c r="P24" t="str">
        <x:f>IF(J24="","UNPRICED","PRICED")</x:f>
        <x:v>UNPRICED</x:v>
      </x:c>
      <x:c r="Q24" t="str">
        <x:f>IF(OR(ISNUMBER(SEARCH("MISSING_VENDOR",R24)),ISNUMBER(SEARCH("MISSING_PART_NUMBER",R24)),ISNUMBER(SEARCH("PLACEHOLDER_PART_NUMBER",R24)),ISNUMBER(SEARCH("MISSING_REQUIRED_SPEC",R24)),ISNUMBER(SEARCH("PART_NUMBER_CONFLICT",R24)),ISNUMBER(SEARCH("SIZE_PART_MISMATCH",R24)),ISNUMBER(SEARCH("POSSIBLE_PRICE_OUTLIER",R24))),"REVIEW","ACTIVE")</x:f>
        <x:v>ACTIVE</x:v>
      </x:c>
      <x:c r="R24" t="str">
        <x:v>MISSING_PRICE</x:v>
      </x:c>
      <x:c r="S24" t="n">
        <x:v>71</x:v>
      </x:c>
    </x:row>
    <x:row r="25" ht="15" hidden="0" customHeight="1">
      <x:c r="A25" t="str">
        <x:v>OFFER-59EE493A79B8</x:v>
      </x:c>
      <x:c r="B25" t="str">
        <x:v>SPEC-05BEAB991446</x:v>
      </x:c>
      <x:c r="C25" t="str">
        <x:v>LCN</x:v>
      </x:c>
      <x:c r="D25" t="str">
        <x:v>1460</x:v>
      </x:c>
      <x:c r="E25" t="str">
        <x:v>1461 CUSH</x:v>
      </x:c>
      <x:c r="F25" t="str"/>
      <x:c r="G25" t="str">
        <x:v>1461-CUSH</x:v>
      </x:c>
      <x:c r="H25" t="str">
        <x:v>1461-CUSH 689</x:v>
      </x:c>
      <x:c r="I25" t="str"/>
      <x:c r="J25" s="54"/>
      <x:c r="K25" t="str"/>
      <x:c r="L25" s="57"/>
      <x:c r="M25" s="57"/>
      <x:c r="N25" s="54" t="str">
        <x:f>IF(J25="","",J25*(1-IF(L25="",0,L25))*(1-IF(M25="",0,M25)))</x:f>
      </x:c>
      <x:c r="O25" t="str">
        <x:v>USD</x:v>
      </x:c>
      <x:c r="P25" t="str">
        <x:f>IF(J25="","UNPRICED","PRICED")</x:f>
        <x:v>UNPRICED</x:v>
      </x:c>
      <x:c r="Q25" t="str">
        <x:f>IF(OR(ISNUMBER(SEARCH("MISSING_VENDOR",R25)),ISNUMBER(SEARCH("MISSING_PART_NUMBER",R25)),ISNUMBER(SEARCH("PLACEHOLDER_PART_NUMBER",R25)),ISNUMBER(SEARCH("MISSING_REQUIRED_SPEC",R25)),ISNUMBER(SEARCH("PART_NUMBER_CONFLICT",R25)),ISNUMBER(SEARCH("SIZE_PART_MISMATCH",R25)),ISNUMBER(SEARCH("POSSIBLE_PRICE_OUTLIER",R25))),"REVIEW","ACTIVE")</x:f>
        <x:v>REVIEW</x:v>
      </x:c>
      <x:c r="R25" t="str">
        <x:v>MISSING_PRICE; MISSING_REQUIRED_SPEC</x:v>
      </x:c>
      <x:c r="S25" t="n">
        <x:v>72</x:v>
      </x:c>
    </x:row>
    <x:row r="26" ht="15" hidden="0" customHeight="1">
      <x:c r="A26" t="str">
        <x:v>OFFER-AF4D48371066</x:v>
      </x:c>
      <x:c r="B26" t="str">
        <x:v>SPEC-B28DC94068D5</x:v>
      </x:c>
      <x:c r="C26" t="str">
        <x:v>LCN</x:v>
      </x:c>
      <x:c r="D26" t="str">
        <x:v>1460</x:v>
      </x:c>
      <x:c r="E26" t="str">
        <x:v>1461 SCUSH</x:v>
      </x:c>
      <x:c r="F26" t="str"/>
      <x:c r="G26" t="str">
        <x:v>1461-SCUSH-689</x:v>
      </x:c>
      <x:c r="H26" t="str">
        <x:v>1461-SCUSH-689</x:v>
      </x:c>
      <x:c r="I26" t="str"/>
      <x:c r="J26" s="54"/>
      <x:c r="K26" t="str"/>
      <x:c r="L26" s="57"/>
      <x:c r="M26" s="57"/>
      <x:c r="N26" s="54" t="str">
        <x:f>IF(J26="","",J26*(1-IF(L26="",0,L26))*(1-IF(M26="",0,M26)))</x:f>
      </x:c>
      <x:c r="O26" t="str">
        <x:v>USD</x:v>
      </x:c>
      <x:c r="P26" t="str">
        <x:f>IF(J26="","UNPRICED","PRICED")</x:f>
        <x:v>UNPRICED</x:v>
      </x:c>
      <x:c r="Q26" t="str">
        <x:f>IF(OR(ISNUMBER(SEARCH("MISSING_VENDOR",R26)),ISNUMBER(SEARCH("MISSING_PART_NUMBER",R26)),ISNUMBER(SEARCH("PLACEHOLDER_PART_NUMBER",R26)),ISNUMBER(SEARCH("MISSING_REQUIRED_SPEC",R26)),ISNUMBER(SEARCH("PART_NUMBER_CONFLICT",R26)),ISNUMBER(SEARCH("SIZE_PART_MISMATCH",R26)),ISNUMBER(SEARCH("POSSIBLE_PRICE_OUTLIER",R26))),"REVIEW","ACTIVE")</x:f>
        <x:v>REVIEW</x:v>
      </x:c>
      <x:c r="R26" t="str">
        <x:v>MISSING_PRICE; MISSING_REQUIRED_SPEC</x:v>
      </x:c>
      <x:c r="S26" t="n">
        <x:v>73</x:v>
      </x:c>
    </x:row>
    <x:row r="27" ht="15" hidden="0" customHeight="1">
      <x:c r="A27" t="str">
        <x:v>OFFER-4C0114C1DB0B</x:v>
      </x:c>
      <x:c r="B27" t="str">
        <x:v>SPEC-7396E555AC12</x:v>
      </x:c>
      <x:c r="C27" t="str">
        <x:v>LCN</x:v>
      </x:c>
      <x:c r="D27" t="str">
        <x:v>4040XP</x:v>
      </x:c>
      <x:c r="E27" t="str">
        <x:v>4040XP STD ARM</x:v>
      </x:c>
      <x:c r="F27" t="str"/>
      <x:c r="G27" t="str">
        <x:v>4040XP-RW/PA</x:v>
      </x:c>
      <x:c r="H27" t="str">
        <x:v>4040XP-RW/PA 689 TRIPAC</x:v>
      </x:c>
      <x:c r="I27" t="str"/>
      <x:c r="J27" s="54"/>
      <x:c r="K27" t="str"/>
      <x:c r="L27" s="57"/>
      <x:c r="M27" s="57"/>
      <x:c r="N27" s="54" t="str">
        <x:f>IF(J27="","",J27*(1-IF(L27="",0,L27))*(1-IF(M27="",0,M27)))</x:f>
      </x:c>
      <x:c r="O27" t="str">
        <x:v>USD</x:v>
      </x:c>
      <x:c r="P27" t="str">
        <x:f>IF(J27="","UNPRICED","PRICED")</x:f>
        <x:v>UNPRICED</x:v>
      </x:c>
      <x:c r="Q27" t="str">
        <x:f>IF(OR(ISNUMBER(SEARCH("MISSING_VENDOR",R27)),ISNUMBER(SEARCH("MISSING_PART_NUMBER",R27)),ISNUMBER(SEARCH("PLACEHOLDER_PART_NUMBER",R27)),ISNUMBER(SEARCH("MISSING_REQUIRED_SPEC",R27)),ISNUMBER(SEARCH("PART_NUMBER_CONFLICT",R27)),ISNUMBER(SEARCH("SIZE_PART_MISMATCH",R27)),ISNUMBER(SEARCH("POSSIBLE_PRICE_OUTLIER",R27))),"REVIEW","ACTIVE")</x:f>
        <x:v>ACTIVE</x:v>
      </x:c>
      <x:c r="R27" t="str">
        <x:v>MISSING_PRICE</x:v>
      </x:c>
      <x:c r="S27" t="n">
        <x:v>74</x:v>
      </x:c>
    </x:row>
    <x:row r="28" ht="15" hidden="0" customHeight="1">
      <x:c r="A28" t="str">
        <x:v>OFFER-80560279FBC5</x:v>
      </x:c>
      <x:c r="B28" t="str">
        <x:v>SPEC-F1DE3D632C62</x:v>
      </x:c>
      <x:c r="C28" t="str">
        <x:v>LCN</x:v>
      </x:c>
      <x:c r="D28" t="str">
        <x:v>4040XP</x:v>
      </x:c>
      <x:c r="E28" t="str">
        <x:v>4040XP HO ARM</x:v>
      </x:c>
      <x:c r="F28" t="str"/>
      <x:c r="G28" t="str">
        <x:v>4040XP-3049-689</x:v>
      </x:c>
      <x:c r="H28" t="str">
        <x:v>4040XP-3049-689</x:v>
      </x:c>
      <x:c r="I28" t="str"/>
      <x:c r="J28" s="54"/>
      <x:c r="K28" t="str"/>
      <x:c r="L28" s="57"/>
      <x:c r="M28" s="57"/>
      <x:c r="N28" s="54" t="str">
        <x:f>IF(J28="","",J28*(1-IF(L28="",0,L28))*(1-IF(M28="",0,M28)))</x:f>
      </x:c>
      <x:c r="O28" t="str">
        <x:v>USD</x:v>
      </x:c>
      <x:c r="P28" t="str">
        <x:f>IF(J28="","UNPRICED","PRICED")</x:f>
        <x:v>UNPRICED</x:v>
      </x:c>
      <x:c r="Q28" t="str">
        <x:f>IF(OR(ISNUMBER(SEARCH("MISSING_VENDOR",R28)),ISNUMBER(SEARCH("MISSING_PART_NUMBER",R28)),ISNUMBER(SEARCH("PLACEHOLDER_PART_NUMBER",R28)),ISNUMBER(SEARCH("MISSING_REQUIRED_SPEC",R28)),ISNUMBER(SEARCH("PART_NUMBER_CONFLICT",R28)),ISNUMBER(SEARCH("SIZE_PART_MISMATCH",R28)),ISNUMBER(SEARCH("POSSIBLE_PRICE_OUTLIER",R28))),"REVIEW","ACTIVE")</x:f>
        <x:v>ACTIVE</x:v>
      </x:c>
      <x:c r="R28" t="str">
        <x:v>MISSING_PRICE</x:v>
      </x:c>
      <x:c r="S28" t="n">
        <x:v>75</x:v>
      </x:c>
    </x:row>
    <x:row r="29" ht="15" hidden="0" customHeight="1">
      <x:c r="A29" t="str">
        <x:v>OFFER-C74C7E492CFD</x:v>
      </x:c>
      <x:c r="B29" t="str">
        <x:v>SPEC-B3940214D4B6</x:v>
      </x:c>
      <x:c r="C29" t="str">
        <x:v>LCN</x:v>
      </x:c>
      <x:c r="D29" t="str">
        <x:v>4040XP</x:v>
      </x:c>
      <x:c r="E29" t="str">
        <x:v>4040XP CUSH</x:v>
      </x:c>
      <x:c r="F29" t="str"/>
      <x:c r="G29" t="str">
        <x:v>4040XP-CUSH-689</x:v>
      </x:c>
      <x:c r="H29" t="str">
        <x:v>4040XP-CUSH-689</x:v>
      </x:c>
      <x:c r="I29" t="str"/>
      <x:c r="J29" s="54"/>
      <x:c r="K29" t="str"/>
      <x:c r="L29" s="57"/>
      <x:c r="M29" s="57"/>
      <x:c r="N29" s="54" t="str">
        <x:f>IF(J29="","",J29*(1-IF(L29="",0,L29))*(1-IF(M29="",0,M29)))</x:f>
      </x:c>
      <x:c r="O29" t="str">
        <x:v>USD</x:v>
      </x:c>
      <x:c r="P29" t="str">
        <x:f>IF(J29="","UNPRICED","PRICED")</x:f>
        <x:v>UNPRICED</x:v>
      </x:c>
      <x:c r="Q29" t="str">
        <x:f>IF(OR(ISNUMBER(SEARCH("MISSING_VENDOR",R29)),ISNUMBER(SEARCH("MISSING_PART_NUMBER",R29)),ISNUMBER(SEARCH("PLACEHOLDER_PART_NUMBER",R29)),ISNUMBER(SEARCH("MISSING_REQUIRED_SPEC",R29)),ISNUMBER(SEARCH("PART_NUMBER_CONFLICT",R29)),ISNUMBER(SEARCH("SIZE_PART_MISMATCH",R29)),ISNUMBER(SEARCH("POSSIBLE_PRICE_OUTLIER",R29))),"REVIEW","ACTIVE")</x:f>
        <x:v>REVIEW</x:v>
      </x:c>
      <x:c r="R29" t="str">
        <x:v>MISSING_PRICE; MISSING_REQUIRED_SPEC</x:v>
      </x:c>
      <x:c r="S29" t="n">
        <x:v>76</x:v>
      </x:c>
    </x:row>
    <x:row r="30" ht="15" hidden="0" customHeight="1">
      <x:c r="A30" t="str">
        <x:v>OFFER-122D3EC55856</x:v>
      </x:c>
      <x:c r="B30" t="str">
        <x:v>SPEC-E61CB9AEB56F</x:v>
      </x:c>
      <x:c r="C30" t="str">
        <x:v>LCN</x:v>
      </x:c>
      <x:c r="D30" t="str">
        <x:v>4040XP</x:v>
      </x:c>
      <x:c r="E30" t="str">
        <x:v>4040XP-HO CUSH</x:v>
      </x:c>
      <x:c r="F30" t="str"/>
      <x:c r="G30" t="str">
        <x:v>4040XP-HCUSH-689</x:v>
      </x:c>
      <x:c r="H30" t="str">
        <x:v>4040XP-HCUSH-689</x:v>
      </x:c>
      <x:c r="I30" t="str"/>
      <x:c r="J30" s="54"/>
      <x:c r="K30" t="str"/>
      <x:c r="L30" s="57"/>
      <x:c r="M30" s="57"/>
      <x:c r="N30" s="54" t="str">
        <x:f>IF(J30="","",J30*(1-IF(L30="",0,L30))*(1-IF(M30="",0,M30)))</x:f>
      </x:c>
      <x:c r="O30" t="str">
        <x:v>USD</x:v>
      </x:c>
      <x:c r="P30" t="str">
        <x:f>IF(J30="","UNPRICED","PRICED")</x:f>
        <x:v>UNPRICED</x:v>
      </x:c>
      <x:c r="Q30" t="str">
        <x:f>IF(OR(ISNUMBER(SEARCH("MISSING_VENDOR",R30)),ISNUMBER(SEARCH("MISSING_PART_NUMBER",R30)),ISNUMBER(SEARCH("PLACEHOLDER_PART_NUMBER",R30)),ISNUMBER(SEARCH("MISSING_REQUIRED_SPEC",R30)),ISNUMBER(SEARCH("PART_NUMBER_CONFLICT",R30)),ISNUMBER(SEARCH("SIZE_PART_MISMATCH",R30)),ISNUMBER(SEARCH("POSSIBLE_PRICE_OUTLIER",R30))),"REVIEW","ACTIVE")</x:f>
        <x:v>ACTIVE</x:v>
      </x:c>
      <x:c r="R30" t="str">
        <x:v>MISSING_PRICE</x:v>
      </x:c>
      <x:c r="S30" t="n">
        <x:v>77</x:v>
      </x:c>
    </x:row>
    <x:row r="31" ht="15" hidden="0" customHeight="1">
      <x:c r="A31" t="str">
        <x:v>OFFER-376F4B8FC259</x:v>
      </x:c>
      <x:c r="B31" t="str">
        <x:v>SPEC-2F178D1F8472</x:v>
      </x:c>
      <x:c r="C31" t="str">
        <x:v>LCN</x:v>
      </x:c>
      <x:c r="D31" t="str">
        <x:v>4040XP</x:v>
      </x:c>
      <x:c r="E31" t="str">
        <x:v>4040XP HO SPRING CUSH</x:v>
      </x:c>
      <x:c r="F31" t="str"/>
      <x:c r="G31" t="str">
        <x:v>4040XP-SHCUSH-689</x:v>
      </x:c>
      <x:c r="H31" t="str">
        <x:v>4040XP-SHCUSH-689</x:v>
      </x:c>
      <x:c r="I31" t="str"/>
      <x:c r="J31" s="54"/>
      <x:c r="K31" t="str"/>
      <x:c r="L31" s="57"/>
      <x:c r="M31" s="57"/>
      <x:c r="N31" s="54" t="str">
        <x:f>IF(J31="","",J31*(1-IF(L31="",0,L31))*(1-IF(M31="",0,M31)))</x:f>
      </x:c>
      <x:c r="O31" t="str">
        <x:v>USD</x:v>
      </x:c>
      <x:c r="P31" t="str">
        <x:f>IF(J31="","UNPRICED","PRICED")</x:f>
        <x:v>UNPRICED</x:v>
      </x:c>
      <x:c r="Q31" t="str">
        <x:f>IF(OR(ISNUMBER(SEARCH("MISSING_VENDOR",R31)),ISNUMBER(SEARCH("MISSING_PART_NUMBER",R31)),ISNUMBER(SEARCH("PLACEHOLDER_PART_NUMBER",R31)),ISNUMBER(SEARCH("MISSING_REQUIRED_SPEC",R31)),ISNUMBER(SEARCH("PART_NUMBER_CONFLICT",R31)),ISNUMBER(SEARCH("SIZE_PART_MISMATCH",R31)),ISNUMBER(SEARCH("POSSIBLE_PRICE_OUTLIER",R31))),"REVIEW","ACTIVE")</x:f>
        <x:v>ACTIVE</x:v>
      </x:c>
      <x:c r="R31" t="str">
        <x:v>MISSING_PRICE</x:v>
      </x:c>
      <x:c r="S31" t="n">
        <x:v>78</x:v>
      </x:c>
    </x:row>
    <x:row r="32" ht="15" hidden="0" customHeight="1">
      <x:c r="A32" t="str">
        <x:v>OFFER-5E140B60C1AC</x:v>
      </x:c>
      <x:c r="B32" t="str">
        <x:v>SPEC-7396E555AC12</x:v>
      </x:c>
      <x:c r="C32" t="str">
        <x:v>NOR</x:v>
      </x:c>
      <x:c r="D32" t="str">
        <x:v>1601</x:v>
      </x:c>
      <x:c r="E32" t="str">
        <x:v>1601</x:v>
      </x:c>
      <x:c r="F32" t="str"/>
      <x:c r="G32" t="str">
        <x:v>1601-689</x:v>
      </x:c>
      <x:c r="H32" t="str">
        <x:v>1601-689 (DH 116)</x:v>
      </x:c>
      <x:c r="I32" t="str"/>
      <x:c r="J32" s="54"/>
      <x:c r="K32" t="str"/>
      <x:c r="L32" s="57"/>
      <x:c r="M32" s="57"/>
      <x:c r="N32" s="54" t="str">
        <x:f>IF(J32="","",J32*(1-IF(L32="",0,L32))*(1-IF(M32="",0,M32)))</x:f>
      </x:c>
      <x:c r="O32" t="str">
        <x:v>USD</x:v>
      </x:c>
      <x:c r="P32" t="str">
        <x:f>IF(J32="","UNPRICED","PRICED")</x:f>
        <x:v>UNPRICED</x:v>
      </x:c>
      <x:c r="Q32" t="str">
        <x:f>IF(OR(ISNUMBER(SEARCH("MISSING_VENDOR",R32)),ISNUMBER(SEARCH("MISSING_PART_NUMBER",R32)),ISNUMBER(SEARCH("PLACEHOLDER_PART_NUMBER",R32)),ISNUMBER(SEARCH("MISSING_REQUIRED_SPEC",R32)),ISNUMBER(SEARCH("PART_NUMBER_CONFLICT",R32)),ISNUMBER(SEARCH("SIZE_PART_MISMATCH",R32)),ISNUMBER(SEARCH("POSSIBLE_PRICE_OUTLIER",R32))),"REVIEW","ACTIVE")</x:f>
        <x:v>ACTIVE</x:v>
      </x:c>
      <x:c r="R32" t="str">
        <x:v>MISSING_PRICE</x:v>
      </x:c>
      <x:c r="S32" t="n">
        <x:v>82</x:v>
      </x:c>
    </x:row>
    <x:row r="33" ht="15" hidden="0" customHeight="1">
      <x:c r="A33" t="str">
        <x:v>OFFER-0A4062C3081C</x:v>
      </x:c>
      <x:c r="B33" t="str">
        <x:v>SPEC-7396E555AC12</x:v>
      </x:c>
      <x:c r="C33" t="str">
        <x:v>NOR</x:v>
      </x:c>
      <x:c r="D33" t="str">
        <x:v>8501</x:v>
      </x:c>
      <x:c r="E33" t="str">
        <x:v>8501</x:v>
      </x:c>
      <x:c r="F33" t="str"/>
      <x:c r="G33" t="str">
        <x:v>8501-689</x:v>
      </x:c>
      <x:c r="H33" t="str">
        <x:v>8501-689 (DH 316)</x:v>
      </x:c>
      <x:c r="I33" t="str"/>
      <x:c r="J33" s="54"/>
      <x:c r="K33" t="str"/>
      <x:c r="L33" s="57"/>
      <x:c r="M33" s="57"/>
      <x:c r="N33" s="54" t="str">
        <x:f>IF(J33="","",J33*(1-IF(L33="",0,L33))*(1-IF(M33="",0,M33)))</x:f>
      </x:c>
      <x:c r="O33" t="str">
        <x:v>USD</x:v>
      </x:c>
      <x:c r="P33" t="str">
        <x:f>IF(J33="","UNPRICED","PRICED")</x:f>
        <x:v>UNPRICED</x:v>
      </x:c>
      <x:c r="Q33" t="str">
        <x:f>IF(OR(ISNUMBER(SEARCH("MISSING_VENDOR",R33)),ISNUMBER(SEARCH("MISSING_PART_NUMBER",R33)),ISNUMBER(SEARCH("PLACEHOLDER_PART_NUMBER",R33)),ISNUMBER(SEARCH("MISSING_REQUIRED_SPEC",R33)),ISNUMBER(SEARCH("PART_NUMBER_CONFLICT",R33)),ISNUMBER(SEARCH("SIZE_PART_MISMATCH",R33)),ISNUMBER(SEARCH("POSSIBLE_PRICE_OUTLIER",R33))),"REVIEW","ACTIVE")</x:f>
        <x:v>ACTIVE</x:v>
      </x:c>
      <x:c r="R33" t="str">
        <x:v>MISSING_PRICE</x:v>
      </x:c>
      <x:c r="S33" t="n">
        <x:v>83</x:v>
      </x:c>
    </x:row>
    <x:row r="34" ht="15" hidden="0" customHeight="1">
      <x:c r="A34" t="str">
        <x:v>OFFER-B24E660037BC</x:v>
      </x:c>
      <x:c r="B34" t="str">
        <x:v>SPEC-7396E555AC12</x:v>
      </x:c>
      <x:c r="C34" t="str">
        <x:v>SAR</x:v>
      </x:c>
      <x:c r="D34" t="str">
        <x:v>351</x:v>
      </x:c>
      <x:c r="E34" t="str">
        <x:v>351 UNIVERSAL STD ARM THRU BOLT TRI PAC</x:v>
      </x:c>
      <x:c r="F34" t="str"/>
      <x:c r="G34" t="str">
        <x:v>351-UO</x:v>
      </x:c>
      <x:c r="H34" t="str">
        <x:v>351-UO TB EN</x:v>
      </x:c>
      <x:c r="I34" t="str"/>
      <x:c r="J34" s="54"/>
      <x:c r="K34" t="str"/>
      <x:c r="L34" s="57"/>
      <x:c r="M34" s="57"/>
      <x:c r="N34" s="54" t="str">
        <x:f>IF(J34="","",J34*(1-IF(L34="",0,L34))*(1-IF(M34="",0,M34)))</x:f>
      </x:c>
      <x:c r="O34" t="str">
        <x:v>USD</x:v>
      </x:c>
      <x:c r="P34" t="str">
        <x:f>IF(J34="","UNPRICED","PRICED")</x:f>
        <x:v>UNPRICED</x:v>
      </x:c>
      <x:c r="Q34" t="str">
        <x:f>IF(OR(ISNUMBER(SEARCH("MISSING_VENDOR",R34)),ISNUMBER(SEARCH("MISSING_PART_NUMBER",R34)),ISNUMBER(SEARCH("PLACEHOLDER_PART_NUMBER",R34)),ISNUMBER(SEARCH("MISSING_REQUIRED_SPEC",R34)),ISNUMBER(SEARCH("PART_NUMBER_CONFLICT",R34)),ISNUMBER(SEARCH("SIZE_PART_MISMATCH",R34)),ISNUMBER(SEARCH("POSSIBLE_PRICE_OUTLIER",R34))),"REVIEW","ACTIVE")</x:f>
        <x:v>ACTIVE</x:v>
      </x:c>
      <x:c r="R34" t="str">
        <x:v>MISSING_PRICE</x:v>
      </x:c>
      <x:c r="S34" t="n">
        <x:v>80</x:v>
      </x:c>
    </x:row>
    <x:row r="35" ht="15" hidden="0" customHeight="1">
      <x:c r="A35" t="str">
        <x:v>OFFER-33CFFEF3BC5A</x:v>
      </x:c>
      <x:c r="B35" t="str">
        <x:v>SPEC-7396E555AC12</x:v>
      </x:c>
      <x:c r="C35" t="str">
        <x:v>SAR</x:v>
      </x:c>
      <x:c r="D35" t="str">
        <x:v>351</x:v>
      </x:c>
      <x:c r="E35" t="str">
        <x:v>351 STANDARD ARM THRU BOLT</x:v>
      </x:c>
      <x:c r="F35" t="str"/>
      <x:c r="G35" t="str">
        <x:v>351-0-TB</x:v>
      </x:c>
      <x:c r="H35" t="str">
        <x:v>351-0-TB EN</x:v>
      </x:c>
      <x:c r="I35" t="str"/>
      <x:c r="J35" s="54"/>
      <x:c r="K35" t="str"/>
      <x:c r="L35" s="57"/>
      <x:c r="M35" s="57"/>
      <x:c r="N35" s="54" t="str">
        <x:f>IF(J35="","",J35*(1-IF(L35="",0,L35))*(1-IF(M35="",0,M35)))</x:f>
      </x:c>
      <x:c r="O35" t="str">
        <x:v>USD</x:v>
      </x:c>
      <x:c r="P35" t="str">
        <x:f>IF(J35="","UNPRICED","PRICED")</x:f>
        <x:v>UNPRICED</x:v>
      </x:c>
      <x:c r="Q35" t="str">
        <x:f>IF(OR(ISNUMBER(SEARCH("MISSING_VENDOR",R35)),ISNUMBER(SEARCH("MISSING_PART_NUMBER",R35)),ISNUMBER(SEARCH("PLACEHOLDER_PART_NUMBER",R35)),ISNUMBER(SEARCH("MISSING_REQUIRED_SPEC",R35)),ISNUMBER(SEARCH("PART_NUMBER_CONFLICT",R35)),ISNUMBER(SEARCH("SIZE_PART_MISMATCH",R35)),ISNUMBER(SEARCH("POSSIBLE_PRICE_OUTLIER",R35))),"REVIEW","ACTIVE")</x:f>
        <x:v>ACTIVE</x:v>
      </x:c>
      <x:c r="R35" t="str">
        <x:v>MISSING_PRICE</x:v>
      </x:c>
      <x:c r="S35" t="n">
        <x:v>81</x:v>
      </x:c>
    </x:row>
    <x:row r="36" ht="15" hidden="0" customHeight="1">
      <x:c r="A36" t="str">
        <x:v>OFFER-9F9C590BC14A</x:v>
      </x:c>
      <x:c r="B36" t="str">
        <x:v>SPEC-2A2BB6A51907</x:v>
      </x:c>
      <x:c r="C36" t="str">
        <x:v>DH</x:v>
      </x:c>
      <x:c r="D36" t="str">
        <x:v>316</x:v>
      </x:c>
      <x:c r="E36" t="str">
        <x:v>316 HO ARM</x:v>
      </x:c>
      <x:c r="F36" t="str"/>
      <x:c r="G36" t="str">
        <x:v>78000720</x:v>
      </x:c>
      <x:c r="H36" t="str">
        <x:v>78000720 - 316 /116 Heavy Duty Arm w/ Deadstop</x:v>
      </x:c>
      <x:c r="I36" t="str"/>
      <x:c r="J36" s="54"/>
      <x:c r="K36" t="str"/>
      <x:c r="L36" s="57"/>
      <x:c r="M36" s="57"/>
      <x:c r="N36" s="54" t="str">
        <x:f>IF(J36="","",J36*(1-IF(L36="",0,L36))*(1-IF(M36="",0,M36)))</x:f>
      </x:c>
      <x:c r="O36" t="str">
        <x:v>USD</x:v>
      </x:c>
      <x:c r="P36" t="str">
        <x:f>IF(J36="","UNPRICED","PRICED")</x:f>
        <x:v>UNPRICED</x:v>
      </x:c>
      <x:c r="Q36" t="str">
        <x:f>IF(OR(ISNUMBER(SEARCH("MISSING_VENDOR",R36)),ISNUMBER(SEARCH("MISSING_PART_NUMBER",R36)),ISNUMBER(SEARCH("PLACEHOLDER_PART_NUMBER",R36)),ISNUMBER(SEARCH("MISSING_REQUIRED_SPEC",R36)),ISNUMBER(SEARCH("PART_NUMBER_CONFLICT",R36)),ISNUMBER(SEARCH("SIZE_PART_MISMATCH",R36)),ISNUMBER(SEARCH("POSSIBLE_PRICE_OUTLIER",R36))),"REVIEW","ACTIVE")</x:f>
        <x:v>ACTIVE</x:v>
      </x:c>
      <x:c r="R36" t="str">
        <x:v>MISSING_PRICE</x:v>
      </x:c>
      <x:c r="S36" t="n">
        <x:v>46</x:v>
      </x:c>
    </x:row>
    <x:row r="37" ht="15" hidden="0" customHeight="1">
      <x:c r="A37" t="str">
        <x:v>OFFER-936427C75E0B</x:v>
      </x:c>
      <x:c r="B37" t="str">
        <x:v>SPEC-163ABA1E6026</x:v>
      </x:c>
      <x:c r="C37" t="str">
        <x:v>DH</x:v>
      </x:c>
      <x:c r="D37" t="str">
        <x:v>416</x:v>
      </x:c>
      <x:c r="E37" t="str">
        <x:v>416 H0 ARM</x:v>
      </x:c>
      <x:c r="F37" t="str"/>
      <x:c r="G37" t="str">
        <x:v>78000767</x:v>
      </x:c>
      <x:c r="H37" t="str">
        <x:v>78000767 - 416 HD Hold Open Arm w/ Deadstop</x:v>
      </x:c>
      <x:c r="I37" t="str"/>
      <x:c r="J37" s="54"/>
      <x:c r="K37" t="str"/>
      <x:c r="L37" s="57"/>
      <x:c r="M37" s="57"/>
      <x:c r="N37" s="54" t="str">
        <x:f>IF(J37="","",J37*(1-IF(L37="",0,L37))*(1-IF(M37="",0,M37)))</x:f>
      </x:c>
      <x:c r="O37" t="str">
        <x:v>USD</x:v>
      </x:c>
      <x:c r="P37" t="str">
        <x:f>IF(J37="","UNPRICED","PRICED")</x:f>
        <x:v>UNPRICED</x:v>
      </x:c>
      <x:c r="Q37" t="str">
        <x:f>IF(OR(ISNUMBER(SEARCH("MISSING_VENDOR",R37)),ISNUMBER(SEARCH("MISSING_PART_NUMBER",R37)),ISNUMBER(SEARCH("PLACEHOLDER_PART_NUMBER",R37)),ISNUMBER(SEARCH("MISSING_REQUIRED_SPEC",R37)),ISNUMBER(SEARCH("PART_NUMBER_CONFLICT",R37)),ISNUMBER(SEARCH("SIZE_PART_MISMATCH",R37)),ISNUMBER(SEARCH("POSSIBLE_PRICE_OUTLIER",R37))),"REVIEW","ACTIVE")</x:f>
        <x:v>ACTIVE</x:v>
      </x:c>
      <x:c r="R37" t="str">
        <x:v>MISSING_PRICE</x:v>
      </x:c>
      <x:c r="S37" t="n">
        <x:v>44</x:v>
      </x:c>
    </x:row>
    <x:row r="38" ht="15" hidden="0" customHeight="1">
      <x:c r="A38" t="str">
        <x:v>OFFER-627C30610BA1</x:v>
      </x:c>
      <x:c r="B38" t="str">
        <x:v>SPEC-7C72CC593688</x:v>
      </x:c>
      <x:c r="C38" t="str">
        <x:v>PHG</x:v>
      </x:c>
      <x:c r="D38" t="str">
        <x:v>DB SGL CLASS-LFIC</x:v>
      </x:c>
      <x:c r="E38" t="str">
        <x:v>E0171-LFIC</x:v>
      </x:c>
      <x:c r="F38" t="str">
        <x:v>E0171</x:v>
      </x:c>
      <x:c r="G38" t="str">
        <x:v>LM23026DICS</x:v>
      </x:c>
      <x:c r="H38" t="str">
        <x:v>LM23026DICS LM230 - Classroom (E0171) - ICS</x:v>
      </x:c>
      <x:c r="I38" t="str"/>
      <x:c r="J38" s="54" t="n">
        <x:v>150.89</x:v>
      </x:c>
      <x:c r="K38" t="str"/>
      <x:c r="L38" s="57"/>
      <x:c r="M38" s="57"/>
      <x:c r="N38" s="54" t="n">
        <x:f>IF(J38="","",J38*(1-IF(L38="",0,L38))*(1-IF(M38="",0,M38)))</x:f>
        <x:v>150.89</x:v>
      </x:c>
      <x:c r="O38" t="str">
        <x:v>USD</x:v>
      </x:c>
      <x:c r="P38" t="str">
        <x:f>IF(J38="","UNPRICED","PRICED")</x:f>
        <x:v>PRICED</x:v>
      </x:c>
      <x:c r="Q38" t="str">
        <x:f>IF(OR(ISNUMBER(SEARCH("MISSING_VENDOR",R38)),ISNUMBER(SEARCH("MISSING_PART_NUMBER",R38)),ISNUMBER(SEARCH("PLACEHOLDER_PART_NUMBER",R38)),ISNUMBER(SEARCH("MISSING_REQUIRED_SPEC",R38)),ISNUMBER(SEARCH("PART_NUMBER_CONFLICT",R38)),ISNUMBER(SEARCH("SIZE_PART_MISMATCH",R38)),ISNUMBER(SEARCH("POSSIBLE_PRICE_OUTLIER",R38))),"REVIEW","ACTIVE")</x:f>
        <x:v>ACTIVE</x:v>
      </x:c>
      <x:c r="R38" t="str"/>
      <x:c r="S38" t="n">
        <x:v>96</x:v>
      </x:c>
    </x:row>
    <x:row r="39" ht="15" hidden="0" customHeight="1">
      <x:c r="A39" t="str">
        <x:v>OFFER-3C634E6CE19F</x:v>
      </x:c>
      <x:c r="B39" t="str">
        <x:v>SPEC-7F8EB42856A9</x:v>
      </x:c>
      <x:c r="C39" t="str">
        <x:v>PHG</x:v>
      </x:c>
      <x:c r="D39" t="str">
        <x:v>DB SGL CLASS-SFIC</x:v>
      </x:c>
      <x:c r="E39" t="str">
        <x:v>E0171-SFIC</x:v>
      </x:c>
      <x:c r="F39" t="str">
        <x:v>E0171</x:v>
      </x:c>
      <x:c r="G39" t="str">
        <x:v>LM23026DICB</x:v>
      </x:c>
      <x:c r="H39" t="str">
        <x:v>LM23026DICB LM230 - Classroom (E0171) - ICB</x:v>
      </x:c>
      <x:c r="I39" t="str"/>
      <x:c r="J39" s="54" t="n">
        <x:v>110.96</x:v>
      </x:c>
      <x:c r="K39" t="str"/>
      <x:c r="L39" s="57"/>
      <x:c r="M39" s="57"/>
      <x:c r="N39" s="54" t="n">
        <x:f>IF(J39="","",J39*(1-IF(L39="",0,L39))*(1-IF(M39="",0,M39)))</x:f>
        <x:v>110.96</x:v>
      </x:c>
      <x:c r="O39" t="str">
        <x:v>USD</x:v>
      </x:c>
      <x:c r="P39" t="str">
        <x:f>IF(J39="","UNPRICED","PRICED")</x:f>
        <x:v>PRICED</x:v>
      </x:c>
      <x:c r="Q39" t="str">
        <x:f>IF(OR(ISNUMBER(SEARCH("MISSING_VENDOR",R39)),ISNUMBER(SEARCH("MISSING_PART_NUMBER",R39)),ISNUMBER(SEARCH("PLACEHOLDER_PART_NUMBER",R39)),ISNUMBER(SEARCH("MISSING_REQUIRED_SPEC",R39)),ISNUMBER(SEARCH("PART_NUMBER_CONFLICT",R39)),ISNUMBER(SEARCH("SIZE_PART_MISMATCH",R39)),ISNUMBER(SEARCH("POSSIBLE_PRICE_OUTLIER",R39))),"REVIEW","ACTIVE")</x:f>
        <x:v>ACTIVE</x:v>
      </x:c>
      <x:c r="R39" t="str"/>
      <x:c r="S39" t="n">
        <x:v>95</x:v>
      </x:c>
    </x:row>
    <x:row r="40" ht="15" hidden="0" customHeight="1">
      <x:c r="A40" t="str">
        <x:v>OFFER-88A0661396C8</x:v>
      </x:c>
      <x:c r="B40" t="str">
        <x:v>SPEC-7F8EB42856A9</x:v>
      </x:c>
      <x:c r="C40" t="str">
        <x:v>SCH</x:v>
      </x:c>
      <x:c r="D40" t="str">
        <x:v>DB SFIC CLASS</x:v>
      </x:c>
      <x:c r="E40" t="str">
        <x:v>TUBE DB 7 PIN</x:v>
      </x:c>
      <x:c r="F40" t="str"/>
      <x:c r="G40" t="str">
        <x:v>8T37SSTK</x:v>
      </x:c>
      <x:c r="H40" t="str">
        <x:v>8T37SSTK 626-SFIC</x:v>
      </x:c>
      <x:c r="I40" t="str"/>
      <x:c r="J40" s="54" t="n">
        <x:v>179.5</x:v>
      </x:c>
      <x:c r="K40" t="str"/>
      <x:c r="L40" s="57"/>
      <x:c r="M40" s="57"/>
      <x:c r="N40" s="54" t="n">
        <x:f>IF(J40="","",J40*(1-IF(L40="",0,L40))*(1-IF(M40="",0,M40)))</x:f>
        <x:v>179.5</x:v>
      </x:c>
      <x:c r="O40" t="str">
        <x:v>USD</x:v>
      </x:c>
      <x:c r="P40" t="str">
        <x:f>IF(J40="","UNPRICED","PRICED")</x:f>
        <x:v>PRICED</x:v>
      </x:c>
      <x:c r="Q40" t="str">
        <x:f>IF(OR(ISNUMBER(SEARCH("MISSING_VENDOR",R40)),ISNUMBER(SEARCH("MISSING_PART_NUMBER",R40)),ISNUMBER(SEARCH("PLACEHOLDER_PART_NUMBER",R40)),ISNUMBER(SEARCH("MISSING_REQUIRED_SPEC",R40)),ISNUMBER(SEARCH("PART_NUMBER_CONFLICT",R40)),ISNUMBER(SEARCH("SIZE_PART_MISMATCH",R40)),ISNUMBER(SEARCH("POSSIBLE_PRICE_OUTLIER",R40))),"REVIEW","ACTIVE")</x:f>
        <x:v>ACTIVE</x:v>
      </x:c>
      <x:c r="R40" t="str"/>
      <x:c r="S40" t="n">
        <x:v>102</x:v>
      </x:c>
    </x:row>
    <x:row r="41" ht="15" hidden="0" customHeight="1">
      <x:c r="A41" t="str">
        <x:v>OFFER-78EE496E0A73</x:v>
      </x:c>
      <x:c r="B41" t="str">
        <x:v>SPEC-7EAD2E558CB5</x:v>
      </x:c>
      <x:c r="C41" t="str"/>
      <x:c r="D41" t="str">
        <x:v>DB SGL CLASS</x:v>
      </x:c>
      <x:c r="E41" t="str">
        <x:v>E0171</x:v>
      </x:c>
      <x:c r="F41" t="str">
        <x:v>E0171</x:v>
      </x:c>
      <x:c r="G41" t="str">
        <x:v>LM23026D</x:v>
      </x:c>
      <x:c r="H41" t="str">
        <x:v>LM23026D LM230 - Classroom (E0171)</x:v>
      </x:c>
      <x:c r="I41" t="str"/>
      <x:c r="J41" s="54" t="n">
        <x:v>110.96</x:v>
      </x:c>
      <x:c r="K41" t="str"/>
      <x:c r="L41" s="57"/>
      <x:c r="M41" s="57"/>
      <x:c r="N41" s="54" t="n">
        <x:f>IF(J41="","",J41*(1-IF(L41="",0,L41))*(1-IF(M41="",0,M41)))</x:f>
        <x:v>110.96</x:v>
      </x:c>
      <x:c r="O41" t="str">
        <x:v>USD</x:v>
      </x:c>
      <x:c r="P41" t="str">
        <x:f>IF(J41="","UNPRICED","PRICED")</x:f>
        <x:v>PRICED</x:v>
      </x:c>
      <x:c r="Q41" t="str">
        <x:f>IF(OR(ISNUMBER(SEARCH("MISSING_VENDOR",R41)),ISNUMBER(SEARCH("MISSING_PART_NUMBER",R41)),ISNUMBER(SEARCH("PLACEHOLDER_PART_NUMBER",R41)),ISNUMBER(SEARCH("MISSING_REQUIRED_SPEC",R41)),ISNUMBER(SEARCH("PART_NUMBER_CONFLICT",R41)),ISNUMBER(SEARCH("SIZE_PART_MISMATCH",R41)),ISNUMBER(SEARCH("POSSIBLE_PRICE_OUTLIER",R41))),"REVIEW","ACTIVE")</x:f>
        <x:v>REVIEW</x:v>
      </x:c>
      <x:c r="R41" t="str">
        <x:v>MISSING_VENDOR</x:v>
      </x:c>
      <x:c r="S41" t="n">
        <x:v>94</x:v>
      </x:c>
    </x:row>
    <x:row r="42" ht="15" hidden="0" customHeight="1">
      <x:c r="A42" t="str">
        <x:v>OFFER-FB59BACE74B1</x:v>
      </x:c>
      <x:c r="B42" t="str">
        <x:v>SPEC-4CA2AA9D327A</x:v>
      </x:c>
      <x:c r="C42" t="str">
        <x:v>SCH</x:v>
      </x:c>
      <x:c r="D42" t="str">
        <x:v>DB SFIC</x:v>
      </x:c>
      <x:c r="E42" t="str">
        <x:v>TUBE DB 7 PIN</x:v>
      </x:c>
      <x:c r="F42" t="str"/>
      <x:c r="G42" t="str">
        <x:v>8T37KSTK</x:v>
      </x:c>
      <x:c r="H42" t="str">
        <x:v>8T37KSTK 626-SFIC</x:v>
      </x:c>
      <x:c r="I42" t="str"/>
      <x:c r="J42" s="54" t="n">
        <x:v>179.5</x:v>
      </x:c>
      <x:c r="K42" t="str"/>
      <x:c r="L42" s="57"/>
      <x:c r="M42" s="57"/>
      <x:c r="N42" s="54" t="n">
        <x:f>IF(J42="","",J42*(1-IF(L42="",0,L42))*(1-IF(M42="",0,M42)))</x:f>
        <x:v>179.5</x:v>
      </x:c>
      <x:c r="O42" t="str">
        <x:v>USD</x:v>
      </x:c>
      <x:c r="P42" t="str">
        <x:f>IF(J42="","UNPRICED","PRICED")</x:f>
        <x:v>PRICED</x:v>
      </x:c>
      <x:c r="Q42" t="str">
        <x:f>IF(OR(ISNUMBER(SEARCH("MISSING_VENDOR",R42)),ISNUMBER(SEARCH("MISSING_PART_NUMBER",R42)),ISNUMBER(SEARCH("PLACEHOLDER_PART_NUMBER",R42)),ISNUMBER(SEARCH("MISSING_REQUIRED_SPEC",R42)),ISNUMBER(SEARCH("PART_NUMBER_CONFLICT",R42)),ISNUMBER(SEARCH("SIZE_PART_MISMATCH",R42)),ISNUMBER(SEARCH("POSSIBLE_PRICE_OUTLIER",R42))),"REVIEW","ACTIVE")</x:f>
        <x:v>ACTIVE</x:v>
      </x:c>
      <x:c r="R42" t="str"/>
      <x:c r="S42" t="n">
        <x:v>101</x:v>
      </x:c>
    </x:row>
    <x:row r="43" ht="15" hidden="0" customHeight="1">
      <x:c r="A43" t="str">
        <x:v>OFFER-82FC3473DC07</x:v>
      </x:c>
      <x:c r="B43" t="str">
        <x:v>SPEC-F8964A11918A</x:v>
      </x:c>
      <x:c r="C43" t="str">
        <x:v>SCH</x:v>
      </x:c>
      <x:c r="D43" t="str">
        <x:v>DB SGL-SFIC</x:v>
      </x:c>
      <x:c r="E43" t="str">
        <x:v>INDICATOR SFIC</x:v>
      </x:c>
      <x:c r="F43" t="str"/>
      <x:c r="G43" t="str">
        <x:v>B660P</x:v>
      </x:c>
      <x:c r="H43" t="str">
        <x:v>B660P 626 OS-OCC</x:v>
      </x:c>
      <x:c r="I43" t="str"/>
      <x:c r="J43" s="54" t="n">
        <x:v>207.84</x:v>
      </x:c>
      <x:c r="K43" t="str"/>
      <x:c r="L43" s="57"/>
      <x:c r="M43" s="57"/>
      <x:c r="N43" s="54" t="n">
        <x:f>IF(J43="","",J43*(1-IF(L43="",0,L43))*(1-IF(M43="",0,M43)))</x:f>
        <x:v>207.84</x:v>
      </x:c>
      <x:c r="O43" t="str">
        <x:v>USD</x:v>
      </x:c>
      <x:c r="P43" t="str">
        <x:f>IF(J43="","UNPRICED","PRICED")</x:f>
        <x:v>PRICED</x:v>
      </x:c>
      <x:c r="Q43" t="str">
        <x:f>IF(OR(ISNUMBER(SEARCH("MISSING_VENDOR",R43)),ISNUMBER(SEARCH("MISSING_PART_NUMBER",R43)),ISNUMBER(SEARCH("PLACEHOLDER_PART_NUMBER",R43)),ISNUMBER(SEARCH("MISSING_REQUIRED_SPEC",R43)),ISNUMBER(SEARCH("PART_NUMBER_CONFLICT",R43)),ISNUMBER(SEARCH("SIZE_PART_MISMATCH",R43)),ISNUMBER(SEARCH("POSSIBLE_PRICE_OUTLIER",R43))),"REVIEW","ACTIVE")</x:f>
        <x:v>REVIEW</x:v>
      </x:c>
      <x:c r="R43" t="str">
        <x:v>CATEGORY_ALIAS_NORMALIZED; PART_NUMBER_CONFLICT</x:v>
      </x:c>
      <x:c r="S43" t="n">
        <x:v>100</x:v>
      </x:c>
    </x:row>
    <x:row r="44" ht="15" hidden="0" customHeight="1">
      <x:c r="A44" t="str">
        <x:v>OFFER-6016F1721701</x:v>
      </x:c>
      <x:c r="B44" t="str">
        <x:v>SPEC-C2F54366822D</x:v>
      </x:c>
      <x:c r="C44" t="str">
        <x:v>SCH</x:v>
      </x:c>
      <x:c r="D44" t="str">
        <x:v>DB SGL</x:v>
      </x:c>
      <x:c r="E44" t="str">
        <x:v>INDICATOR</x:v>
      </x:c>
      <x:c r="F44" t="str"/>
      <x:c r="G44" t="str">
        <x:v>B660B</x:v>
      </x:c>
      <x:c r="H44" t="str">
        <x:v>B660B 626 OS-OCC</x:v>
      </x:c>
      <x:c r="I44" t="str"/>
      <x:c r="J44" s="54" t="n">
        <x:v>207.84</x:v>
      </x:c>
      <x:c r="K44" t="str"/>
      <x:c r="L44" s="57"/>
      <x:c r="M44" s="57"/>
      <x:c r="N44" s="54" t="n">
        <x:f>IF(J44="","",J44*(1-IF(L44="",0,L44))*(1-IF(M44="",0,M44)))</x:f>
        <x:v>207.84</x:v>
      </x:c>
      <x:c r="O44" t="str">
        <x:v>USD</x:v>
      </x:c>
      <x:c r="P44" t="str">
        <x:f>IF(J44="","UNPRICED","PRICED")</x:f>
        <x:v>PRICED</x:v>
      </x:c>
      <x:c r="Q44" t="str">
        <x:f>IF(OR(ISNUMBER(SEARCH("MISSING_VENDOR",R44)),ISNUMBER(SEARCH("MISSING_PART_NUMBER",R44)),ISNUMBER(SEARCH("PLACEHOLDER_PART_NUMBER",R44)),ISNUMBER(SEARCH("MISSING_REQUIRED_SPEC",R44)),ISNUMBER(SEARCH("PART_NUMBER_CONFLICT",R44)),ISNUMBER(SEARCH("SIZE_PART_MISMATCH",R44)),ISNUMBER(SEARCH("POSSIBLE_PRICE_OUTLIER",R44))),"REVIEW","ACTIVE")</x:f>
        <x:v>REVIEW</x:v>
      </x:c>
      <x:c r="R44" t="str">
        <x:v>CATEGORY_ALIAS_NORMALIZED; PART_NUMBER_CONFLICT</x:v>
      </x:c>
      <x:c r="S44" t="n">
        <x:v>99</x:v>
      </x:c>
    </x:row>
    <x:row r="45" ht="15" hidden="0" customHeight="1">
      <x:c r="A45" t="str">
        <x:v>OFFER-CA46F754A6A1</x:v>
      </x:c>
      <x:c r="B45" t="str">
        <x:v>SPEC-26D5BBD2F119</x:v>
      </x:c>
      <x:c r="C45" t="str">
        <x:v>DH</x:v>
      </x:c>
      <x:c r="D45" t="str">
        <x:v>D1S-SFIC</x:v>
      </x:c>
      <x:c r="E45" t="str">
        <x:v>2.75 BS</x:v>
      </x:c>
      <x:c r="F45" t="str"/>
      <x:c r="G45" t="str">
        <x:v>78001542</x:v>
      </x:c>
      <x:c r="H45" t="str">
        <x:v>78001542 - D1-S-IC Single Cylinder Deadbolt (SFIC - no core)</x:v>
      </x:c>
      <x:c r="I45" t="str"/>
      <x:c r="J45" s="54" t="n">
        <x:v>138.25</x:v>
      </x:c>
      <x:c r="K45" t="str"/>
      <x:c r="L45" s="57"/>
      <x:c r="M45" s="57"/>
      <x:c r="N45" s="54" t="n">
        <x:f>IF(J45="","",J45*(1-IF(L45="",0,L45))*(1-IF(M45="",0,M45)))</x:f>
        <x:v>138.25</x:v>
      </x:c>
      <x:c r="O45" t="str">
        <x:v>USD</x:v>
      </x:c>
      <x:c r="P45" t="str">
        <x:f>IF(J45="","UNPRICED","PRICED")</x:f>
        <x:v>PRICED</x:v>
      </x:c>
      <x:c r="Q45" t="str">
        <x:f>IF(OR(ISNUMBER(SEARCH("MISSING_VENDOR",R45)),ISNUMBER(SEARCH("MISSING_PART_NUMBER",R45)),ISNUMBER(SEARCH("PLACEHOLDER_PART_NUMBER",R45)),ISNUMBER(SEARCH("MISSING_REQUIRED_SPEC",R45)),ISNUMBER(SEARCH("PART_NUMBER_CONFLICT",R45)),ISNUMBER(SEARCH("SIZE_PART_MISMATCH",R45)),ISNUMBER(SEARCH("POSSIBLE_PRICE_OUTLIER",R45))),"REVIEW","ACTIVE")</x:f>
        <x:v>ACTIVE</x:v>
      </x:c>
      <x:c r="R45" t="str"/>
      <x:c r="S45" t="n">
        <x:v>86</x:v>
      </x:c>
    </x:row>
    <x:row r="46" ht="15" hidden="0" customHeight="1">
      <x:c r="A46" t="str">
        <x:v>OFFER-0BC2D03C5327</x:v>
      </x:c>
      <x:c r="B46" t="str">
        <x:v>SPEC-510A92415613</x:v>
      </x:c>
      <x:c r="C46" t="str">
        <x:v>DH</x:v>
      </x:c>
      <x:c r="D46" t="str">
        <x:v>D1S</x:v>
      </x:c>
      <x:c r="E46" t="str">
        <x:v>2.75 BS</x:v>
      </x:c>
      <x:c r="F46" t="str"/>
      <x:c r="G46" t="str">
        <x:v>78001539</x:v>
      </x:c>
      <x:c r="H46" t="str">
        <x:v>78001539 - D1-S Single Cylinder Deadbolt</x:v>
      </x:c>
      <x:c r="I46" t="str"/>
      <x:c r="J46" s="54" t="n">
        <x:v>138.25</x:v>
      </x:c>
      <x:c r="K46" t="str"/>
      <x:c r="L46" s="57"/>
      <x:c r="M46" s="57"/>
      <x:c r="N46" s="54" t="n">
        <x:f>IF(J46="","",J46*(1-IF(L46="",0,L46))*(1-IF(M46="",0,M46)))</x:f>
        <x:v>138.25</x:v>
      </x:c>
      <x:c r="O46" t="str">
        <x:v>USD</x:v>
      </x:c>
      <x:c r="P46" t="str">
        <x:f>IF(J46="","UNPRICED","PRICED")</x:f>
        <x:v>PRICED</x:v>
      </x:c>
      <x:c r="Q46" t="str">
        <x:f>IF(OR(ISNUMBER(SEARCH("MISSING_VENDOR",R46)),ISNUMBER(SEARCH("MISSING_PART_NUMBER",R46)),ISNUMBER(SEARCH("PLACEHOLDER_PART_NUMBER",R46)),ISNUMBER(SEARCH("MISSING_REQUIRED_SPEC",R46)),ISNUMBER(SEARCH("PART_NUMBER_CONFLICT",R46)),ISNUMBER(SEARCH("SIZE_PART_MISMATCH",R46)),ISNUMBER(SEARCH("POSSIBLE_PRICE_OUTLIER",R46))),"REVIEW","ACTIVE")</x:f>
        <x:v>ACTIVE</x:v>
      </x:c>
      <x:c r="R46" t="str"/>
      <x:c r="S46" t="n">
        <x:v>85</x:v>
      </x:c>
    </x:row>
    <x:row r="47" ht="15" hidden="0" customHeight="1">
      <x:c r="A47" t="str">
        <x:v>OFFER-52F14986C3B8</x:v>
      </x:c>
      <x:c r="B47" t="str">
        <x:v>SPEC-84C1D93020B1</x:v>
      </x:c>
      <x:c r="C47" t="str">
        <x:v>DH</x:v>
      </x:c>
      <x:c r="D47" t="str">
        <x:v>D2S-SFIC</x:v>
      </x:c>
      <x:c r="E47" t="str">
        <x:v>2.75 BS</x:v>
      </x:c>
      <x:c r="F47" t="str"/>
      <x:c r="G47" t="str">
        <x:v>78001579</x:v>
      </x:c>
      <x:c r="H47" t="str">
        <x:v>78001579 - D2-S-IC Single Cylinder Deadbolt (SFIC - no core)</x:v>
      </x:c>
      <x:c r="I47" t="str"/>
      <x:c r="J47" s="54" t="n">
        <x:v>88.95</x:v>
      </x:c>
      <x:c r="K47" t="str"/>
      <x:c r="L47" s="57"/>
      <x:c r="M47" s="57"/>
      <x:c r="N47" s="54" t="n">
        <x:f>IF(J47="","",J47*(1-IF(L47="",0,L47))*(1-IF(M47="",0,M47)))</x:f>
        <x:v>88.95</x:v>
      </x:c>
      <x:c r="O47" t="str">
        <x:v>USD</x:v>
      </x:c>
      <x:c r="P47" t="str">
        <x:f>IF(J47="","UNPRICED","PRICED")</x:f>
        <x:v>PRICED</x:v>
      </x:c>
      <x:c r="Q47" t="str">
        <x:f>IF(OR(ISNUMBER(SEARCH("MISSING_VENDOR",R47)),ISNUMBER(SEARCH("MISSING_PART_NUMBER",R47)),ISNUMBER(SEARCH("PLACEHOLDER_PART_NUMBER",R47)),ISNUMBER(SEARCH("MISSING_REQUIRED_SPEC",R47)),ISNUMBER(SEARCH("PART_NUMBER_CONFLICT",R47)),ISNUMBER(SEARCH("SIZE_PART_MISMATCH",R47)),ISNUMBER(SEARCH("POSSIBLE_PRICE_OUTLIER",R47))),"REVIEW","ACTIVE")</x:f>
        <x:v>ACTIVE</x:v>
      </x:c>
      <x:c r="R47" t="str"/>
      <x:c r="S47" t="n">
        <x:v>88</x:v>
      </x:c>
    </x:row>
    <x:row r="48" ht="15" hidden="0" customHeight="1">
      <x:c r="A48" t="str">
        <x:v>OFFER-C9DC2BB3B6DB</x:v>
      </x:c>
      <x:c r="B48" t="str">
        <x:v>SPEC-E24F62A042A6</x:v>
      </x:c>
      <x:c r="C48" t="str">
        <x:v>DH</x:v>
      </x:c>
      <x:c r="D48" t="str">
        <x:v>D2S</x:v>
      </x:c>
      <x:c r="E48" t="str">
        <x:v>2.75 BS</x:v>
      </x:c>
      <x:c r="F48" t="str"/>
      <x:c r="G48" t="str">
        <x:v>78001576</x:v>
      </x:c>
      <x:c r="H48" t="str">
        <x:v>78001576 - D2-S Single Cylinder Deadbolt</x:v>
      </x:c>
      <x:c r="I48" t="str"/>
      <x:c r="J48" s="54" t="n">
        <x:v>88.95</x:v>
      </x:c>
      <x:c r="K48" t="str"/>
      <x:c r="L48" s="57"/>
      <x:c r="M48" s="57"/>
      <x:c r="N48" s="54" t="n">
        <x:f>IF(J48="","",J48*(1-IF(L48="",0,L48))*(1-IF(M48="",0,M48)))</x:f>
        <x:v>88.95</x:v>
      </x:c>
      <x:c r="O48" t="str">
        <x:v>USD</x:v>
      </x:c>
      <x:c r="P48" t="str">
        <x:f>IF(J48="","UNPRICED","PRICED")</x:f>
        <x:v>PRICED</x:v>
      </x:c>
      <x:c r="Q48" t="str">
        <x:f>IF(OR(ISNUMBER(SEARCH("MISSING_VENDOR",R48)),ISNUMBER(SEARCH("MISSING_PART_NUMBER",R48)),ISNUMBER(SEARCH("PLACEHOLDER_PART_NUMBER",R48)),ISNUMBER(SEARCH("MISSING_REQUIRED_SPEC",R48)),ISNUMBER(SEARCH("PART_NUMBER_CONFLICT",R48)),ISNUMBER(SEARCH("SIZE_PART_MISMATCH",R48)),ISNUMBER(SEARCH("POSSIBLE_PRICE_OUTLIER",R48))),"REVIEW","ACTIVE")</x:f>
        <x:v>ACTIVE</x:v>
      </x:c>
      <x:c r="R48" t="str"/>
      <x:c r="S48" t="n">
        <x:v>87</x:v>
      </x:c>
    </x:row>
    <x:row r="49" ht="15" hidden="0" customHeight="1">
      <x:c r="A49" t="str">
        <x:v>OFFER-329B13A6AC55</x:v>
      </x:c>
      <x:c r="B49" t="str">
        <x:v>SPEC-7DFF62A819FC</x:v>
      </x:c>
      <x:c r="C49" t="str">
        <x:v>DJ</x:v>
      </x:c>
      <x:c r="D49" t="str">
        <x:v>DB PULL PLATE OFFSET</x:v>
      </x:c>
      <x:c r="E49" t="str">
        <x:v>DEADBOLT PULL</x:v>
      </x:c>
      <x:c r="F49" t="str"/>
      <x:c r="G49" t="str">
        <x:v>1875</x:v>
      </x:c>
      <x:c r="H49" t="str">
        <x:v>1875</x:v>
      </x:c>
      <x:c r="I49" t="str"/>
      <x:c r="J49" s="54"/>
      <x:c r="K49" t="str"/>
      <x:c r="L49" s="57"/>
      <x:c r="M49" s="57"/>
      <x:c r="N49" s="54" t="str">
        <x:f>IF(J49="","",J49*(1-IF(L49="",0,L49))*(1-IF(M49="",0,M49)))</x:f>
      </x:c>
      <x:c r="O49" t="str">
        <x:v>USD</x:v>
      </x:c>
      <x:c r="P49" t="str">
        <x:f>IF(J49="","UNPRICED","PRICED")</x:f>
        <x:v>UNPRICED</x:v>
      </x:c>
      <x:c r="Q49" t="str">
        <x:f>IF(OR(ISNUMBER(SEARCH("MISSING_VENDOR",R49)),ISNUMBER(SEARCH("MISSING_PART_NUMBER",R49)),ISNUMBER(SEARCH("PLACEHOLDER_PART_NUMBER",R49)),ISNUMBER(SEARCH("MISSING_REQUIRED_SPEC",R49)),ISNUMBER(SEARCH("PART_NUMBER_CONFLICT",R49)),ISNUMBER(SEARCH("SIZE_PART_MISMATCH",R49)),ISNUMBER(SEARCH("POSSIBLE_PRICE_OUTLIER",R49))),"REVIEW","ACTIVE")</x:f>
        <x:v>ACTIVE</x:v>
      </x:c>
      <x:c r="R49" t="str">
        <x:v>MISSING_PRICE</x:v>
      </x:c>
      <x:c r="S49" t="n">
        <x:v>104</x:v>
      </x:c>
    </x:row>
    <x:row r="50" ht="15" hidden="0" customHeight="1">
      <x:c r="A50" t="str">
        <x:v>OFFER-A97BAAAAD0D4</x:v>
      </x:c>
      <x:c r="B50" t="str">
        <x:v>SPEC-FEDA413E0129</x:v>
      </x:c>
      <x:c r="C50" t="str">
        <x:v>DJ</x:v>
      </x:c>
      <x:c r="D50" t="str">
        <x:v>DB PULL PLATE HANDLE</x:v>
      </x:c>
      <x:c r="E50" t="str">
        <x:v>PULL PLATE</x:v>
      </x:c>
      <x:c r="F50" t="str"/>
      <x:c r="G50" t="str">
        <x:v>CFK</x:v>
      </x:c>
      <x:c r="H50" t="str">
        <x:v>CFK 7115</x:v>
      </x:c>
      <x:c r="I50" t="str"/>
      <x:c r="J50" s="54"/>
      <x:c r="K50" t="str"/>
      <x:c r="L50" s="57"/>
      <x:c r="M50" s="57"/>
      <x:c r="N50" s="54" t="str">
        <x:f>IF(J50="","",J50*(1-IF(L50="",0,L50))*(1-IF(M50="",0,M50)))</x:f>
      </x:c>
      <x:c r="O50" t="str">
        <x:v>USD</x:v>
      </x:c>
      <x:c r="P50" t="str">
        <x:f>IF(J50="","UNPRICED","PRICED")</x:f>
        <x:v>UNPRICED</x:v>
      </x:c>
      <x:c r="Q50" t="str">
        <x:f>IF(OR(ISNUMBER(SEARCH("MISSING_VENDOR",R50)),ISNUMBER(SEARCH("MISSING_PART_NUMBER",R50)),ISNUMBER(SEARCH("PLACEHOLDER_PART_NUMBER",R50)),ISNUMBER(SEARCH("MISSING_REQUIRED_SPEC",R50)),ISNUMBER(SEARCH("PART_NUMBER_CONFLICT",R50)),ISNUMBER(SEARCH("SIZE_PART_MISMATCH",R50)),ISNUMBER(SEARCH("POSSIBLE_PRICE_OUTLIER",R50))),"REVIEW","ACTIVE")</x:f>
        <x:v>ACTIVE</x:v>
      </x:c>
      <x:c r="R50" t="str">
        <x:v>MISSING_PRICE</x:v>
      </x:c>
      <x:c r="S50" t="n">
        <x:v>103</x:v>
      </x:c>
    </x:row>
    <x:row r="51" ht="15" hidden="0" customHeight="1">
      <x:c r="A51" t="str">
        <x:v>OFFER-B98D0D0C4DF8</x:v>
      </x:c>
      <x:c r="B51" t="str">
        <x:v>SPEC-617DEEC26694</x:v>
      </x:c>
      <x:c r="C51" t="str">
        <x:v>PHG</x:v>
      </x:c>
      <x:c r="D51" t="str">
        <x:v>DB SGL LFIC</x:v>
      </x:c>
      <x:c r="E51" t="str">
        <x:v>E0151-LFIC</x:v>
      </x:c>
      <x:c r="F51" t="str">
        <x:v>E0151</x:v>
      </x:c>
      <x:c r="G51" t="str">
        <x:v>LM20026DICS</x:v>
      </x:c>
      <x:c r="H51" t="str">
        <x:v>LM20026DICS LM200 - Single Cylinder (E0151) - ICS</x:v>
      </x:c>
      <x:c r="I51" t="str"/>
      <x:c r="J51" s="54" t="n">
        <x:v>138.68</x:v>
      </x:c>
      <x:c r="K51" t="str"/>
      <x:c r="L51" s="57"/>
      <x:c r="M51" s="57"/>
      <x:c r="N51" s="54" t="n">
        <x:f>IF(J51="","",J51*(1-IF(L51="",0,L51))*(1-IF(M51="",0,M51)))</x:f>
        <x:v>138.68</x:v>
      </x:c>
      <x:c r="O51" t="str">
        <x:v>USD</x:v>
      </x:c>
      <x:c r="P51" t="str">
        <x:f>IF(J51="","UNPRICED","PRICED")</x:f>
        <x:v>PRICED</x:v>
      </x:c>
      <x:c r="Q51" t="str">
        <x:f>IF(OR(ISNUMBER(SEARCH("MISSING_VENDOR",R51)),ISNUMBER(SEARCH("MISSING_PART_NUMBER",R51)),ISNUMBER(SEARCH("PLACEHOLDER_PART_NUMBER",R51)),ISNUMBER(SEARCH("MISSING_REQUIRED_SPEC",R51)),ISNUMBER(SEARCH("PART_NUMBER_CONFLICT",R51)),ISNUMBER(SEARCH("SIZE_PART_MISMATCH",R51)),ISNUMBER(SEARCH("POSSIBLE_PRICE_OUTLIER",R51))),"REVIEW","ACTIVE")</x:f>
        <x:v>ACTIVE</x:v>
      </x:c>
      <x:c r="R51" t="str"/>
      <x:c r="S51" t="n">
        <x:v>92</x:v>
      </x:c>
    </x:row>
    <x:row r="52" ht="15" hidden="0" customHeight="1">
      <x:c r="A52" t="str">
        <x:v>OFFER-D1FE0796EF19</x:v>
      </x:c>
      <x:c r="B52" t="str">
        <x:v>SPEC-D1B62C606D00</x:v>
      </x:c>
      <x:c r="C52" t="str">
        <x:v>PHG</x:v>
      </x:c>
      <x:c r="D52" t="str">
        <x:v>DB SGL SFIC</x:v>
      </x:c>
      <x:c r="E52" t="str">
        <x:v>E0151-SFIC</x:v>
      </x:c>
      <x:c r="F52" t="str">
        <x:v>E0151</x:v>
      </x:c>
      <x:c r="G52" t="str">
        <x:v>LM20026DICB</x:v>
      </x:c>
      <x:c r="H52" t="str">
        <x:v>LM20026DICB LM200 - Single Cylinder (E0151) - ICB</x:v>
      </x:c>
      <x:c r="I52" t="str"/>
      <x:c r="J52" s="54" t="n">
        <x:v>101.99</x:v>
      </x:c>
      <x:c r="K52" t="str"/>
      <x:c r="L52" s="57"/>
      <x:c r="M52" s="57"/>
      <x:c r="N52" s="54" t="n">
        <x:f>IF(J52="","",J52*(1-IF(L52="",0,L52))*(1-IF(M52="",0,M52)))</x:f>
        <x:v>101.99</x:v>
      </x:c>
      <x:c r="O52" t="str">
        <x:v>USD</x:v>
      </x:c>
      <x:c r="P52" t="str">
        <x:f>IF(J52="","UNPRICED","PRICED")</x:f>
        <x:v>PRICED</x:v>
      </x:c>
      <x:c r="Q52" t="str">
        <x:f>IF(OR(ISNUMBER(SEARCH("MISSING_VENDOR",R52)),ISNUMBER(SEARCH("MISSING_PART_NUMBER",R52)),ISNUMBER(SEARCH("PLACEHOLDER_PART_NUMBER",R52)),ISNUMBER(SEARCH("MISSING_REQUIRED_SPEC",R52)),ISNUMBER(SEARCH("PART_NUMBER_CONFLICT",R52)),ISNUMBER(SEARCH("SIZE_PART_MISMATCH",R52)),ISNUMBER(SEARCH("POSSIBLE_PRICE_OUTLIER",R52))),"REVIEW","ACTIVE")</x:f>
        <x:v>ACTIVE</x:v>
      </x:c>
      <x:c r="R52" t="str"/>
      <x:c r="S52" t="n">
        <x:v>91</x:v>
      </x:c>
    </x:row>
    <x:row r="53" ht="15" hidden="0" customHeight="1">
      <x:c r="A53" t="str">
        <x:v>OFFER-D08A461B7ED1</x:v>
      </x:c>
      <x:c r="B53" t="str">
        <x:v>SPEC-D1B62C606D00</x:v>
      </x:c>
      <x:c r="C53" t="str">
        <x:v>SCH</x:v>
      </x:c>
      <x:c r="D53" t="str">
        <x:v>DB SGL-SFIC</x:v>
      </x:c>
      <x:c r="E53" t="str">
        <x:v>B660B</x:v>
      </x:c>
      <x:c r="F53" t="str"/>
      <x:c r="G53" t="str">
        <x:v>B660B</x:v>
      </x:c>
      <x:c r="H53" t="str">
        <x:v>B660B 626</x:v>
      </x:c>
      <x:c r="I53" t="str"/>
      <x:c r="J53" s="54" t="n">
        <x:v>163.2</x:v>
      </x:c>
      <x:c r="K53" t="str"/>
      <x:c r="L53" s="57"/>
      <x:c r="M53" s="57"/>
      <x:c r="N53" s="54" t="n">
        <x:f>IF(J53="","",J53*(1-IF(L53="",0,L53))*(1-IF(M53="",0,M53)))</x:f>
        <x:v>163.2</x:v>
      </x:c>
      <x:c r="O53" t="str">
        <x:v>USD</x:v>
      </x:c>
      <x:c r="P53" t="str">
        <x:f>IF(J53="","UNPRICED","PRICED")</x:f>
        <x:v>PRICED</x:v>
      </x:c>
      <x:c r="Q53" t="str">
        <x:f>IF(OR(ISNUMBER(SEARCH("MISSING_VENDOR",R53)),ISNUMBER(SEARCH("MISSING_PART_NUMBER",R53)),ISNUMBER(SEARCH("PLACEHOLDER_PART_NUMBER",R53)),ISNUMBER(SEARCH("MISSING_REQUIRED_SPEC",R53)),ISNUMBER(SEARCH("PART_NUMBER_CONFLICT",R53)),ISNUMBER(SEARCH("SIZE_PART_MISMATCH",R53)),ISNUMBER(SEARCH("POSSIBLE_PRICE_OUTLIER",R53))),"REVIEW","ACTIVE")</x:f>
        <x:v>REVIEW</x:v>
      </x:c>
      <x:c r="R53" t="str">
        <x:v>CATEGORY_ALIAS_NORMALIZED; PART_NUMBER_CONFLICT</x:v>
      </x:c>
      <x:c r="S53" t="n">
        <x:v>98</x:v>
      </x:c>
    </x:row>
    <x:row r="54" ht="15" hidden="0" customHeight="1">
      <x:c r="A54" t="str">
        <x:v>OFFER-86D446EC92B0</x:v>
      </x:c>
      <x:c r="B54" t="str">
        <x:v>SPEC-2AEF47AC9FAB</x:v>
      </x:c>
      <x:c r="C54" t="str">
        <x:v>PHG</x:v>
      </x:c>
      <x:c r="D54" t="str">
        <x:v>DB SGL</x:v>
      </x:c>
      <x:c r="E54" t="str">
        <x:v>E0151</x:v>
      </x:c>
      <x:c r="F54" t="str">
        <x:v>E0151</x:v>
      </x:c>
      <x:c r="G54" t="str">
        <x:v>LM20026D</x:v>
      </x:c>
      <x:c r="H54" t="str">
        <x:v>LM20026D LM200 - Single Cylinder (E0151)</x:v>
      </x:c>
      <x:c r="I54" t="str"/>
      <x:c r="J54" s="54" t="n">
        <x:v>101.99</x:v>
      </x:c>
      <x:c r="K54" t="str"/>
      <x:c r="L54" s="57"/>
      <x:c r="M54" s="57"/>
      <x:c r="N54" s="54" t="n">
        <x:f>IF(J54="","",J54*(1-IF(L54="",0,L54))*(1-IF(M54="",0,M54)))</x:f>
        <x:v>101.99</x:v>
      </x:c>
      <x:c r="O54" t="str">
        <x:v>USD</x:v>
      </x:c>
      <x:c r="P54" t="str">
        <x:f>IF(J54="","UNPRICED","PRICED")</x:f>
        <x:v>PRICED</x:v>
      </x:c>
      <x:c r="Q54" t="str">
        <x:f>IF(OR(ISNUMBER(SEARCH("MISSING_VENDOR",R54)),ISNUMBER(SEARCH("MISSING_PART_NUMBER",R54)),ISNUMBER(SEARCH("PLACEHOLDER_PART_NUMBER",R54)),ISNUMBER(SEARCH("MISSING_REQUIRED_SPEC",R54)),ISNUMBER(SEARCH("PART_NUMBER_CONFLICT",R54)),ISNUMBER(SEARCH("SIZE_PART_MISMATCH",R54)),ISNUMBER(SEARCH("POSSIBLE_PRICE_OUTLIER",R54))),"REVIEW","ACTIVE")</x:f>
        <x:v>ACTIVE</x:v>
      </x:c>
      <x:c r="R54" t="str"/>
      <x:c r="S54" t="n">
        <x:v>90</x:v>
      </x:c>
    </x:row>
    <x:row r="55" ht="15" hidden="0" customHeight="1">
      <x:c r="A55" t="str">
        <x:v>OFFER-C3B7A3F863ED</x:v>
      </x:c>
      <x:c r="B55" t="str">
        <x:v>SPEC-2AEF47AC9FAB</x:v>
      </x:c>
      <x:c r="C55" t="str">
        <x:v>SCH</x:v>
      </x:c>
      <x:c r="D55" t="str">
        <x:v>DB SGL</x:v>
      </x:c>
      <x:c r="E55" t="str">
        <x:v>B660P</x:v>
      </x:c>
      <x:c r="F55" t="str"/>
      <x:c r="G55" t="str">
        <x:v>B660P</x:v>
      </x:c>
      <x:c r="H55" t="str">
        <x:v>B660P 626</x:v>
      </x:c>
      <x:c r="I55" t="str"/>
      <x:c r="J55" s="54" t="n">
        <x:v>163.2</x:v>
      </x:c>
      <x:c r="K55" t="str"/>
      <x:c r="L55" s="57"/>
      <x:c r="M55" s="57"/>
      <x:c r="N55" s="54" t="n">
        <x:f>IF(J55="","",J55*(1-IF(L55="",0,L55))*(1-IF(M55="",0,M55)))</x:f>
        <x:v>163.2</x:v>
      </x:c>
      <x:c r="O55" t="str">
        <x:v>USD</x:v>
      </x:c>
      <x:c r="P55" t="str">
        <x:f>IF(J55="","UNPRICED","PRICED")</x:f>
        <x:v>PRICED</x:v>
      </x:c>
      <x:c r="Q55" t="str">
        <x:f>IF(OR(ISNUMBER(SEARCH("MISSING_VENDOR",R55)),ISNUMBER(SEARCH("MISSING_PART_NUMBER",R55)),ISNUMBER(SEARCH("PLACEHOLDER_PART_NUMBER",R55)),ISNUMBER(SEARCH("MISSING_REQUIRED_SPEC",R55)),ISNUMBER(SEARCH("PART_NUMBER_CONFLICT",R55)),ISNUMBER(SEARCH("SIZE_PART_MISMATCH",R55)),ISNUMBER(SEARCH("POSSIBLE_PRICE_OUTLIER",R55))),"REVIEW","ACTIVE")</x:f>
        <x:v>REVIEW</x:v>
      </x:c>
      <x:c r="R55" t="str">
        <x:v>CATEGORY_ALIAS_NORMALIZED; PART_NUMBER_CONFLICT</x:v>
      </x:c>
      <x:c r="S55" t="n">
        <x:v>97</x:v>
      </x:c>
    </x:row>
    <x:row r="56" ht="15" hidden="0" customHeight="1">
      <x:c r="A56" t="str">
        <x:v>OFFER-05C9188B3A16</x:v>
      </x:c>
      <x:c r="B56" t="str">
        <x:v>SPEC-C7B25313BBD9</x:v>
      </x:c>
      <x:c r="C56" t="str">
        <x:v>PHI</x:v>
      </x:c>
      <x:c r="D56" t="str">
        <x:v>LATCH BOLT MONITOR</x:v>
      </x:c>
      <x:c r="E56" t="str"/>
      <x:c r="F56" t="str"/>
      <x:c r="G56" t="str"/>
      <x:c r="H56" t="str"/>
      <x:c r="I56" t="str"/>
      <x:c r="J56" s="54" t="n">
        <x:v>372</x:v>
      </x:c>
      <x:c r="K56" t="str"/>
      <x:c r="L56" s="57"/>
      <x:c r="M56" s="57"/>
      <x:c r="N56" s="54" t="n">
        <x:f>IF(J56="","",J56*(1-IF(L56="",0,L56))*(1-IF(M56="",0,M56)))</x:f>
        <x:v>372</x:v>
      </x:c>
      <x:c r="O56" t="str">
        <x:v>USD</x:v>
      </x:c>
      <x:c r="P56" t="str">
        <x:f>IF(J56="","UNPRICED","PRICED")</x:f>
        <x:v>PRICED</x:v>
      </x:c>
      <x:c r="Q56" t="str">
        <x:f>IF(OR(ISNUMBER(SEARCH("MISSING_VENDOR",R56)),ISNUMBER(SEARCH("MISSING_PART_NUMBER",R56)),ISNUMBER(SEARCH("PLACEHOLDER_PART_NUMBER",R56)),ISNUMBER(SEARCH("MISSING_REQUIRED_SPEC",R56)),ISNUMBER(SEARCH("PART_NUMBER_CONFLICT",R56)),ISNUMBER(SEARCH("SIZE_PART_MISMATCH",R56)),ISNUMBER(SEARCH("POSSIBLE_PRICE_OUTLIER",R56))),"REVIEW","ACTIVE")</x:f>
        <x:v>REVIEW</x:v>
      </x:c>
      <x:c r="R56" t="str">
        <x:v>MISSING_PART_NUMBER</x:v>
      </x:c>
      <x:c r="S56" t="n">
        <x:v>246</x:v>
      </x:c>
    </x:row>
    <x:row r="57" ht="15" hidden="0" customHeight="1">
      <x:c r="A57" t="str">
        <x:v>OFFER-C9960490322F</x:v>
      </x:c>
      <x:c r="B57" t="str">
        <x:v>SPEC-C0B08F444CF0</x:v>
      </x:c>
      <x:c r="C57" t="str">
        <x:v>PHI</x:v>
      </x:c>
      <x:c r="D57" t="str">
        <x:v>MLR ADDER</x:v>
      </x:c>
      <x:c r="E57" t="str">
        <x:v>MORTORIZED LATCH RETRACTION</x:v>
      </x:c>
      <x:c r="F57" t="str"/>
      <x:c r="G57" t="str"/>
      <x:c r="H57" t="str"/>
      <x:c r="I57" t="str"/>
      <x:c r="J57" s="54" t="n">
        <x:v>1577</x:v>
      </x:c>
      <x:c r="K57" t="str"/>
      <x:c r="L57" s="57"/>
      <x:c r="M57" s="57"/>
      <x:c r="N57" s="54" t="n">
        <x:f>IF(J57="","",J57*(1-IF(L57="",0,L57))*(1-IF(M57="",0,M57)))</x:f>
        <x:v>1577</x:v>
      </x:c>
      <x:c r="O57" t="str">
        <x:v>USD</x:v>
      </x:c>
      <x:c r="P57" t="str">
        <x:f>IF(J57="","UNPRICED","PRICED")</x:f>
        <x:v>PRICED</x:v>
      </x:c>
      <x:c r="Q57" t="str">
        <x:f>IF(OR(ISNUMBER(SEARCH("MISSING_VENDOR",R57)),ISNUMBER(SEARCH("MISSING_PART_NUMBER",R57)),ISNUMBER(SEARCH("PLACEHOLDER_PART_NUMBER",R57)),ISNUMBER(SEARCH("MISSING_REQUIRED_SPEC",R57)),ISNUMBER(SEARCH("PART_NUMBER_CONFLICT",R57)),ISNUMBER(SEARCH("SIZE_PART_MISMATCH",R57)),ISNUMBER(SEARCH("POSSIBLE_PRICE_OUTLIER",R57))),"REVIEW","ACTIVE")</x:f>
        <x:v>REVIEW</x:v>
      </x:c>
      <x:c r="R57" t="str">
        <x:v>MISSING_PART_NUMBER</x:v>
      </x:c>
      <x:c r="S57" t="n">
        <x:v>245</x:v>
      </x:c>
    </x:row>
    <x:row r="58" ht="15" hidden="0" customHeight="1">
      <x:c r="A58" t="str">
        <x:v>OFFER-2D3ABF1C542C</x:v>
      </x:c>
      <x:c r="B58" t="str">
        <x:v>SPEC-C5B77A68C63A</x:v>
      </x:c>
      <x:c r="C58" t="str">
        <x:v>PHI</x:v>
      </x:c>
      <x:c r="D58" t="str">
        <x:v>FIRE ADDER</x:v>
      </x:c>
      <x:c r="E58" t="str"/>
      <x:c r="F58" t="str"/>
      <x:c r="G58" t="str"/>
      <x:c r="H58" t="str"/>
      <x:c r="I58" t="str"/>
      <x:c r="J58" s="54" t="n">
        <x:v>292</x:v>
      </x:c>
      <x:c r="K58" t="str"/>
      <x:c r="L58" s="57"/>
      <x:c r="M58" s="57"/>
      <x:c r="N58" s="54" t="n">
        <x:f>IF(J58="","",J58*(1-IF(L58="",0,L58))*(1-IF(M58="",0,M58)))</x:f>
        <x:v>292</x:v>
      </x:c>
      <x:c r="O58" t="str">
        <x:v>USD</x:v>
      </x:c>
      <x:c r="P58" t="str">
        <x:f>IF(J58="","UNPRICED","PRICED")</x:f>
        <x:v>PRICED</x:v>
      </x:c>
      <x:c r="Q58" t="str">
        <x:f>IF(OR(ISNUMBER(SEARCH("MISSING_VENDOR",R58)),ISNUMBER(SEARCH("MISSING_PART_NUMBER",R58)),ISNUMBER(SEARCH("PLACEHOLDER_PART_NUMBER",R58)),ISNUMBER(SEARCH("MISSING_REQUIRED_SPEC",R58)),ISNUMBER(SEARCH("PART_NUMBER_CONFLICT",R58)),ISNUMBER(SEARCH("SIZE_PART_MISMATCH",R58)),ISNUMBER(SEARCH("POSSIBLE_PRICE_OUTLIER",R58))),"REVIEW","ACTIVE")</x:f>
        <x:v>REVIEW</x:v>
      </x:c>
      <x:c r="R58" t="str">
        <x:v>MISSING_PART_NUMBER</x:v>
      </x:c>
      <x:c r="S58" t="n">
        <x:v>242</x:v>
      </x:c>
    </x:row>
    <x:row r="59" ht="15" hidden="0" customHeight="1">
      <x:c r="A59" t="str">
        <x:v>OFFER-03B77EA7DE67</x:v>
      </x:c>
      <x:c r="B59" t="str">
        <x:v>SPEC-689B22E417E6</x:v>
      </x:c>
      <x:c r="C59" t="str">
        <x:v>COR</x:v>
      </x:c>
      <x:c r="D59" t="str">
        <x:v>MORTISE PANIC</x:v>
      </x:c>
      <x:c r="E59" t="str"/>
      <x:c r="F59" t="str"/>
      <x:c r="G59" t="str"/>
      <x:c r="H59" t="str"/>
      <x:c r="I59" t="str"/>
      <x:c r="J59" s="54"/>
      <x:c r="K59" t="str"/>
      <x:c r="L59" s="57"/>
      <x:c r="M59" s="57"/>
      <x:c r="N59" s="54" t="str">
        <x:f>IF(J59="","",J59*(1-IF(L59="",0,L59))*(1-IF(M59="",0,M59)))</x:f>
      </x:c>
      <x:c r="O59" t="str">
        <x:v>USD</x:v>
      </x:c>
      <x:c r="P59" t="str">
        <x:f>IF(J59="","UNPRICED","PRICED")</x:f>
        <x:v>UNPRICED</x:v>
      </x:c>
      <x:c r="Q59" t="str">
        <x:f>IF(OR(ISNUMBER(SEARCH("MISSING_VENDOR",R59)),ISNUMBER(SEARCH("MISSING_PART_NUMBER",R59)),ISNUMBER(SEARCH("PLACEHOLDER_PART_NUMBER",R59)),ISNUMBER(SEARCH("MISSING_REQUIRED_SPEC",R59)),ISNUMBER(SEARCH("PART_NUMBER_CONFLICT",R59)),ISNUMBER(SEARCH("SIZE_PART_MISMATCH",R59)),ISNUMBER(SEARCH("POSSIBLE_PRICE_OUTLIER",R59))),"REVIEW","ACTIVE")</x:f>
        <x:v>REVIEW</x:v>
      </x:c>
      <x:c r="R59" t="str">
        <x:v>MISSING_PRICE; MISSING_PART_NUMBER</x:v>
      </x:c>
      <x:c r="S59" t="n">
        <x:v>271</x:v>
      </x:c>
    </x:row>
    <x:row r="60" ht="15" hidden="0" customHeight="1">
      <x:c r="A60" t="str">
        <x:v>OFFER-7F49B7D2C161</x:v>
      </x:c>
      <x:c r="B60" t="str">
        <x:v>SPEC-689B22E417E6</x:v>
      </x:c>
      <x:c r="C60" t="str">
        <x:v>SAR</x:v>
      </x:c>
      <x:c r="D60" t="str">
        <x:v>MORTISE PANIC</x:v>
      </x:c>
      <x:c r="E60" t="str"/>
      <x:c r="F60" t="str"/>
      <x:c r="G60" t="str"/>
      <x:c r="H60" t="str"/>
      <x:c r="I60" t="str"/>
      <x:c r="J60" s="54"/>
      <x:c r="K60" t="str"/>
      <x:c r="L60" s="57"/>
      <x:c r="M60" s="57"/>
      <x:c r="N60" s="54" t="str">
        <x:f>IF(J60="","",J60*(1-IF(L60="",0,L60))*(1-IF(M60="",0,M60)))</x:f>
      </x:c>
      <x:c r="O60" t="str">
        <x:v>USD</x:v>
      </x:c>
      <x:c r="P60" t="str">
        <x:f>IF(J60="","UNPRICED","PRICED")</x:f>
        <x:v>UNPRICED</x:v>
      </x:c>
      <x:c r="Q60" t="str">
        <x:f>IF(OR(ISNUMBER(SEARCH("MISSING_VENDOR",R60)),ISNUMBER(SEARCH("MISSING_PART_NUMBER",R60)),ISNUMBER(SEARCH("PLACEHOLDER_PART_NUMBER",R60)),ISNUMBER(SEARCH("MISSING_REQUIRED_SPEC",R60)),ISNUMBER(SEARCH("PART_NUMBER_CONFLICT",R60)),ISNUMBER(SEARCH("SIZE_PART_MISMATCH",R60)),ISNUMBER(SEARCH("POSSIBLE_PRICE_OUTLIER",R60))),"REVIEW","ACTIVE")</x:f>
        <x:v>REVIEW</x:v>
      </x:c>
      <x:c r="R60" t="str">
        <x:v>MISSING_PRICE; MISSING_PART_NUMBER</x:v>
      </x:c>
      <x:c r="S60" t="n">
        <x:v>272</x:v>
      </x:c>
    </x:row>
    <x:row r="61" ht="15" hidden="0" customHeight="1">
      <x:c r="A61" t="str">
        <x:v>OFFER-51510BC59675</x:v>
      </x:c>
      <x:c r="B61" t="str">
        <x:v>SPEC-689B22E417E6</x:v>
      </x:c>
      <x:c r="C61" t="str">
        <x:v>VD</x:v>
      </x:c>
      <x:c r="D61" t="str">
        <x:v>MORTISE PANIC</x:v>
      </x:c>
      <x:c r="E61" t="str"/>
      <x:c r="F61" t="str"/>
      <x:c r="G61" t="str"/>
      <x:c r="H61" t="str"/>
      <x:c r="I61" t="str"/>
      <x:c r="J61" s="54"/>
      <x:c r="K61" t="str"/>
      <x:c r="L61" s="57"/>
      <x:c r="M61" s="57"/>
      <x:c r="N61" s="54" t="str">
        <x:f>IF(J61="","",J61*(1-IF(L61="",0,L61))*(1-IF(M61="",0,M61)))</x:f>
      </x:c>
      <x:c r="O61" t="str">
        <x:v>USD</x:v>
      </x:c>
      <x:c r="P61" t="str">
        <x:f>IF(J61="","UNPRICED","PRICED")</x:f>
        <x:v>UNPRICED</x:v>
      </x:c>
      <x:c r="Q61" t="str">
        <x:f>IF(OR(ISNUMBER(SEARCH("MISSING_VENDOR",R61)),ISNUMBER(SEARCH("MISSING_PART_NUMBER",R61)),ISNUMBER(SEARCH("PLACEHOLDER_PART_NUMBER",R61)),ISNUMBER(SEARCH("MISSING_REQUIRED_SPEC",R61)),ISNUMBER(SEARCH("PART_NUMBER_CONFLICT",R61)),ISNUMBER(SEARCH("SIZE_PART_MISMATCH",R61)),ISNUMBER(SEARCH("POSSIBLE_PRICE_OUTLIER",R61))),"REVIEW","ACTIVE")</x:f>
        <x:v>REVIEW</x:v>
      </x:c>
      <x:c r="R61" t="str">
        <x:v>MISSING_PRICE; MISSING_PART_NUMBER</x:v>
      </x:c>
      <x:c r="S61" t="n">
        <x:v>275</x:v>
      </x:c>
    </x:row>
    <x:row r="62" ht="15" hidden="0" customHeight="1">
      <x:c r="A62" t="str">
        <x:v>OFFER-05D47A231E98</x:v>
      </x:c>
      <x:c r="B62" t="str">
        <x:v>SPEC-AD3A1C1F2C1E</x:v>
      </x:c>
      <x:c r="C62" t="str">
        <x:v>PHI</x:v>
      </x:c>
      <x:c r="D62" t="str">
        <x:v>EL LEVER DOGGING</x:v>
      </x:c>
      <x:c r="E62" t="str">
        <x:v>2300 BASE EL LOCK/UNLOCK</x:v>
      </x:c>
      <x:c r="F62" t="str"/>
      <x:c r="G62" t="str"/>
      <x:c r="H62" t="str"/>
      <x:c r="I62" t="str"/>
      <x:c r="J62" s="54" t="n">
        <x:v>5918</x:v>
      </x:c>
      <x:c r="K62" t="str"/>
      <x:c r="L62" s="57"/>
      <x:c r="M62" s="57"/>
      <x:c r="N62" s="54" t="n">
        <x:f>IF(J62="","",J62*(1-IF(L62="",0,L62))*(1-IF(M62="",0,M62)))</x:f>
        <x:v>5918</x:v>
      </x:c>
      <x:c r="O62" t="str">
        <x:v>USD</x:v>
      </x:c>
      <x:c r="P62" t="str">
        <x:f>IF(J62="","UNPRICED","PRICED")</x:f>
        <x:v>PRICED</x:v>
      </x:c>
      <x:c r="Q62" t="str">
        <x:f>IF(OR(ISNUMBER(SEARCH("MISSING_VENDOR",R62)),ISNUMBER(SEARCH("MISSING_PART_NUMBER",R62)),ISNUMBER(SEARCH("PLACEHOLDER_PART_NUMBER",R62)),ISNUMBER(SEARCH("MISSING_REQUIRED_SPEC",R62)),ISNUMBER(SEARCH("PART_NUMBER_CONFLICT",R62)),ISNUMBER(SEARCH("SIZE_PART_MISMATCH",R62)),ISNUMBER(SEARCH("POSSIBLE_PRICE_OUTLIER",R62))),"REVIEW","ACTIVE")</x:f>
        <x:v>REVIEW</x:v>
      </x:c>
      <x:c r="R62" t="str">
        <x:v>MISSING_PART_NUMBER</x:v>
      </x:c>
      <x:c r="S62" t="n">
        <x:v>256</x:v>
      </x:c>
    </x:row>
    <x:row r="63" ht="15" hidden="0" customHeight="1">
      <x:c r="A63" t="str">
        <x:v>OFFER-0A497BF2957B</x:v>
      </x:c>
      <x:c r="B63" t="str">
        <x:v>SPEC-98123BC5188E</x:v>
      </x:c>
      <x:c r="C63" t="str">
        <x:v>PHI</x:v>
      </x:c>
      <x:c r="D63" t="str">
        <x:v>EL LEVER DOGGING</x:v>
      </x:c>
      <x:c r="E63" t="str">
        <x:v>2300 BASE EL LOCK/UNLOCK</x:v>
      </x:c>
      <x:c r="F63" t="str"/>
      <x:c r="G63" t="str"/>
      <x:c r="H63" t="str"/>
      <x:c r="I63" t="str"/>
      <x:c r="J63" s="54" t="n">
        <x:v>5918</x:v>
      </x:c>
      <x:c r="K63" t="str"/>
      <x:c r="L63" s="57"/>
      <x:c r="M63" s="57"/>
      <x:c r="N63" s="54" t="n">
        <x:f>IF(J63="","",J63*(1-IF(L63="",0,L63))*(1-IF(M63="",0,M63)))</x:f>
        <x:v>5918</x:v>
      </x:c>
      <x:c r="O63" t="str">
        <x:v>USD</x:v>
      </x:c>
      <x:c r="P63" t="str">
        <x:f>IF(J63="","UNPRICED","PRICED")</x:f>
        <x:v>PRICED</x:v>
      </x:c>
      <x:c r="Q63" t="str">
        <x:f>IF(OR(ISNUMBER(SEARCH("MISSING_VENDOR",R63)),ISNUMBER(SEARCH("MISSING_PART_NUMBER",R63)),ISNUMBER(SEARCH("PLACEHOLDER_PART_NUMBER",R63)),ISNUMBER(SEARCH("MISSING_REQUIRED_SPEC",R63)),ISNUMBER(SEARCH("PART_NUMBER_CONFLICT",R63)),ISNUMBER(SEARCH("SIZE_PART_MISMATCH",R63)),ISNUMBER(SEARCH("POSSIBLE_PRICE_OUTLIER",R63))),"REVIEW","ACTIVE")</x:f>
        <x:v>REVIEW</x:v>
      </x:c>
      <x:c r="R63" t="str">
        <x:v>MISSING_PART_NUMBER</x:v>
      </x:c>
      <x:c r="S63" t="n">
        <x:v>241</x:v>
      </x:c>
    </x:row>
    <x:row r="64" ht="15" hidden="0" customHeight="1">
      <x:c r="A64" t="str">
        <x:v>OFFER-1D6F45D649A9</x:v>
      </x:c>
      <x:c r="B64" t="str">
        <x:v>SPEC-C4ED33E1B50D</x:v>
      </x:c>
      <x:c r="C64" t="str">
        <x:v>PHI</x:v>
      </x:c>
      <x:c r="D64" t="str">
        <x:v>TDI ADDER</x:v>
      </x:c>
      <x:c r="E64" t="str"/>
      <x:c r="F64" t="str"/>
      <x:c r="G64" t="str"/>
      <x:c r="H64" t="str"/>
      <x:c r="I64" t="str"/>
      <x:c r="J64" s="54" t="n">
        <x:v>67</x:v>
      </x:c>
      <x:c r="K64" t="str"/>
      <x:c r="L64" s="57"/>
      <x:c r="M64" s="57"/>
      <x:c r="N64" s="54" t="n">
        <x:f>IF(J64="","",J64*(1-IF(L64="",0,L64))*(1-IF(M64="",0,M64)))</x:f>
        <x:v>67</x:v>
      </x:c>
      <x:c r="O64" t="str">
        <x:v>USD</x:v>
      </x:c>
      <x:c r="P64" t="str">
        <x:f>IF(J64="","UNPRICED","PRICED")</x:f>
        <x:v>PRICED</x:v>
      </x:c>
      <x:c r="Q64" t="str">
        <x:f>IF(OR(ISNUMBER(SEARCH("MISSING_VENDOR",R64)),ISNUMBER(SEARCH("MISSING_PART_NUMBER",R64)),ISNUMBER(SEARCH("PLACEHOLDER_PART_NUMBER",R64)),ISNUMBER(SEARCH("MISSING_REQUIRED_SPEC",R64)),ISNUMBER(SEARCH("PART_NUMBER_CONFLICT",R64)),ISNUMBER(SEARCH("SIZE_PART_MISMATCH",R64)),ISNUMBER(SEARCH("POSSIBLE_PRICE_OUTLIER",R64))),"REVIEW","ACTIVE")</x:f>
        <x:v>REVIEW</x:v>
      </x:c>
      <x:c r="R64" t="str">
        <x:v>MISSING_PART_NUMBER</x:v>
      </x:c>
      <x:c r="S64" t="n">
        <x:v>244</x:v>
      </x:c>
    </x:row>
    <x:row r="65" ht="15" hidden="0" customHeight="1">
      <x:c r="A65" t="str">
        <x:v>OFFER-71CC3A3DEC37</x:v>
      </x:c>
      <x:c r="B65" t="str">
        <x:v>SPEC-1D93796FD95F</x:v>
      </x:c>
      <x:c r="C65" t="str">
        <x:v>PHI</x:v>
      </x:c>
      <x:c r="D65" t="str">
        <x:v>WIND ADDER</x:v>
      </x:c>
      <x:c r="E65" t="str"/>
      <x:c r="F65" t="str"/>
      <x:c r="G65" t="str"/>
      <x:c r="H65" t="str"/>
      <x:c r="I65" t="str"/>
      <x:c r="J65" s="54" t="n">
        <x:v>67</x:v>
      </x:c>
      <x:c r="K65" t="str"/>
      <x:c r="L65" s="57"/>
      <x:c r="M65" s="57"/>
      <x:c r="N65" s="54" t="n">
        <x:f>IF(J65="","",J65*(1-IF(L65="",0,L65))*(1-IF(M65="",0,M65)))</x:f>
        <x:v>67</x:v>
      </x:c>
      <x:c r="O65" t="str">
        <x:v>USD</x:v>
      </x:c>
      <x:c r="P65" t="str">
        <x:f>IF(J65="","UNPRICED","PRICED")</x:f>
        <x:v>PRICED</x:v>
      </x:c>
      <x:c r="Q65" t="str">
        <x:f>IF(OR(ISNUMBER(SEARCH("MISSING_VENDOR",R65)),ISNUMBER(SEARCH("MISSING_PART_NUMBER",R65)),ISNUMBER(SEARCH("PLACEHOLDER_PART_NUMBER",R65)),ISNUMBER(SEARCH("MISSING_REQUIRED_SPEC",R65)),ISNUMBER(SEARCH("PART_NUMBER_CONFLICT",R65)),ISNUMBER(SEARCH("SIZE_PART_MISMATCH",R65)),ISNUMBER(SEARCH("POSSIBLE_PRICE_OUTLIER",R65))),"REVIEW","ACTIVE")</x:f>
        <x:v>REVIEW</x:v>
      </x:c>
      <x:c r="R65" t="str">
        <x:v>MISSING_PART_NUMBER</x:v>
      </x:c>
      <x:c r="S65" t="n">
        <x:v>243</x:v>
      </x:c>
    </x:row>
    <x:row r="66" ht="15" hidden="0" customHeight="1">
      <x:c r="A66" t="str">
        <x:v>OFFER-97B6330F0674</x:v>
      </x:c>
      <x:c r="B66" t="str">
        <x:v>SPEC-D5FA5E171F76</x:v>
      </x:c>
      <x:c r="C66" t="str">
        <x:v>DK</x:v>
      </x:c>
      <x:c r="D66" t="str">
        <x:v>9500B 36"</x:v>
      </x:c>
      <x:c r="E66" t="str">
        <x:v>9500:M-PANIC: F+W</x:v>
      </x:c>
      <x:c r="F66" t="str"/>
      <x:c r="G66" t="str"/>
      <x:c r="H66" t="str"/>
      <x:c r="I66" t="str"/>
      <x:c r="J66" s="54"/>
      <x:c r="K66" t="str"/>
      <x:c r="L66" s="57"/>
      <x:c r="M66" s="57"/>
      <x:c r="N66" s="54" t="str">
        <x:f>IF(J66="","",J66*(1-IF(L66="",0,L66))*(1-IF(M66="",0,M66)))</x:f>
      </x:c>
      <x:c r="O66" t="str">
        <x:v>USD</x:v>
      </x:c>
      <x:c r="P66" t="str">
        <x:f>IF(J66="","UNPRICED","PRICED")</x:f>
        <x:v>UNPRICED</x:v>
      </x:c>
      <x:c r="Q66" t="str">
        <x:f>IF(OR(ISNUMBER(SEARCH("MISSING_VENDOR",R66)),ISNUMBER(SEARCH("MISSING_PART_NUMBER",R66)),ISNUMBER(SEARCH("PLACEHOLDER_PART_NUMBER",R66)),ISNUMBER(SEARCH("MISSING_REQUIRED_SPEC",R66)),ISNUMBER(SEARCH("PART_NUMBER_CONFLICT",R66)),ISNUMBER(SEARCH("SIZE_PART_MISMATCH",R66)),ISNUMBER(SEARCH("POSSIBLE_PRICE_OUTLIER",R66))),"REVIEW","ACTIVE")</x:f>
        <x:v>REVIEW</x:v>
      </x:c>
      <x:c r="R66" t="str">
        <x:v>MISSING_PRICE; MISSING_PART_NUMBER</x:v>
      </x:c>
      <x:c r="S66" t="n">
        <x:v>222</x:v>
      </x:c>
    </x:row>
    <x:row r="67" ht="15" hidden="0" customHeight="1">
      <x:c r="A67" t="str">
        <x:v>OFFER-5868453C7A1C</x:v>
      </x:c>
      <x:c r="B67" t="str">
        <x:v>SPEC-036361A21AA8</x:v>
      </x:c>
      <x:c r="C67" t="str">
        <x:v>DK</x:v>
      </x:c>
      <x:c r="D67" t="str">
        <x:v>9500B 36"</x:v>
      </x:c>
      <x:c r="E67" t="str">
        <x:v>9500:M-PANIC: F+W_EL</x:v>
      </x:c>
      <x:c r="F67" t="str"/>
      <x:c r="G67" t="str"/>
      <x:c r="H67" t="str"/>
      <x:c r="I67" t="str"/>
      <x:c r="J67" s="54"/>
      <x:c r="K67" t="str"/>
      <x:c r="L67" s="57"/>
      <x:c r="M67" s="57"/>
      <x:c r="N67" s="54" t="str">
        <x:f>IF(J67="","",J67*(1-IF(L67="",0,L67))*(1-IF(M67="",0,M67)))</x:f>
      </x:c>
      <x:c r="O67" t="str">
        <x:v>USD</x:v>
      </x:c>
      <x:c r="P67" t="str">
        <x:f>IF(J67="","UNPRICED","PRICED")</x:f>
        <x:v>UNPRICED</x:v>
      </x:c>
      <x:c r="Q67" t="str">
        <x:f>IF(OR(ISNUMBER(SEARCH("MISSING_VENDOR",R67)),ISNUMBER(SEARCH("MISSING_PART_NUMBER",R67)),ISNUMBER(SEARCH("PLACEHOLDER_PART_NUMBER",R67)),ISNUMBER(SEARCH("MISSING_REQUIRED_SPEC",R67)),ISNUMBER(SEARCH("PART_NUMBER_CONFLICT",R67)),ISNUMBER(SEARCH("SIZE_PART_MISMATCH",R67)),ISNUMBER(SEARCH("POSSIBLE_PRICE_OUTLIER",R67))),"REVIEW","ACTIVE")</x:f>
        <x:v>REVIEW</x:v>
      </x:c>
      <x:c r="R67" t="str">
        <x:v>MISSING_PRICE; MISSING_PART_NUMBER</x:v>
      </x:c>
      <x:c r="S67" t="n">
        <x:v>223</x:v>
      </x:c>
    </x:row>
    <x:row r="68" ht="15" hidden="0" customHeight="1">
      <x:c r="A68" t="str">
        <x:v>OFFER-1CCBBDEB60B6</x:v>
      </x:c>
      <x:c r="B68" t="str">
        <x:v>SPEC-90FE8EA35B7D</x:v>
      </x:c>
      <x:c r="C68" t="str">
        <x:v>DK</x:v>
      </x:c>
      <x:c r="D68" t="str">
        <x:v>9500B 36"</x:v>
      </x:c>
      <x:c r="E68" t="str">
        <x:v>9500:M-PANIC: F+W_MLR</x:v>
      </x:c>
      <x:c r="F68" t="str"/>
      <x:c r="G68" t="str"/>
      <x:c r="H68" t="str"/>
      <x:c r="I68" t="str"/>
      <x:c r="J68" s="54"/>
      <x:c r="K68" t="str"/>
      <x:c r="L68" s="57"/>
      <x:c r="M68" s="57"/>
      <x:c r="N68" s="54" t="str">
        <x:f>IF(J68="","",J68*(1-IF(L68="",0,L68))*(1-IF(M68="",0,M68)))</x:f>
      </x:c>
      <x:c r="O68" t="str">
        <x:v>USD</x:v>
      </x:c>
      <x:c r="P68" t="str">
        <x:f>IF(J68="","UNPRICED","PRICED")</x:f>
        <x:v>UNPRICED</x:v>
      </x:c>
      <x:c r="Q68" t="str">
        <x:f>IF(OR(ISNUMBER(SEARCH("MISSING_VENDOR",R68)),ISNUMBER(SEARCH("MISSING_PART_NUMBER",R68)),ISNUMBER(SEARCH("PLACEHOLDER_PART_NUMBER",R68)),ISNUMBER(SEARCH("MISSING_REQUIRED_SPEC",R68)),ISNUMBER(SEARCH("PART_NUMBER_CONFLICT",R68)),ISNUMBER(SEARCH("SIZE_PART_MISMATCH",R68)),ISNUMBER(SEARCH("POSSIBLE_PRICE_OUTLIER",R68))),"REVIEW","ACTIVE")</x:f>
        <x:v>REVIEW</x:v>
      </x:c>
      <x:c r="R68" t="str">
        <x:v>MISSING_PRICE; MISSING_PART_NUMBER</x:v>
      </x:c>
      <x:c r="S68" t="n">
        <x:v>224</x:v>
      </x:c>
    </x:row>
    <x:row r="69" ht="15" hidden="0" customHeight="1">
      <x:c r="A69" t="str">
        <x:v>OFFER-610EBD06B977</x:v>
      </x:c>
      <x:c r="B69" t="str">
        <x:v>SPEC-7BC008234E13</x:v>
      </x:c>
      <x:c r="C69" t="str">
        <x:v>DK</x:v>
      </x:c>
      <x:c r="D69" t="str">
        <x:v>9500B 36"</x:v>
      </x:c>
      <x:c r="E69" t="str">
        <x:v>9500:M-PANIC: F</x:v>
      </x:c>
      <x:c r="F69" t="str"/>
      <x:c r="G69" t="str"/>
      <x:c r="H69" t="str"/>
      <x:c r="I69" t="str"/>
      <x:c r="J69" s="54"/>
      <x:c r="K69" t="str"/>
      <x:c r="L69" s="57"/>
      <x:c r="M69" s="57"/>
      <x:c r="N69" s="54" t="str">
        <x:f>IF(J69="","",J69*(1-IF(L69="",0,L69))*(1-IF(M69="",0,M69)))</x:f>
      </x:c>
      <x:c r="O69" t="str">
        <x:v>USD</x:v>
      </x:c>
      <x:c r="P69" t="str">
        <x:f>IF(J69="","UNPRICED","PRICED")</x:f>
        <x:v>UNPRICED</x:v>
      </x:c>
      <x:c r="Q69" t="str">
        <x:f>IF(OR(ISNUMBER(SEARCH("MISSING_VENDOR",R69)),ISNUMBER(SEARCH("MISSING_PART_NUMBER",R69)),ISNUMBER(SEARCH("PLACEHOLDER_PART_NUMBER",R69)),ISNUMBER(SEARCH("MISSING_REQUIRED_SPEC",R69)),ISNUMBER(SEARCH("PART_NUMBER_CONFLICT",R69)),ISNUMBER(SEARCH("SIZE_PART_MISMATCH",R69)),ISNUMBER(SEARCH("POSSIBLE_PRICE_OUTLIER",R69))),"REVIEW","ACTIVE")</x:f>
        <x:v>REVIEW</x:v>
      </x:c>
      <x:c r="R69" t="str">
        <x:v>MISSING_PRICE; MISSING_PART_NUMBER</x:v>
      </x:c>
      <x:c r="S69" t="n">
        <x:v>220</x:v>
      </x:c>
    </x:row>
    <x:row r="70" ht="15" hidden="0" customHeight="1">
      <x:c r="A70" t="str">
        <x:v>OFFER-E35D6B863529</x:v>
      </x:c>
      <x:c r="B70" t="str">
        <x:v>SPEC-7BC008234E13</x:v>
      </x:c>
      <x:c r="C70" t="str">
        <x:v>PHG</x:v>
      </x:c>
      <x:c r="D70" t="str">
        <x:v>9800-36"</x:v>
      </x:c>
      <x:c r="E70" t="str">
        <x:v>36" MORTISE PANIC</x:v>
      </x:c>
      <x:c r="F70" t="str"/>
      <x:c r="G70" t="str"/>
      <x:c r="H70" t="str"/>
      <x:c r="I70" t="str"/>
      <x:c r="J70" s="54"/>
      <x:c r="K70" t="str"/>
      <x:c r="L70" s="57"/>
      <x:c r="M70" s="57"/>
      <x:c r="N70" s="54" t="str">
        <x:f>IF(J70="","",J70*(1-IF(L70="",0,L70))*(1-IF(M70="",0,M70)))</x:f>
      </x:c>
      <x:c r="O70" t="str">
        <x:v>USD</x:v>
      </x:c>
      <x:c r="P70" t="str">
        <x:f>IF(J70="","UNPRICED","PRICED")</x:f>
        <x:v>UNPRICED</x:v>
      </x:c>
      <x:c r="Q70" t="str">
        <x:f>IF(OR(ISNUMBER(SEARCH("MISSING_VENDOR",R70)),ISNUMBER(SEARCH("MISSING_PART_NUMBER",R70)),ISNUMBER(SEARCH("PLACEHOLDER_PART_NUMBER",R70)),ISNUMBER(SEARCH("MISSING_REQUIRED_SPEC",R70)),ISNUMBER(SEARCH("PART_NUMBER_CONFLICT",R70)),ISNUMBER(SEARCH("SIZE_PART_MISMATCH",R70)),ISNUMBER(SEARCH("POSSIBLE_PRICE_OUTLIER",R70))),"REVIEW","ACTIVE")</x:f>
        <x:v>REVIEW</x:v>
      </x:c>
      <x:c r="R70" t="str">
        <x:v>MISSING_PRICE; MISSING_PART_NUMBER</x:v>
      </x:c>
      <x:c r="S70" t="n">
        <x:v>204</x:v>
      </x:c>
    </x:row>
    <x:row r="71" ht="15" hidden="0" customHeight="1">
      <x:c r="A71" t="str">
        <x:v>OFFER-EF6C09257912</x:v>
      </x:c>
      <x:c r="B71" t="str">
        <x:v>SPEC-30C12BF217D8</x:v>
      </x:c>
      <x:c r="C71" t="str">
        <x:v>PHI</x:v>
      </x:c>
      <x:c r="D71" t="str">
        <x:v>2300 36"</x:v>
      </x:c>
      <x:c r="E71" t="str">
        <x:v>2300:M-PANIC: NR</x:v>
      </x:c>
      <x:c r="F71" t="str"/>
      <x:c r="G71" t="str"/>
      <x:c r="H71" t="str"/>
      <x:c r="I71" t="str"/>
      <x:c r="J71" s="54" t="n">
        <x:v>4860</x:v>
      </x:c>
      <x:c r="K71" t="str">
        <x:v>50/70</x:v>
      </x:c>
      <x:c r="L71" s="57" t="n">
        <x:v>0.5</x:v>
      </x:c>
      <x:c r="M71" s="57" t="n">
        <x:v>0.7</x:v>
      </x:c>
      <x:c r="N71" s="54" t="n">
        <x:f>IF(J71="","",J71*(1-IF(L71="",0,L71))*(1-IF(M71="",0,M71)))</x:f>
        <x:v>729.0000000000001</x:v>
      </x:c>
      <x:c r="O71" t="str">
        <x:v>USD</x:v>
      </x:c>
      <x:c r="P71" t="str">
        <x:f>IF(J71="","UNPRICED","PRICED")</x:f>
        <x:v>PRICED</x:v>
      </x:c>
      <x:c r="Q71" t="str">
        <x:f>IF(OR(ISNUMBER(SEARCH("MISSING_VENDOR",R71)),ISNUMBER(SEARCH("MISSING_PART_NUMBER",R71)),ISNUMBER(SEARCH("PLACEHOLDER_PART_NUMBER",R71)),ISNUMBER(SEARCH("MISSING_REQUIRED_SPEC",R71)),ISNUMBER(SEARCH("PART_NUMBER_CONFLICT",R71)),ISNUMBER(SEARCH("SIZE_PART_MISMATCH",R71)),ISNUMBER(SEARCH("POSSIBLE_PRICE_OUTLIER",R71))),"REVIEW","ACTIVE")</x:f>
        <x:v>REVIEW</x:v>
      </x:c>
      <x:c r="R71" t="str">
        <x:v>MISSING_PART_NUMBER</x:v>
      </x:c>
      <x:c r="S71" t="n">
        <x:v>254</x:v>
      </x:c>
    </x:row>
    <x:row r="72" ht="15" hidden="0" customHeight="1">
      <x:c r="A72" t="str">
        <x:v>OFFER-1EECF8E18C32</x:v>
      </x:c>
      <x:c r="B72" t="str">
        <x:v>SPEC-7DC0219E8813</x:v>
      </x:c>
      <x:c r="C72" t="str">
        <x:v>DK</x:v>
      </x:c>
      <x:c r="D72" t="str">
        <x:v>9500B 36"</x:v>
      </x:c>
      <x:c r="E72" t="str">
        <x:v>9500:M-PANIC: NR</x:v>
      </x:c>
      <x:c r="F72" t="str"/>
      <x:c r="G72" t="str"/>
      <x:c r="H72" t="str"/>
      <x:c r="I72" t="str"/>
      <x:c r="J72" s="54"/>
      <x:c r="K72" t="str"/>
      <x:c r="L72" s="57"/>
      <x:c r="M72" s="57"/>
      <x:c r="N72" s="54" t="str">
        <x:f>IF(J72="","",J72*(1-IF(L72="",0,L72))*(1-IF(M72="",0,M72)))</x:f>
      </x:c>
      <x:c r="O72" t="str">
        <x:v>USD</x:v>
      </x:c>
      <x:c r="P72" t="str">
        <x:f>IF(J72="","UNPRICED","PRICED")</x:f>
        <x:v>UNPRICED</x:v>
      </x:c>
      <x:c r="Q72" t="str">
        <x:f>IF(OR(ISNUMBER(SEARCH("MISSING_VENDOR",R72)),ISNUMBER(SEARCH("MISSING_PART_NUMBER",R72)),ISNUMBER(SEARCH("PLACEHOLDER_PART_NUMBER",R72)),ISNUMBER(SEARCH("MISSING_REQUIRED_SPEC",R72)),ISNUMBER(SEARCH("PART_NUMBER_CONFLICT",R72)),ISNUMBER(SEARCH("SIZE_PART_MISMATCH",R72)),ISNUMBER(SEARCH("POSSIBLE_PRICE_OUTLIER",R72))),"REVIEW","ACTIVE")</x:f>
        <x:v>REVIEW</x:v>
      </x:c>
      <x:c r="R72" t="str">
        <x:v>MISSING_PRICE; MISSING_PART_NUMBER</x:v>
      </x:c>
      <x:c r="S72" t="n">
        <x:v>219</x:v>
      </x:c>
    </x:row>
    <x:row r="73" ht="15" hidden="0" customHeight="1">
      <x:c r="A73" t="str">
        <x:v>OFFER-66F8859642F2</x:v>
      </x:c>
      <x:c r="B73" t="str">
        <x:v>SPEC-7DC0219E8813</x:v>
      </x:c>
      <x:c r="C73" t="str">
        <x:v>PHG</x:v>
      </x:c>
      <x:c r="D73" t="str">
        <x:v>9800-36"</x:v>
      </x:c>
      <x:c r="E73" t="str">
        <x:v>36" MORTISE PANIC</x:v>
      </x:c>
      <x:c r="F73" t="str"/>
      <x:c r="G73" t="str"/>
      <x:c r="H73" t="str"/>
      <x:c r="I73" t="str"/>
      <x:c r="J73" s="54"/>
      <x:c r="K73" t="str"/>
      <x:c r="L73" s="57"/>
      <x:c r="M73" s="57"/>
      <x:c r="N73" s="54" t="str">
        <x:f>IF(J73="","",J73*(1-IF(L73="",0,L73))*(1-IF(M73="",0,M73)))</x:f>
      </x:c>
      <x:c r="O73" t="str">
        <x:v>USD</x:v>
      </x:c>
      <x:c r="P73" t="str">
        <x:f>IF(J73="","UNPRICED","PRICED")</x:f>
        <x:v>UNPRICED</x:v>
      </x:c>
      <x:c r="Q73" t="str">
        <x:f>IF(OR(ISNUMBER(SEARCH("MISSING_VENDOR",R73)),ISNUMBER(SEARCH("MISSING_PART_NUMBER",R73)),ISNUMBER(SEARCH("PLACEHOLDER_PART_NUMBER",R73)),ISNUMBER(SEARCH("MISSING_REQUIRED_SPEC",R73)),ISNUMBER(SEARCH("PART_NUMBER_CONFLICT",R73)),ISNUMBER(SEARCH("SIZE_PART_MISMATCH",R73)),ISNUMBER(SEARCH("POSSIBLE_PRICE_OUTLIER",R73))),"REVIEW","ACTIVE")</x:f>
        <x:v>REVIEW</x:v>
      </x:c>
      <x:c r="R73" t="str">
        <x:v>MISSING_PRICE; MISSING_PART_NUMBER</x:v>
      </x:c>
      <x:c r="S73" t="n">
        <x:v>203</x:v>
      </x:c>
    </x:row>
    <x:row r="74" ht="15" hidden="0" customHeight="1">
      <x:c r="A74" t="str">
        <x:v>OFFER-32E39328E06C</x:v>
      </x:c>
      <x:c r="B74" t="str">
        <x:v>SPEC-7DC0219E8813</x:v>
      </x:c>
      <x:c r="C74" t="str">
        <x:v>PHI</x:v>
      </x:c>
      <x:c r="D74" t="str">
        <x:v>2300 36"</x:v>
      </x:c>
      <x:c r="E74" t="str">
        <x:v>2300:M-PANIC: NR</x:v>
      </x:c>
      <x:c r="F74" t="str"/>
      <x:c r="G74" t="str"/>
      <x:c r="H74" t="str"/>
      <x:c r="I74" t="str"/>
      <x:c r="J74" s="54" t="n">
        <x:v>4860</x:v>
      </x:c>
      <x:c r="K74" t="str">
        <x:v>50/70</x:v>
      </x:c>
      <x:c r="L74" s="57" t="n">
        <x:v>0.5</x:v>
      </x:c>
      <x:c r="M74" s="57" t="n">
        <x:v>0.7</x:v>
      </x:c>
      <x:c r="N74" s="54" t="n">
        <x:f>IF(J74="","",J74*(1-IF(L74="",0,L74))*(1-IF(M74="",0,M74)))</x:f>
        <x:v>729.0000000000001</x:v>
      </x:c>
      <x:c r="O74" t="str">
        <x:v>USD</x:v>
      </x:c>
      <x:c r="P74" t="str">
        <x:f>IF(J74="","UNPRICED","PRICED")</x:f>
        <x:v>PRICED</x:v>
      </x:c>
      <x:c r="Q74" t="str">
        <x:f>IF(OR(ISNUMBER(SEARCH("MISSING_VENDOR",R74)),ISNUMBER(SEARCH("MISSING_PART_NUMBER",R74)),ISNUMBER(SEARCH("PLACEHOLDER_PART_NUMBER",R74)),ISNUMBER(SEARCH("MISSING_REQUIRED_SPEC",R74)),ISNUMBER(SEARCH("PART_NUMBER_CONFLICT",R74)),ISNUMBER(SEARCH("SIZE_PART_MISMATCH",R74)),ISNUMBER(SEARCH("POSSIBLE_PRICE_OUTLIER",R74))),"REVIEW","ACTIVE")</x:f>
        <x:v>REVIEW</x:v>
      </x:c>
      <x:c r="R74" t="str">
        <x:v>MISSING_PART_NUMBER</x:v>
      </x:c>
      <x:c r="S74" t="n">
        <x:v>239</x:v>
      </x:c>
    </x:row>
    <x:row r="75" ht="15" hidden="0" customHeight="1">
      <x:c r="A75" t="str">
        <x:v>OFFER-54584895F34D</x:v>
      </x:c>
      <x:c r="B75" t="str">
        <x:v>SPEC-68F1122034DD</x:v>
      </x:c>
      <x:c r="C75" t="str">
        <x:v>PHG</x:v>
      </x:c>
      <x:c r="D75" t="str">
        <x:v>9800-36"</x:v>
      </x:c>
      <x:c r="E75" t="str">
        <x:v>36" MORTISE PANIC</x:v>
      </x:c>
      <x:c r="F75" t="str"/>
      <x:c r="G75" t="str"/>
      <x:c r="H75" t="str"/>
      <x:c r="I75" t="str"/>
      <x:c r="J75" s="54"/>
      <x:c r="K75" t="str"/>
      <x:c r="L75" s="57"/>
      <x:c r="M75" s="57"/>
      <x:c r="N75" s="54" t="str">
        <x:f>IF(J75="","",J75*(1-IF(L75="",0,L75))*(1-IF(M75="",0,M75)))</x:f>
      </x:c>
      <x:c r="O75" t="str">
        <x:v>USD</x:v>
      </x:c>
      <x:c r="P75" t="str">
        <x:f>IF(J75="","UNPRICED","PRICED")</x:f>
        <x:v>UNPRICED</x:v>
      </x:c>
      <x:c r="Q75" t="str">
        <x:f>IF(OR(ISNUMBER(SEARCH("MISSING_VENDOR",R75)),ISNUMBER(SEARCH("MISSING_PART_NUMBER",R75)),ISNUMBER(SEARCH("PLACEHOLDER_PART_NUMBER",R75)),ISNUMBER(SEARCH("MISSING_REQUIRED_SPEC",R75)),ISNUMBER(SEARCH("PART_NUMBER_CONFLICT",R75)),ISNUMBER(SEARCH("SIZE_PART_MISMATCH",R75)),ISNUMBER(SEARCH("POSSIBLE_PRICE_OUTLIER",R75))),"REVIEW","ACTIVE")</x:f>
        <x:v>REVIEW</x:v>
      </x:c>
      <x:c r="R75" t="str">
        <x:v>MISSING_PRICE; MISSING_PART_NUMBER</x:v>
      </x:c>
      <x:c r="S75" t="n">
        <x:v>206</x:v>
      </x:c>
    </x:row>
    <x:row r="76" ht="15" hidden="0" customHeight="1">
      <x:c r="A76" t="str">
        <x:v>OFFER-A59B26AFEF2B</x:v>
      </x:c>
      <x:c r="B76" t="str">
        <x:v>SPEC-B447A07B7E5E</x:v>
      </x:c>
      <x:c r="C76" t="str">
        <x:v>DK</x:v>
      </x:c>
      <x:c r="D76" t="str">
        <x:v>9500B 36"</x:v>
      </x:c>
      <x:c r="E76" t="str">
        <x:v>9500:M-PANIC: W</x:v>
      </x:c>
      <x:c r="F76" t="str"/>
      <x:c r="G76" t="str"/>
      <x:c r="H76" t="str"/>
      <x:c r="I76" t="str"/>
      <x:c r="J76" s="54"/>
      <x:c r="K76" t="str"/>
      <x:c r="L76" s="57"/>
      <x:c r="M76" s="57"/>
      <x:c r="N76" s="54" t="str">
        <x:f>IF(J76="","",J76*(1-IF(L76="",0,L76))*(1-IF(M76="",0,M76)))</x:f>
      </x:c>
      <x:c r="O76" t="str">
        <x:v>USD</x:v>
      </x:c>
      <x:c r="P76" t="str">
        <x:f>IF(J76="","UNPRICED","PRICED")</x:f>
        <x:v>UNPRICED</x:v>
      </x:c>
      <x:c r="Q76" t="str">
        <x:f>IF(OR(ISNUMBER(SEARCH("MISSING_VENDOR",R76)),ISNUMBER(SEARCH("MISSING_PART_NUMBER",R76)),ISNUMBER(SEARCH("PLACEHOLDER_PART_NUMBER",R76)),ISNUMBER(SEARCH("MISSING_REQUIRED_SPEC",R76)),ISNUMBER(SEARCH("PART_NUMBER_CONFLICT",R76)),ISNUMBER(SEARCH("SIZE_PART_MISMATCH",R76)),ISNUMBER(SEARCH("POSSIBLE_PRICE_OUTLIER",R76))),"REVIEW","ACTIVE")</x:f>
        <x:v>REVIEW</x:v>
      </x:c>
      <x:c r="R76" t="str">
        <x:v>MISSING_PRICE; MISSING_PART_NUMBER</x:v>
      </x:c>
      <x:c r="S76" t="n">
        <x:v>221</x:v>
      </x:c>
    </x:row>
    <x:row r="77" ht="15" hidden="0" customHeight="1">
      <x:c r="A77" t="str">
        <x:v>OFFER-30C21A41F248</x:v>
      </x:c>
      <x:c r="B77" t="str">
        <x:v>SPEC-B447A07B7E5E</x:v>
      </x:c>
      <x:c r="C77" t="str">
        <x:v>PHG</x:v>
      </x:c>
      <x:c r="D77" t="str">
        <x:v>9800-36"</x:v>
      </x:c>
      <x:c r="E77" t="str">
        <x:v>36" MORTISE PANIC</x:v>
      </x:c>
      <x:c r="F77" t="str"/>
      <x:c r="G77" t="str"/>
      <x:c r="H77" t="str"/>
      <x:c r="I77" t="str"/>
      <x:c r="J77" s="54"/>
      <x:c r="K77" t="str"/>
      <x:c r="L77" s="57"/>
      <x:c r="M77" s="57"/>
      <x:c r="N77" s="54" t="str">
        <x:f>IF(J77="","",J77*(1-IF(L77="",0,L77))*(1-IF(M77="",0,M77)))</x:f>
      </x:c>
      <x:c r="O77" t="str">
        <x:v>USD</x:v>
      </x:c>
      <x:c r="P77" t="str">
        <x:f>IF(J77="","UNPRICED","PRICED")</x:f>
        <x:v>UNPRICED</x:v>
      </x:c>
      <x:c r="Q77" t="str">
        <x:f>IF(OR(ISNUMBER(SEARCH("MISSING_VENDOR",R77)),ISNUMBER(SEARCH("MISSING_PART_NUMBER",R77)),ISNUMBER(SEARCH("PLACEHOLDER_PART_NUMBER",R77)),ISNUMBER(SEARCH("MISSING_REQUIRED_SPEC",R77)),ISNUMBER(SEARCH("PART_NUMBER_CONFLICT",R77)),ISNUMBER(SEARCH("SIZE_PART_MISMATCH",R77)),ISNUMBER(SEARCH("POSSIBLE_PRICE_OUTLIER",R77))),"REVIEW","ACTIVE")</x:f>
        <x:v>REVIEW</x:v>
      </x:c>
      <x:c r="R77" t="str">
        <x:v>MISSING_PRICE; MISSING_PART_NUMBER</x:v>
      </x:c>
      <x:c r="S77" t="n">
        <x:v>205</x:v>
      </x:c>
    </x:row>
    <x:row r="78" ht="15" hidden="0" customHeight="1">
      <x:c r="A78" t="str">
        <x:v>OFFER-30A5D6060632</x:v>
      </x:c>
      <x:c r="B78" t="str">
        <x:v>SPEC-084F11D098B8</x:v>
      </x:c>
      <x:c r="C78" t="str">
        <x:v>DK</x:v>
      </x:c>
      <x:c r="D78" t="str">
        <x:v>9500A 48"</x:v>
      </x:c>
      <x:c r="E78" t="str">
        <x:v>9500:M-PANIC: F+W</x:v>
      </x:c>
      <x:c r="F78" t="str"/>
      <x:c r="G78" t="str"/>
      <x:c r="H78" t="str"/>
      <x:c r="I78" t="str"/>
      <x:c r="J78" s="54"/>
      <x:c r="K78" t="str"/>
      <x:c r="L78" s="57"/>
      <x:c r="M78" s="57"/>
      <x:c r="N78" s="54" t="str">
        <x:f>IF(J78="","",J78*(1-IF(L78="",0,L78))*(1-IF(M78="",0,M78)))</x:f>
      </x:c>
      <x:c r="O78" t="str">
        <x:v>USD</x:v>
      </x:c>
      <x:c r="P78" t="str">
        <x:f>IF(J78="","UNPRICED","PRICED")</x:f>
        <x:v>UNPRICED</x:v>
      </x:c>
      <x:c r="Q78" t="str">
        <x:f>IF(OR(ISNUMBER(SEARCH("MISSING_VENDOR",R78)),ISNUMBER(SEARCH("MISSING_PART_NUMBER",R78)),ISNUMBER(SEARCH("PLACEHOLDER_PART_NUMBER",R78)),ISNUMBER(SEARCH("MISSING_REQUIRED_SPEC",R78)),ISNUMBER(SEARCH("PART_NUMBER_CONFLICT",R78)),ISNUMBER(SEARCH("SIZE_PART_MISMATCH",R78)),ISNUMBER(SEARCH("POSSIBLE_PRICE_OUTLIER",R78))),"REVIEW","ACTIVE")</x:f>
        <x:v>REVIEW</x:v>
      </x:c>
      <x:c r="R78" t="str">
        <x:v>MISSING_PRICE; MISSING_PART_NUMBER</x:v>
      </x:c>
      <x:c r="S78" t="n">
        <x:v>228</x:v>
      </x:c>
    </x:row>
    <x:row r="79" ht="15" hidden="0" customHeight="1">
      <x:c r="A79" t="str">
        <x:v>OFFER-D801F6827414</x:v>
      </x:c>
      <x:c r="B79" t="str">
        <x:v>SPEC-0FB060D1DA6E</x:v>
      </x:c>
      <x:c r="C79" t="str">
        <x:v>DK</x:v>
      </x:c>
      <x:c r="D79" t="str">
        <x:v>9500A 48"</x:v>
      </x:c>
      <x:c r="E79" t="str">
        <x:v>9500:M-PANIC: F+W_EL</x:v>
      </x:c>
      <x:c r="F79" t="str"/>
      <x:c r="G79" t="str"/>
      <x:c r="H79" t="str"/>
      <x:c r="I79" t="str"/>
      <x:c r="J79" s="54"/>
      <x:c r="K79" t="str"/>
      <x:c r="L79" s="57"/>
      <x:c r="M79" s="57"/>
      <x:c r="N79" s="54" t="str">
        <x:f>IF(J79="","",J79*(1-IF(L79="",0,L79))*(1-IF(M79="",0,M79)))</x:f>
      </x:c>
      <x:c r="O79" t="str">
        <x:v>USD</x:v>
      </x:c>
      <x:c r="P79" t="str">
        <x:f>IF(J79="","UNPRICED","PRICED")</x:f>
        <x:v>UNPRICED</x:v>
      </x:c>
      <x:c r="Q79" t="str">
        <x:f>IF(OR(ISNUMBER(SEARCH("MISSING_VENDOR",R79)),ISNUMBER(SEARCH("MISSING_PART_NUMBER",R79)),ISNUMBER(SEARCH("PLACEHOLDER_PART_NUMBER",R79)),ISNUMBER(SEARCH("MISSING_REQUIRED_SPEC",R79)),ISNUMBER(SEARCH("PART_NUMBER_CONFLICT",R79)),ISNUMBER(SEARCH("SIZE_PART_MISMATCH",R79)),ISNUMBER(SEARCH("POSSIBLE_PRICE_OUTLIER",R79))),"REVIEW","ACTIVE")</x:f>
        <x:v>REVIEW</x:v>
      </x:c>
      <x:c r="R79" t="str">
        <x:v>MISSING_PRICE; MISSING_PART_NUMBER</x:v>
      </x:c>
      <x:c r="S79" t="n">
        <x:v>229</x:v>
      </x:c>
    </x:row>
    <x:row r="80" ht="15" hidden="0" customHeight="1">
      <x:c r="A80" t="str">
        <x:v>OFFER-D985FB53942B</x:v>
      </x:c>
      <x:c r="B80" t="str">
        <x:v>SPEC-6F1E288CFD07</x:v>
      </x:c>
      <x:c r="C80" t="str">
        <x:v>DK</x:v>
      </x:c>
      <x:c r="D80" t="str">
        <x:v>9500A 48"</x:v>
      </x:c>
      <x:c r="E80" t="str">
        <x:v>9500:M-PANIC: F+W_MLR</x:v>
      </x:c>
      <x:c r="F80" t="str"/>
      <x:c r="G80" t="str"/>
      <x:c r="H80" t="str"/>
      <x:c r="I80" t="str"/>
      <x:c r="J80" s="54"/>
      <x:c r="K80" t="str"/>
      <x:c r="L80" s="57"/>
      <x:c r="M80" s="57"/>
      <x:c r="N80" s="54" t="str">
        <x:f>IF(J80="","",J80*(1-IF(L80="",0,L80))*(1-IF(M80="",0,M80)))</x:f>
      </x:c>
      <x:c r="O80" t="str">
        <x:v>USD</x:v>
      </x:c>
      <x:c r="P80" t="str">
        <x:f>IF(J80="","UNPRICED","PRICED")</x:f>
        <x:v>UNPRICED</x:v>
      </x:c>
      <x:c r="Q80" t="str">
        <x:f>IF(OR(ISNUMBER(SEARCH("MISSING_VENDOR",R80)),ISNUMBER(SEARCH("MISSING_PART_NUMBER",R80)),ISNUMBER(SEARCH("PLACEHOLDER_PART_NUMBER",R80)),ISNUMBER(SEARCH("MISSING_REQUIRED_SPEC",R80)),ISNUMBER(SEARCH("PART_NUMBER_CONFLICT",R80)),ISNUMBER(SEARCH("SIZE_PART_MISMATCH",R80)),ISNUMBER(SEARCH("POSSIBLE_PRICE_OUTLIER",R80))),"REVIEW","ACTIVE")</x:f>
        <x:v>REVIEW</x:v>
      </x:c>
      <x:c r="R80" t="str">
        <x:v>MISSING_PRICE; MISSING_PART_NUMBER</x:v>
      </x:c>
      <x:c r="S80" t="n">
        <x:v>230</x:v>
      </x:c>
    </x:row>
    <x:row r="81" ht="15" hidden="0" customHeight="1">
      <x:c r="A81" t="str">
        <x:v>OFFER-5D9FF80D2015</x:v>
      </x:c>
      <x:c r="B81" t="str">
        <x:v>SPEC-3CB1A46F231A</x:v>
      </x:c>
      <x:c r="C81" t="str">
        <x:v>DK</x:v>
      </x:c>
      <x:c r="D81" t="str">
        <x:v>9500A 48"</x:v>
      </x:c>
      <x:c r="E81" t="str">
        <x:v>9500:M-PANIC: F</x:v>
      </x:c>
      <x:c r="F81" t="str"/>
      <x:c r="G81" t="str"/>
      <x:c r="H81" t="str"/>
      <x:c r="I81" t="str"/>
      <x:c r="J81" s="54"/>
      <x:c r="K81" t="str"/>
      <x:c r="L81" s="57"/>
      <x:c r="M81" s="57"/>
      <x:c r="N81" s="54" t="str">
        <x:f>IF(J81="","",J81*(1-IF(L81="",0,L81))*(1-IF(M81="",0,M81)))</x:f>
      </x:c>
      <x:c r="O81" t="str">
        <x:v>USD</x:v>
      </x:c>
      <x:c r="P81" t="str">
        <x:f>IF(J81="","UNPRICED","PRICED")</x:f>
        <x:v>UNPRICED</x:v>
      </x:c>
      <x:c r="Q81" t="str">
        <x:f>IF(OR(ISNUMBER(SEARCH("MISSING_VENDOR",R81)),ISNUMBER(SEARCH("MISSING_PART_NUMBER",R81)),ISNUMBER(SEARCH("PLACEHOLDER_PART_NUMBER",R81)),ISNUMBER(SEARCH("MISSING_REQUIRED_SPEC",R81)),ISNUMBER(SEARCH("PART_NUMBER_CONFLICT",R81)),ISNUMBER(SEARCH("SIZE_PART_MISMATCH",R81)),ISNUMBER(SEARCH("POSSIBLE_PRICE_OUTLIER",R81))),"REVIEW","ACTIVE")</x:f>
        <x:v>REVIEW</x:v>
      </x:c>
      <x:c r="R81" t="str">
        <x:v>MISSING_PRICE; MISSING_PART_NUMBER</x:v>
      </x:c>
      <x:c r="S81" t="n">
        <x:v>226</x:v>
      </x:c>
    </x:row>
    <x:row r="82" ht="15" hidden="0" customHeight="1">
      <x:c r="A82" t="str">
        <x:v>OFFER-A792FD009CF0</x:v>
      </x:c>
      <x:c r="B82" t="str">
        <x:v>SPEC-3CB1A46F231A</x:v>
      </x:c>
      <x:c r="C82" t="str">
        <x:v>PHG</x:v>
      </x:c>
      <x:c r="D82" t="str">
        <x:v>9800-48"</x:v>
      </x:c>
      <x:c r="E82" t="str">
        <x:v>48" MORTISE PANIC</x:v>
      </x:c>
      <x:c r="F82" t="str"/>
      <x:c r="G82" t="str"/>
      <x:c r="H82" t="str"/>
      <x:c r="I82" t="str"/>
      <x:c r="J82" s="54"/>
      <x:c r="K82" t="str"/>
      <x:c r="L82" s="57"/>
      <x:c r="M82" s="57"/>
      <x:c r="N82" s="54" t="str">
        <x:f>IF(J82="","",J82*(1-IF(L82="",0,L82))*(1-IF(M82="",0,M82)))</x:f>
      </x:c>
      <x:c r="O82" t="str">
        <x:v>USD</x:v>
      </x:c>
      <x:c r="P82" t="str">
        <x:f>IF(J82="","UNPRICED","PRICED")</x:f>
        <x:v>UNPRICED</x:v>
      </x:c>
      <x:c r="Q82" t="str">
        <x:f>IF(OR(ISNUMBER(SEARCH("MISSING_VENDOR",R82)),ISNUMBER(SEARCH("MISSING_PART_NUMBER",R82)),ISNUMBER(SEARCH("PLACEHOLDER_PART_NUMBER",R82)),ISNUMBER(SEARCH("MISSING_REQUIRED_SPEC",R82)),ISNUMBER(SEARCH("PART_NUMBER_CONFLICT",R82)),ISNUMBER(SEARCH("SIZE_PART_MISMATCH",R82)),ISNUMBER(SEARCH("POSSIBLE_PRICE_OUTLIER",R82))),"REVIEW","ACTIVE")</x:f>
        <x:v>REVIEW</x:v>
      </x:c>
      <x:c r="R82" t="str">
        <x:v>MISSING_PRICE; MISSING_PART_NUMBER</x:v>
      </x:c>
      <x:c r="S82" t="n">
        <x:v>208</x:v>
      </x:c>
    </x:row>
    <x:row r="83" ht="15" hidden="0" customHeight="1">
      <x:c r="A83" t="str">
        <x:v>OFFER-83A8E7594FD2</x:v>
      </x:c>
      <x:c r="B83" t="str">
        <x:v>SPEC-9EB7474E88A1</x:v>
      </x:c>
      <x:c r="C83" t="str">
        <x:v>PHI</x:v>
      </x:c>
      <x:c r="D83" t="str">
        <x:v>2300 48"</x:v>
      </x:c>
      <x:c r="E83" t="str">
        <x:v>2300:M-PANIC: NR</x:v>
      </x:c>
      <x:c r="F83" t="str"/>
      <x:c r="G83" t="str"/>
      <x:c r="H83" t="str"/>
      <x:c r="I83" t="str"/>
      <x:c r="J83" s="54" t="n">
        <x:v>4860</x:v>
      </x:c>
      <x:c r="K83" t="str">
        <x:v>50/70</x:v>
      </x:c>
      <x:c r="L83" s="57" t="n">
        <x:v>0.5</x:v>
      </x:c>
      <x:c r="M83" s="57" t="n">
        <x:v>0.7</x:v>
      </x:c>
      <x:c r="N83" s="54" t="n">
        <x:f>IF(J83="","",J83*(1-IF(L83="",0,L83))*(1-IF(M83="",0,M83)))</x:f>
        <x:v>729.0000000000001</x:v>
      </x:c>
      <x:c r="O83" t="str">
        <x:v>USD</x:v>
      </x:c>
      <x:c r="P83" t="str">
        <x:f>IF(J83="","UNPRICED","PRICED")</x:f>
        <x:v>PRICED</x:v>
      </x:c>
      <x:c r="Q83" t="str">
        <x:f>IF(OR(ISNUMBER(SEARCH("MISSING_VENDOR",R83)),ISNUMBER(SEARCH("MISSING_PART_NUMBER",R83)),ISNUMBER(SEARCH("PLACEHOLDER_PART_NUMBER",R83)),ISNUMBER(SEARCH("MISSING_REQUIRED_SPEC",R83)),ISNUMBER(SEARCH("PART_NUMBER_CONFLICT",R83)),ISNUMBER(SEARCH("SIZE_PART_MISMATCH",R83)),ISNUMBER(SEARCH("POSSIBLE_PRICE_OUTLIER",R83))),"REVIEW","ACTIVE")</x:f>
        <x:v>REVIEW</x:v>
      </x:c>
      <x:c r="R83" t="str">
        <x:v>MISSING_PART_NUMBER</x:v>
      </x:c>
      <x:c r="S83" t="n">
        <x:v>255</x:v>
      </x:c>
    </x:row>
    <x:row r="84" ht="15" hidden="0" customHeight="1">
      <x:c r="A84" t="str">
        <x:v>OFFER-B19C78D8E403</x:v>
      </x:c>
      <x:c r="B84" t="str">
        <x:v>SPEC-7A7EA96B996C</x:v>
      </x:c>
      <x:c r="C84" t="str">
        <x:v>DK</x:v>
      </x:c>
      <x:c r="D84" t="str">
        <x:v>9500A 48"</x:v>
      </x:c>
      <x:c r="E84" t="str">
        <x:v>9500:M-PANIC: NR</x:v>
      </x:c>
      <x:c r="F84" t="str"/>
      <x:c r="G84" t="str"/>
      <x:c r="H84" t="str"/>
      <x:c r="I84" t="str"/>
      <x:c r="J84" s="54"/>
      <x:c r="K84" t="str"/>
      <x:c r="L84" s="57"/>
      <x:c r="M84" s="57"/>
      <x:c r="N84" s="54" t="str">
        <x:f>IF(J84="","",J84*(1-IF(L84="",0,L84))*(1-IF(M84="",0,M84)))</x:f>
      </x:c>
      <x:c r="O84" t="str">
        <x:v>USD</x:v>
      </x:c>
      <x:c r="P84" t="str">
        <x:f>IF(J84="","UNPRICED","PRICED")</x:f>
        <x:v>UNPRICED</x:v>
      </x:c>
      <x:c r="Q84" t="str">
        <x:f>IF(OR(ISNUMBER(SEARCH("MISSING_VENDOR",R84)),ISNUMBER(SEARCH("MISSING_PART_NUMBER",R84)),ISNUMBER(SEARCH("PLACEHOLDER_PART_NUMBER",R84)),ISNUMBER(SEARCH("MISSING_REQUIRED_SPEC",R84)),ISNUMBER(SEARCH("PART_NUMBER_CONFLICT",R84)),ISNUMBER(SEARCH("SIZE_PART_MISMATCH",R84)),ISNUMBER(SEARCH("POSSIBLE_PRICE_OUTLIER",R84))),"REVIEW","ACTIVE")</x:f>
        <x:v>REVIEW</x:v>
      </x:c>
      <x:c r="R84" t="str">
        <x:v>MISSING_PRICE; MISSING_PART_NUMBER</x:v>
      </x:c>
      <x:c r="S84" t="n">
        <x:v>225</x:v>
      </x:c>
    </x:row>
    <x:row r="85" ht="15" hidden="0" customHeight="1">
      <x:c r="A85" t="str">
        <x:v>OFFER-B57E59305E04</x:v>
      </x:c>
      <x:c r="B85" t="str">
        <x:v>SPEC-7A7EA96B996C</x:v>
      </x:c>
      <x:c r="C85" t="str">
        <x:v>PHG</x:v>
      </x:c>
      <x:c r="D85" t="str">
        <x:v>9800-48"</x:v>
      </x:c>
      <x:c r="E85" t="str">
        <x:v>48" MORTISE PANIC</x:v>
      </x:c>
      <x:c r="F85" t="str"/>
      <x:c r="G85" t="str"/>
      <x:c r="H85" t="str"/>
      <x:c r="I85" t="str"/>
      <x:c r="J85" s="54"/>
      <x:c r="K85" t="str"/>
      <x:c r="L85" s="57"/>
      <x:c r="M85" s="57"/>
      <x:c r="N85" s="54" t="str">
        <x:f>IF(J85="","",J85*(1-IF(L85="",0,L85))*(1-IF(M85="",0,M85)))</x:f>
      </x:c>
      <x:c r="O85" t="str">
        <x:v>USD</x:v>
      </x:c>
      <x:c r="P85" t="str">
        <x:f>IF(J85="","UNPRICED","PRICED")</x:f>
        <x:v>UNPRICED</x:v>
      </x:c>
      <x:c r="Q85" t="str">
        <x:f>IF(OR(ISNUMBER(SEARCH("MISSING_VENDOR",R85)),ISNUMBER(SEARCH("MISSING_PART_NUMBER",R85)),ISNUMBER(SEARCH("PLACEHOLDER_PART_NUMBER",R85)),ISNUMBER(SEARCH("MISSING_REQUIRED_SPEC",R85)),ISNUMBER(SEARCH("PART_NUMBER_CONFLICT",R85)),ISNUMBER(SEARCH("SIZE_PART_MISMATCH",R85)),ISNUMBER(SEARCH("POSSIBLE_PRICE_OUTLIER",R85))),"REVIEW","ACTIVE")</x:f>
        <x:v>REVIEW</x:v>
      </x:c>
      <x:c r="R85" t="str">
        <x:v>MISSING_PRICE; MISSING_PART_NUMBER</x:v>
      </x:c>
      <x:c r="S85" t="n">
        <x:v>207</x:v>
      </x:c>
    </x:row>
    <x:row r="86" ht="15" hidden="0" customHeight="1">
      <x:c r="A86" t="str">
        <x:v>OFFER-1AE0A68CDFA0</x:v>
      </x:c>
      <x:c r="B86" t="str">
        <x:v>SPEC-7A7EA96B996C</x:v>
      </x:c>
      <x:c r="C86" t="str">
        <x:v>PHI</x:v>
      </x:c>
      <x:c r="D86" t="str">
        <x:v>2300 48"</x:v>
      </x:c>
      <x:c r="E86" t="str">
        <x:v>2300:M-PANIC: NR</x:v>
      </x:c>
      <x:c r="F86" t="str"/>
      <x:c r="G86" t="str"/>
      <x:c r="H86" t="str"/>
      <x:c r="I86" t="str"/>
      <x:c r="J86" s="54" t="n">
        <x:v>4860</x:v>
      </x:c>
      <x:c r="K86" t="str">
        <x:v>50/70</x:v>
      </x:c>
      <x:c r="L86" s="57" t="n">
        <x:v>0.5</x:v>
      </x:c>
      <x:c r="M86" s="57" t="n">
        <x:v>0.7</x:v>
      </x:c>
      <x:c r="N86" s="54" t="n">
        <x:f>IF(J86="","",J86*(1-IF(L86="",0,L86))*(1-IF(M86="",0,M86)))</x:f>
        <x:v>729.0000000000001</x:v>
      </x:c>
      <x:c r="O86" t="str">
        <x:v>USD</x:v>
      </x:c>
      <x:c r="P86" t="str">
        <x:f>IF(J86="","UNPRICED","PRICED")</x:f>
        <x:v>PRICED</x:v>
      </x:c>
      <x:c r="Q86" t="str">
        <x:f>IF(OR(ISNUMBER(SEARCH("MISSING_VENDOR",R86)),ISNUMBER(SEARCH("MISSING_PART_NUMBER",R86)),ISNUMBER(SEARCH("PLACEHOLDER_PART_NUMBER",R86)),ISNUMBER(SEARCH("MISSING_REQUIRED_SPEC",R86)),ISNUMBER(SEARCH("PART_NUMBER_CONFLICT",R86)),ISNUMBER(SEARCH("SIZE_PART_MISMATCH",R86)),ISNUMBER(SEARCH("POSSIBLE_PRICE_OUTLIER",R86))),"REVIEW","ACTIVE")</x:f>
        <x:v>REVIEW</x:v>
      </x:c>
      <x:c r="R86" t="str">
        <x:v>MISSING_PART_NUMBER</x:v>
      </x:c>
      <x:c r="S86" t="n">
        <x:v>240</x:v>
      </x:c>
    </x:row>
    <x:row r="87" ht="15" hidden="0" customHeight="1">
      <x:c r="A87" t="str">
        <x:v>OFFER-2C8B47DA9D13</x:v>
      </x:c>
      <x:c r="B87" t="str">
        <x:v>SPEC-37236328FE24</x:v>
      </x:c>
      <x:c r="C87" t="str">
        <x:v>PHG</x:v>
      </x:c>
      <x:c r="D87" t="str">
        <x:v>9800-48"</x:v>
      </x:c>
      <x:c r="E87" t="str">
        <x:v>48" MORTISE PANIC</x:v>
      </x:c>
      <x:c r="F87" t="str"/>
      <x:c r="G87" t="str"/>
      <x:c r="H87" t="str"/>
      <x:c r="I87" t="str"/>
      <x:c r="J87" s="54"/>
      <x:c r="K87" t="str"/>
      <x:c r="L87" s="57"/>
      <x:c r="M87" s="57"/>
      <x:c r="N87" s="54" t="str">
        <x:f>IF(J87="","",J87*(1-IF(L87="",0,L87))*(1-IF(M87="",0,M87)))</x:f>
      </x:c>
      <x:c r="O87" t="str">
        <x:v>USD</x:v>
      </x:c>
      <x:c r="P87" t="str">
        <x:f>IF(J87="","UNPRICED","PRICED")</x:f>
        <x:v>UNPRICED</x:v>
      </x:c>
      <x:c r="Q87" t="str">
        <x:f>IF(OR(ISNUMBER(SEARCH("MISSING_VENDOR",R87)),ISNUMBER(SEARCH("MISSING_PART_NUMBER",R87)),ISNUMBER(SEARCH("PLACEHOLDER_PART_NUMBER",R87)),ISNUMBER(SEARCH("MISSING_REQUIRED_SPEC",R87)),ISNUMBER(SEARCH("PART_NUMBER_CONFLICT",R87)),ISNUMBER(SEARCH("SIZE_PART_MISMATCH",R87)),ISNUMBER(SEARCH("POSSIBLE_PRICE_OUTLIER",R87))),"REVIEW","ACTIVE")</x:f>
        <x:v>REVIEW</x:v>
      </x:c>
      <x:c r="R87" t="str">
        <x:v>MISSING_PRICE; MISSING_PART_NUMBER</x:v>
      </x:c>
      <x:c r="S87" t="n">
        <x:v>210</x:v>
      </x:c>
    </x:row>
    <x:row r="88" ht="15" hidden="0" customHeight="1">
      <x:c r="A88" t="str">
        <x:v>OFFER-FE2A28A67A06</x:v>
      </x:c>
      <x:c r="B88" t="str">
        <x:v>SPEC-5C9564109A2E</x:v>
      </x:c>
      <x:c r="C88" t="str">
        <x:v>DK</x:v>
      </x:c>
      <x:c r="D88" t="str">
        <x:v>9500A 48"</x:v>
      </x:c>
      <x:c r="E88" t="str">
        <x:v>9500:M-PANIC: W</x:v>
      </x:c>
      <x:c r="F88" t="str"/>
      <x:c r="G88" t="str"/>
      <x:c r="H88" t="str"/>
      <x:c r="I88" t="str"/>
      <x:c r="J88" s="54"/>
      <x:c r="K88" t="str"/>
      <x:c r="L88" s="57"/>
      <x:c r="M88" s="57"/>
      <x:c r="N88" s="54" t="str">
        <x:f>IF(J88="","",J88*(1-IF(L88="",0,L88))*(1-IF(M88="",0,M88)))</x:f>
      </x:c>
      <x:c r="O88" t="str">
        <x:v>USD</x:v>
      </x:c>
      <x:c r="P88" t="str">
        <x:f>IF(J88="","UNPRICED","PRICED")</x:f>
        <x:v>UNPRICED</x:v>
      </x:c>
      <x:c r="Q88" t="str">
        <x:f>IF(OR(ISNUMBER(SEARCH("MISSING_VENDOR",R88)),ISNUMBER(SEARCH("MISSING_PART_NUMBER",R88)),ISNUMBER(SEARCH("PLACEHOLDER_PART_NUMBER",R88)),ISNUMBER(SEARCH("MISSING_REQUIRED_SPEC",R88)),ISNUMBER(SEARCH("PART_NUMBER_CONFLICT",R88)),ISNUMBER(SEARCH("SIZE_PART_MISMATCH",R88)),ISNUMBER(SEARCH("POSSIBLE_PRICE_OUTLIER",R88))),"REVIEW","ACTIVE")</x:f>
        <x:v>REVIEW</x:v>
      </x:c>
      <x:c r="R88" t="str">
        <x:v>MISSING_PRICE; MISSING_PART_NUMBER</x:v>
      </x:c>
      <x:c r="S88" t="n">
        <x:v>227</x:v>
      </x:c>
    </x:row>
    <x:row r="89" ht="15" hidden="0" customHeight="1">
      <x:c r="A89" t="str">
        <x:v>OFFER-FED733124D5F</x:v>
      </x:c>
      <x:c r="B89" t="str">
        <x:v>SPEC-5C9564109A2E</x:v>
      </x:c>
      <x:c r="C89" t="str">
        <x:v>PHG</x:v>
      </x:c>
      <x:c r="D89" t="str">
        <x:v>9800-48"</x:v>
      </x:c>
      <x:c r="E89" t="str">
        <x:v>48" MORTISE PANIC</x:v>
      </x:c>
      <x:c r="F89" t="str"/>
      <x:c r="G89" t="str"/>
      <x:c r="H89" t="str"/>
      <x:c r="I89" t="str"/>
      <x:c r="J89" s="54"/>
      <x:c r="K89" t="str"/>
      <x:c r="L89" s="57"/>
      <x:c r="M89" s="57"/>
      <x:c r="N89" s="54" t="str">
        <x:f>IF(J89="","",J89*(1-IF(L89="",0,L89))*(1-IF(M89="",0,M89)))</x:f>
      </x:c>
      <x:c r="O89" t="str">
        <x:v>USD</x:v>
      </x:c>
      <x:c r="P89" t="str">
        <x:f>IF(J89="","UNPRICED","PRICED")</x:f>
        <x:v>UNPRICED</x:v>
      </x:c>
      <x:c r="Q89" t="str">
        <x:f>IF(OR(ISNUMBER(SEARCH("MISSING_VENDOR",R89)),ISNUMBER(SEARCH("MISSING_PART_NUMBER",R89)),ISNUMBER(SEARCH("PLACEHOLDER_PART_NUMBER",R89)),ISNUMBER(SEARCH("MISSING_REQUIRED_SPEC",R89)),ISNUMBER(SEARCH("PART_NUMBER_CONFLICT",R89)),ISNUMBER(SEARCH("SIZE_PART_MISMATCH",R89)),ISNUMBER(SEARCH("POSSIBLE_PRICE_OUTLIER",R89))),"REVIEW","ACTIVE")</x:f>
        <x:v>REVIEW</x:v>
      </x:c>
      <x:c r="R89" t="str">
        <x:v>MISSING_PRICE; MISSING_PART_NUMBER</x:v>
      </x:c>
      <x:c r="S89" t="n">
        <x:v>209</x:v>
      </x:c>
    </x:row>
    <x:row r="90" ht="15" hidden="0" customHeight="1">
      <x:c r="A90" t="str">
        <x:v>OFFER-024B29992B04</x:v>
      </x:c>
      <x:c r="B90" t="str">
        <x:v>SPEC-F0001889C9A7</x:v>
      </x:c>
      <x:c r="C90" t="str">
        <x:v>DK</x:v>
      </x:c>
      <x:c r="D90" t="str">
        <x:v>LATCH BOLT MONITOR</x:v>
      </x:c>
      <x:c r="E90" t="str"/>
      <x:c r="F90" t="str"/>
      <x:c r="G90" t="str"/>
      <x:c r="H90" t="str"/>
      <x:c r="I90" t="str"/>
      <x:c r="J90" s="54"/>
      <x:c r="K90" t="str"/>
      <x:c r="L90" s="57"/>
      <x:c r="M90" s="57"/>
      <x:c r="N90" s="54" t="str">
        <x:f>IF(J90="","",J90*(1-IF(L90="",0,L90))*(1-IF(M90="",0,M90)))</x:f>
      </x:c>
      <x:c r="O90" t="str">
        <x:v>USD</x:v>
      </x:c>
      <x:c r="P90" t="str">
        <x:f>IF(J90="","UNPRICED","PRICED")</x:f>
        <x:v>UNPRICED</x:v>
      </x:c>
      <x:c r="Q90" t="str">
        <x:f>IF(OR(ISNUMBER(SEARCH("MISSING_VENDOR",R90)),ISNUMBER(SEARCH("MISSING_PART_NUMBER",R90)),ISNUMBER(SEARCH("PLACEHOLDER_PART_NUMBER",R90)),ISNUMBER(SEARCH("MISSING_REQUIRED_SPEC",R90)),ISNUMBER(SEARCH("PART_NUMBER_CONFLICT",R90)),ISNUMBER(SEARCH("SIZE_PART_MISMATCH",R90)),ISNUMBER(SEARCH("POSSIBLE_PRICE_OUTLIER",R90))),"REVIEW","ACTIVE")</x:f>
        <x:v>REVIEW</x:v>
      </x:c>
      <x:c r="R90" t="str">
        <x:v>MISSING_PRICE; MISSING_PART_NUMBER</x:v>
      </x:c>
      <x:c r="S90" t="n">
        <x:v>325</x:v>
      </x:c>
    </x:row>
    <x:row r="91" ht="15" hidden="0" customHeight="1">
      <x:c r="A91" t="str">
        <x:v>OFFER-3C24BFD0EE63</x:v>
      </x:c>
      <x:c r="B91" t="str">
        <x:v>SPEC-88554AFB1435</x:v>
      </x:c>
      <x:c r="C91" t="str">
        <x:v>DK</x:v>
      </x:c>
      <x:c r="D91" t="str">
        <x:v>MLR ADDER</x:v>
      </x:c>
      <x:c r="E91" t="str">
        <x:v>MORTORIZED LATCH RETRACTION</x:v>
      </x:c>
      <x:c r="F91" t="str"/>
      <x:c r="G91" t="str"/>
      <x:c r="H91" t="str"/>
      <x:c r="I91" t="str"/>
      <x:c r="J91" s="54" t="n">
        <x:v>1410</x:v>
      </x:c>
      <x:c r="K91" t="str"/>
      <x:c r="L91" s="57"/>
      <x:c r="M91" s="57"/>
      <x:c r="N91" s="54" t="n">
        <x:f>IF(J91="","",J91*(1-IF(L91="",0,L91))*(1-IF(M91="",0,M91)))</x:f>
        <x:v>1410</x:v>
      </x:c>
      <x:c r="O91" t="str">
        <x:v>USD</x:v>
      </x:c>
      <x:c r="P91" t="str">
        <x:f>IF(J91="","UNPRICED","PRICED")</x:f>
        <x:v>PRICED</x:v>
      </x:c>
      <x:c r="Q91" t="str">
        <x:f>IF(OR(ISNUMBER(SEARCH("MISSING_VENDOR",R91)),ISNUMBER(SEARCH("MISSING_PART_NUMBER",R91)),ISNUMBER(SEARCH("PLACEHOLDER_PART_NUMBER",R91)),ISNUMBER(SEARCH("MISSING_REQUIRED_SPEC",R91)),ISNUMBER(SEARCH("PART_NUMBER_CONFLICT",R91)),ISNUMBER(SEARCH("SIZE_PART_MISMATCH",R91)),ISNUMBER(SEARCH("POSSIBLE_PRICE_OUTLIER",R91))),"REVIEW","ACTIVE")</x:f>
        <x:v>REVIEW</x:v>
      </x:c>
      <x:c r="R91" t="str">
        <x:v>MISSING_PART_NUMBER</x:v>
      </x:c>
      <x:c r="S91" t="n">
        <x:v>324</x:v>
      </x:c>
    </x:row>
    <x:row r="92" ht="15" hidden="0" customHeight="1">
      <x:c r="A92" t="str">
        <x:v>OFFER-4F376B0516E3</x:v>
      </x:c>
      <x:c r="B92" t="str">
        <x:v>SPEC-F0001889C9A7</x:v>
      </x:c>
      <x:c r="C92" t="str">
        <x:v>PHI</x:v>
      </x:c>
      <x:c r="D92" t="str">
        <x:v>LATCH BOLT MONITOR</x:v>
      </x:c>
      <x:c r="E92" t="str"/>
      <x:c r="F92" t="str"/>
      <x:c r="G92" t="str"/>
      <x:c r="H92" t="str"/>
      <x:c r="I92" t="str"/>
      <x:c r="J92" s="54" t="n">
        <x:v>372</x:v>
      </x:c>
      <x:c r="K92" t="str"/>
      <x:c r="L92" s="57"/>
      <x:c r="M92" s="57"/>
      <x:c r="N92" s="54" t="n">
        <x:f>IF(J92="","",J92*(1-IF(L92="",0,L92))*(1-IF(M92="",0,M92)))</x:f>
        <x:v>372</x:v>
      </x:c>
      <x:c r="O92" t="str">
        <x:v>USD</x:v>
      </x:c>
      <x:c r="P92" t="str">
        <x:f>IF(J92="","UNPRICED","PRICED")</x:f>
        <x:v>PRICED</x:v>
      </x:c>
      <x:c r="Q92" t="str">
        <x:f>IF(OR(ISNUMBER(SEARCH("MISSING_VENDOR",R92)),ISNUMBER(SEARCH("MISSING_PART_NUMBER",R92)),ISNUMBER(SEARCH("PLACEHOLDER_PART_NUMBER",R92)),ISNUMBER(SEARCH("MISSING_REQUIRED_SPEC",R92)),ISNUMBER(SEARCH("PART_NUMBER_CONFLICT",R92)),ISNUMBER(SEARCH("SIZE_PART_MISMATCH",R92)),ISNUMBER(SEARCH("POSSIBLE_PRICE_OUTLIER",R92))),"REVIEW","ACTIVE")</x:f>
        <x:v>REVIEW</x:v>
      </x:c>
      <x:c r="R92" t="str">
        <x:v>MISSING_PART_NUMBER</x:v>
      </x:c>
      <x:c r="S92" t="n">
        <x:v>343</x:v>
      </x:c>
    </x:row>
    <x:row r="93" ht="15" hidden="0" customHeight="1">
      <x:c r="A93" t="str">
        <x:v>OFFER-7E3FA3CE3601</x:v>
      </x:c>
      <x:c r="B93" t="str">
        <x:v>SPEC-88554AFB1435</x:v>
      </x:c>
      <x:c r="C93" t="str">
        <x:v>PHI</x:v>
      </x:c>
      <x:c r="D93" t="str">
        <x:v>MLR ADDER</x:v>
      </x:c>
      <x:c r="E93" t="str">
        <x:v>MORTORIZED LATCH RETRACTION</x:v>
      </x:c>
      <x:c r="F93" t="str"/>
      <x:c r="G93" t="str"/>
      <x:c r="H93" t="str"/>
      <x:c r="I93" t="str"/>
      <x:c r="J93" s="54" t="n">
        <x:v>1577</x:v>
      </x:c>
      <x:c r="K93" t="str"/>
      <x:c r="L93" s="57"/>
      <x:c r="M93" s="57"/>
      <x:c r="N93" s="54" t="n">
        <x:f>IF(J93="","",J93*(1-IF(L93="",0,L93))*(1-IF(M93="",0,M93)))</x:f>
        <x:v>1577</x:v>
      </x:c>
      <x:c r="O93" t="str">
        <x:v>USD</x:v>
      </x:c>
      <x:c r="P93" t="str">
        <x:f>IF(J93="","UNPRICED","PRICED")</x:f>
        <x:v>PRICED</x:v>
      </x:c>
      <x:c r="Q93" t="str">
        <x:f>IF(OR(ISNUMBER(SEARCH("MISSING_VENDOR",R93)),ISNUMBER(SEARCH("MISSING_PART_NUMBER",R93)),ISNUMBER(SEARCH("PLACEHOLDER_PART_NUMBER",R93)),ISNUMBER(SEARCH("MISSING_REQUIRED_SPEC",R93)),ISNUMBER(SEARCH("PART_NUMBER_CONFLICT",R93)),ISNUMBER(SEARCH("SIZE_PART_MISMATCH",R93)),ISNUMBER(SEARCH("POSSIBLE_PRICE_OUTLIER",R93))),"REVIEW","ACTIVE")</x:f>
        <x:v>REVIEW</x:v>
      </x:c>
      <x:c r="R93" t="str">
        <x:v>MISSING_PART_NUMBER</x:v>
      </x:c>
      <x:c r="S93" t="n">
        <x:v>342</x:v>
      </x:c>
    </x:row>
    <x:row r="94" ht="15" hidden="0" customHeight="1">
      <x:c r="A94" t="str">
        <x:v>OFFER-6C961D8DEA02</x:v>
      </x:c>
      <x:c r="B94" t="str">
        <x:v>SPEC-0BAC690514BC</x:v>
      </x:c>
      <x:c r="C94" t="str">
        <x:v>DK</x:v>
      </x:c>
      <x:c r="D94" t="str">
        <x:v>EL LEVER DOG ADD</x:v>
      </x:c>
      <x:c r="E94" t="str">
        <x:v>9300 BASE EL LOCK/UNLOCK</x:v>
      </x:c>
      <x:c r="F94" t="str"/>
      <x:c r="G94" t="str"/>
      <x:c r="H94" t="str"/>
      <x:c r="I94" t="str"/>
      <x:c r="J94" s="54" t="n">
        <x:v>2408</x:v>
      </x:c>
      <x:c r="K94" t="str"/>
      <x:c r="L94" s="57"/>
      <x:c r="M94" s="57"/>
      <x:c r="N94" s="54" t="n">
        <x:f>IF(J94="","",J94*(1-IF(L94="",0,L94))*(1-IF(M94="",0,M94)))</x:f>
        <x:v>2408</x:v>
      </x:c>
      <x:c r="O94" t="str">
        <x:v>USD</x:v>
      </x:c>
      <x:c r="P94" t="str">
        <x:f>IF(J94="","UNPRICED","PRICED")</x:f>
        <x:v>PRICED</x:v>
      </x:c>
      <x:c r="Q94" t="str">
        <x:f>IF(OR(ISNUMBER(SEARCH("MISSING_VENDOR",R94)),ISNUMBER(SEARCH("MISSING_PART_NUMBER",R94)),ISNUMBER(SEARCH("PLACEHOLDER_PART_NUMBER",R94)),ISNUMBER(SEARCH("MISSING_REQUIRED_SPEC",R94)),ISNUMBER(SEARCH("PART_NUMBER_CONFLICT",R94)),ISNUMBER(SEARCH("SIZE_PART_MISMATCH",R94)),ISNUMBER(SEARCH("POSSIBLE_PRICE_OUTLIER",R94))),"REVIEW","ACTIVE")</x:f>
        <x:v>REVIEW</x:v>
      </x:c>
      <x:c r="R94" t="str">
        <x:v>MISSING_PART_NUMBER</x:v>
      </x:c>
      <x:c r="S94" t="n">
        <x:v>321</x:v>
      </x:c>
    </x:row>
    <x:row r="95" ht="15" hidden="0" customHeight="1">
      <x:c r="A95" t="str">
        <x:v>OFFER-21E2CD4F6856</x:v>
      </x:c>
      <x:c r="B95" t="str">
        <x:v>SPEC-F1E1828AD4E3</x:v>
      </x:c>
      <x:c r="C95" t="str">
        <x:v>DK</x:v>
      </x:c>
      <x:c r="D95" t="str">
        <x:v>ESC LEVER TRIM</x:v>
      </x:c>
      <x:c r="E95" t="str">
        <x:v>YC: ESCUTCHEON</x:v>
      </x:c>
      <x:c r="F95" t="str"/>
      <x:c r="G95" t="str">
        <x:v>YR</x:v>
      </x:c>
      <x:c r="H95" t="str">
        <x:v>YR x FUNCTION</x:v>
      </x:c>
      <x:c r="I95" t="str"/>
      <x:c r="J95" s="54" t="n">
        <x:v>1473</x:v>
      </x:c>
      <x:c r="K95" t="str"/>
      <x:c r="L95" s="57"/>
      <x:c r="M95" s="57"/>
      <x:c r="N95" s="54" t="n">
        <x:f>IF(J95="","",J95*(1-IF(L95="",0,L95))*(1-IF(M95="",0,M95)))</x:f>
        <x:v>1473</x:v>
      </x:c>
      <x:c r="O95" t="str">
        <x:v>USD</x:v>
      </x:c>
      <x:c r="P95" t="str">
        <x:f>IF(J95="","UNPRICED","PRICED")</x:f>
        <x:v>PRICED</x:v>
      </x:c>
      <x:c r="Q95" t="str">
        <x:f>IF(OR(ISNUMBER(SEARCH("MISSING_VENDOR",R95)),ISNUMBER(SEARCH("MISSING_PART_NUMBER",R95)),ISNUMBER(SEARCH("PLACEHOLDER_PART_NUMBER",R95)),ISNUMBER(SEARCH("MISSING_REQUIRED_SPEC",R95)),ISNUMBER(SEARCH("PART_NUMBER_CONFLICT",R95)),ISNUMBER(SEARCH("SIZE_PART_MISMATCH",R95)),ISNUMBER(SEARCH("POSSIBLE_PRICE_OUTLIER",R95))),"REVIEW","ACTIVE")</x:f>
        <x:v>ACTIVE</x:v>
      </x:c>
      <x:c r="R95" t="str"/>
      <x:c r="S95" t="n">
        <x:v>326</x:v>
      </x:c>
    </x:row>
    <x:row r="96" ht="15" hidden="0" customHeight="1">
      <x:c r="A96" t="str">
        <x:v>OFFER-B55BB12150E2</x:v>
      </x:c>
      <x:c r="B96" t="str">
        <x:v>SPEC-F1E1828AD4E3</x:v>
      </x:c>
      <x:c r="C96" t="str">
        <x:v>DK</x:v>
      </x:c>
      <x:c r="D96" t="str">
        <x:v>THUMB PULL TRIM</x:v>
      </x:c>
      <x:c r="E96" t="str">
        <x:v>THUMB PULL TRIM</x:v>
      </x:c>
      <x:c r="F96" t="str"/>
      <x:c r="G96" t="str">
        <x:v>HRT05</x:v>
      </x:c>
      <x:c r="H96" t="str">
        <x:v>HRT05</x:v>
      </x:c>
      <x:c r="I96" t="str"/>
      <x:c r="J96" s="54" t="n">
        <x:v>467</x:v>
      </x:c>
      <x:c r="K96" t="str"/>
      <x:c r="L96" s="57"/>
      <x:c r="M96" s="57"/>
      <x:c r="N96" s="54" t="n">
        <x:f>IF(J96="","",J96*(1-IF(L96="",0,L96))*(1-IF(M96="",0,M96)))</x:f>
        <x:v>467</x:v>
      </x:c>
      <x:c r="O96" t="str">
        <x:v>USD</x:v>
      </x:c>
      <x:c r="P96" t="str">
        <x:f>IF(J96="","UNPRICED","PRICED")</x:f>
        <x:v>PRICED</x:v>
      </x:c>
      <x:c r="Q96" t="str">
        <x:f>IF(OR(ISNUMBER(SEARCH("MISSING_VENDOR",R96)),ISNUMBER(SEARCH("MISSING_PART_NUMBER",R96)),ISNUMBER(SEARCH("PLACEHOLDER_PART_NUMBER",R96)),ISNUMBER(SEARCH("MISSING_REQUIRED_SPEC",R96)),ISNUMBER(SEARCH("PART_NUMBER_CONFLICT",R96)),ISNUMBER(SEARCH("SIZE_PART_MISMATCH",R96)),ISNUMBER(SEARCH("POSSIBLE_PRICE_OUTLIER",R96))),"REVIEW","ACTIVE")</x:f>
        <x:v>ACTIVE</x:v>
      </x:c>
      <x:c r="R96" t="str"/>
      <x:c r="S96" t="n">
        <x:v>327</x:v>
      </x:c>
    </x:row>
    <x:row r="97" ht="15" hidden="0" customHeight="1">
      <x:c r="A97" t="str">
        <x:v>OFFER-4C1667D806E4</x:v>
      </x:c>
      <x:c r="B97" t="str">
        <x:v>SPEC-558A3F2C2CA4</x:v>
      </x:c>
      <x:c r="C97" t="str">
        <x:v>PHI</x:v>
      </x:c>
      <x:c r="D97" t="str">
        <x:v>FIRE ADDER</x:v>
      </x:c>
      <x:c r="E97" t="str"/>
      <x:c r="F97" t="str"/>
      <x:c r="G97" t="str"/>
      <x:c r="H97" t="str"/>
      <x:c r="I97" t="str"/>
      <x:c r="J97" s="54" t="n">
        <x:v>292</x:v>
      </x:c>
      <x:c r="K97" t="str"/>
      <x:c r="L97" s="57"/>
      <x:c r="M97" s="57"/>
      <x:c r="N97" s="54" t="n">
        <x:f>IF(J97="","",J97*(1-IF(L97="",0,L97))*(1-IF(M97="",0,M97)))</x:f>
        <x:v>292</x:v>
      </x:c>
      <x:c r="O97" t="str">
        <x:v>USD</x:v>
      </x:c>
      <x:c r="P97" t="str">
        <x:f>IF(J97="","UNPRICED","PRICED")</x:f>
        <x:v>PRICED</x:v>
      </x:c>
      <x:c r="Q97" t="str">
        <x:f>IF(OR(ISNUMBER(SEARCH("MISSING_VENDOR",R97)),ISNUMBER(SEARCH("MISSING_PART_NUMBER",R97)),ISNUMBER(SEARCH("PLACEHOLDER_PART_NUMBER",R97)),ISNUMBER(SEARCH("MISSING_REQUIRED_SPEC",R97)),ISNUMBER(SEARCH("PART_NUMBER_CONFLICT",R97)),ISNUMBER(SEARCH("SIZE_PART_MISMATCH",R97)),ISNUMBER(SEARCH("POSSIBLE_PRICE_OUTLIER",R97))),"REVIEW","ACTIVE")</x:f>
        <x:v>REVIEW</x:v>
      </x:c>
      <x:c r="R97" t="str">
        <x:v>MISSING_PART_NUMBER</x:v>
      </x:c>
      <x:c r="S97" t="n">
        <x:v>339</x:v>
      </x:c>
    </x:row>
    <x:row r="98" ht="15" hidden="0" customHeight="1">
      <x:c r="A98" t="str">
        <x:v>OFFER-834DF9656AA4</x:v>
      </x:c>
      <x:c r="B98" t="str">
        <x:v>SPEC-9681E11277B4</x:v>
      </x:c>
      <x:c r="C98" t="str">
        <x:v>PHI</x:v>
      </x:c>
      <x:c r="D98" t="str">
        <x:v>EL LEVER DOGGING</x:v>
      </x:c>
      <x:c r="E98" t="str">
        <x:v>2400 BASE EL LOCK/UNLOCK</x:v>
      </x:c>
      <x:c r="F98" t="str"/>
      <x:c r="G98" t="str"/>
      <x:c r="H98" t="str"/>
      <x:c r="I98" t="str"/>
      <x:c r="J98" s="54" t="n">
        <x:v>5918</x:v>
      </x:c>
      <x:c r="K98" t="str"/>
      <x:c r="L98" s="57"/>
      <x:c r="M98" s="57"/>
      <x:c r="N98" s="54" t="n">
        <x:f>IF(J98="","",J98*(1-IF(L98="",0,L98))*(1-IF(M98="",0,M98)))</x:f>
        <x:v>5918</x:v>
      </x:c>
      <x:c r="O98" t="str">
        <x:v>USD</x:v>
      </x:c>
      <x:c r="P98" t="str">
        <x:f>IF(J98="","UNPRICED","PRICED")</x:f>
        <x:v>PRICED</x:v>
      </x:c>
      <x:c r="Q98" t="str">
        <x:f>IF(OR(ISNUMBER(SEARCH("MISSING_VENDOR",R98)),ISNUMBER(SEARCH("MISSING_PART_NUMBER",R98)),ISNUMBER(SEARCH("PLACEHOLDER_PART_NUMBER",R98)),ISNUMBER(SEARCH("MISSING_REQUIRED_SPEC",R98)),ISNUMBER(SEARCH("PART_NUMBER_CONFLICT",R98)),ISNUMBER(SEARCH("SIZE_PART_MISMATCH",R98)),ISNUMBER(SEARCH("POSSIBLE_PRICE_OUTLIER",R98))),"REVIEW","ACTIVE")</x:f>
        <x:v>REVIEW</x:v>
      </x:c>
      <x:c r="R98" t="str">
        <x:v>MISSING_PART_NUMBER</x:v>
      </x:c>
      <x:c r="S98" t="n">
        <x:v>338</x:v>
      </x:c>
    </x:row>
    <x:row r="99" ht="15" hidden="0" customHeight="1">
      <x:c r="A99" t="str">
        <x:v>OFFER-63F8C9C6FEE8</x:v>
      </x:c>
      <x:c r="B99" t="str">
        <x:v>SPEC-20C076C9626B</x:v>
      </x:c>
      <x:c r="C99" t="str">
        <x:v>DK</x:v>
      </x:c>
      <x:c r="D99" t="str">
        <x:v>TDI ADDER</x:v>
      </x:c>
      <x:c r="E99" t="str"/>
      <x:c r="F99" t="str"/>
      <x:c r="G99" t="str"/>
      <x:c r="H99" t="str"/>
      <x:c r="I99" t="str"/>
      <x:c r="J99" s="54"/>
      <x:c r="K99" t="str"/>
      <x:c r="L99" s="57"/>
      <x:c r="M99" s="57"/>
      <x:c r="N99" s="54" t="str">
        <x:f>IF(J99="","",J99*(1-IF(L99="",0,L99))*(1-IF(M99="",0,M99)))</x:f>
      </x:c>
      <x:c r="O99" t="str">
        <x:v>USD</x:v>
      </x:c>
      <x:c r="P99" t="str">
        <x:f>IF(J99="","UNPRICED","PRICED")</x:f>
        <x:v>UNPRICED</x:v>
      </x:c>
      <x:c r="Q99" t="str">
        <x:f>IF(OR(ISNUMBER(SEARCH("MISSING_VENDOR",R99)),ISNUMBER(SEARCH("MISSING_PART_NUMBER",R99)),ISNUMBER(SEARCH("PLACEHOLDER_PART_NUMBER",R99)),ISNUMBER(SEARCH("MISSING_REQUIRED_SPEC",R99)),ISNUMBER(SEARCH("PART_NUMBER_CONFLICT",R99)),ISNUMBER(SEARCH("SIZE_PART_MISMATCH",R99)),ISNUMBER(SEARCH("POSSIBLE_PRICE_OUTLIER",R99))),"REVIEW","ACTIVE")</x:f>
        <x:v>REVIEW</x:v>
      </x:c>
      <x:c r="R99" t="str">
        <x:v>MISSING_PRICE; MISSING_PART_NUMBER</x:v>
      </x:c>
      <x:c r="S99" t="n">
        <x:v>323</x:v>
      </x:c>
    </x:row>
    <x:row r="100" ht="15" hidden="0" customHeight="1">
      <x:c r="A100" t="str">
        <x:v>OFFER-2ECB555036ED</x:v>
      </x:c>
      <x:c r="B100" t="str">
        <x:v>SPEC-20C076C9626B</x:v>
      </x:c>
      <x:c r="C100" t="str">
        <x:v>PHI</x:v>
      </x:c>
      <x:c r="D100" t="str">
        <x:v>TDI ADDER</x:v>
      </x:c>
      <x:c r="E100" t="str"/>
      <x:c r="F100" t="str"/>
      <x:c r="G100" t="str"/>
      <x:c r="H100" t="str"/>
      <x:c r="I100" t="str"/>
      <x:c r="J100" s="54" t="n">
        <x:v>67</x:v>
      </x:c>
      <x:c r="K100" t="str"/>
      <x:c r="L100" s="57"/>
      <x:c r="M100" s="57"/>
      <x:c r="N100" s="54" t="n">
        <x:f>IF(J100="","",J100*(1-IF(L100="",0,L100))*(1-IF(M100="",0,M100)))</x:f>
        <x:v>67</x:v>
      </x:c>
      <x:c r="O100" t="str">
        <x:v>USD</x:v>
      </x:c>
      <x:c r="P100" t="str">
        <x:f>IF(J100="","UNPRICED","PRICED")</x:f>
        <x:v>PRICED</x:v>
      </x:c>
      <x:c r="Q100" t="str">
        <x:f>IF(OR(ISNUMBER(SEARCH("MISSING_VENDOR",R100)),ISNUMBER(SEARCH("MISSING_PART_NUMBER",R100)),ISNUMBER(SEARCH("PLACEHOLDER_PART_NUMBER",R100)),ISNUMBER(SEARCH("MISSING_REQUIRED_SPEC",R100)),ISNUMBER(SEARCH("PART_NUMBER_CONFLICT",R100)),ISNUMBER(SEARCH("SIZE_PART_MISMATCH",R100)),ISNUMBER(SEARCH("POSSIBLE_PRICE_OUTLIER",R100))),"REVIEW","ACTIVE")</x:f>
        <x:v>REVIEW</x:v>
      </x:c>
      <x:c r="R100" t="str">
        <x:v>MISSING_PART_NUMBER</x:v>
      </x:c>
      <x:c r="S100" t="n">
        <x:v>341</x:v>
      </x:c>
    </x:row>
    <x:row r="101" ht="15" hidden="0" customHeight="1">
      <x:c r="A101" t="str">
        <x:v>OFFER-6DDC6924A08A</x:v>
      </x:c>
      <x:c r="B101" t="str">
        <x:v>SPEC-283CB2D05CC5</x:v>
      </x:c>
      <x:c r="C101" t="str">
        <x:v>DK</x:v>
      </x:c>
      <x:c r="D101" t="str">
        <x:v>WIND ADDER</x:v>
      </x:c>
      <x:c r="E101" t="str"/>
      <x:c r="F101" t="str"/>
      <x:c r="G101" t="str"/>
      <x:c r="H101" t="str"/>
      <x:c r="I101" t="str"/>
      <x:c r="J101" s="54" t="n">
        <x:v>256</x:v>
      </x:c>
      <x:c r="K101" t="str"/>
      <x:c r="L101" s="57"/>
      <x:c r="M101" s="57"/>
      <x:c r="N101" s="54" t="n">
        <x:f>IF(J101="","",J101*(1-IF(L101="",0,L101))*(1-IF(M101="",0,M101)))</x:f>
        <x:v>256</x:v>
      </x:c>
      <x:c r="O101" t="str">
        <x:v>USD</x:v>
      </x:c>
      <x:c r="P101" t="str">
        <x:f>IF(J101="","UNPRICED","PRICED")</x:f>
        <x:v>PRICED</x:v>
      </x:c>
      <x:c r="Q101" t="str">
        <x:f>IF(OR(ISNUMBER(SEARCH("MISSING_VENDOR",R101)),ISNUMBER(SEARCH("MISSING_PART_NUMBER",R101)),ISNUMBER(SEARCH("PLACEHOLDER_PART_NUMBER",R101)),ISNUMBER(SEARCH("MISSING_REQUIRED_SPEC",R101)),ISNUMBER(SEARCH("PART_NUMBER_CONFLICT",R101)),ISNUMBER(SEARCH("SIZE_PART_MISMATCH",R101)),ISNUMBER(SEARCH("POSSIBLE_PRICE_OUTLIER",R101))),"REVIEW","ACTIVE")</x:f>
        <x:v>REVIEW</x:v>
      </x:c>
      <x:c r="R101" t="str">
        <x:v>MISSING_PART_NUMBER</x:v>
      </x:c>
      <x:c r="S101" t="n">
        <x:v>322</x:v>
      </x:c>
    </x:row>
    <x:row r="102" ht="15" hidden="0" customHeight="1">
      <x:c r="A102" t="str">
        <x:v>OFFER-3D2CE677E537</x:v>
      </x:c>
      <x:c r="B102" t="str">
        <x:v>SPEC-283CB2D05CC5</x:v>
      </x:c>
      <x:c r="C102" t="str">
        <x:v>PHI</x:v>
      </x:c>
      <x:c r="D102" t="str">
        <x:v>WIND ADDER</x:v>
      </x:c>
      <x:c r="E102" t="str"/>
      <x:c r="F102" t="str"/>
      <x:c r="G102" t="str"/>
      <x:c r="H102" t="str"/>
      <x:c r="I102" t="str"/>
      <x:c r="J102" s="54" t="n">
        <x:v>67</x:v>
      </x:c>
      <x:c r="K102" t="str"/>
      <x:c r="L102" s="57"/>
      <x:c r="M102" s="57"/>
      <x:c r="N102" s="54" t="n">
        <x:f>IF(J102="","",J102*(1-IF(L102="",0,L102))*(1-IF(M102="",0,M102)))</x:f>
        <x:v>67</x:v>
      </x:c>
      <x:c r="O102" t="str">
        <x:v>USD</x:v>
      </x:c>
      <x:c r="P102" t="str">
        <x:f>IF(J102="","UNPRICED","PRICED")</x:f>
        <x:v>PRICED</x:v>
      </x:c>
      <x:c r="Q102" t="str">
        <x:f>IF(OR(ISNUMBER(SEARCH("MISSING_VENDOR",R102)),ISNUMBER(SEARCH("MISSING_PART_NUMBER",R102)),ISNUMBER(SEARCH("PLACEHOLDER_PART_NUMBER",R102)),ISNUMBER(SEARCH("MISSING_REQUIRED_SPEC",R102)),ISNUMBER(SEARCH("PART_NUMBER_CONFLICT",R102)),ISNUMBER(SEARCH("SIZE_PART_MISMATCH",R102)),ISNUMBER(SEARCH("POSSIBLE_PRICE_OUTLIER",R102))),"REVIEW","ACTIVE")</x:f>
        <x:v>REVIEW</x:v>
      </x:c>
      <x:c r="R102" t="str">
        <x:v>MISSING_PART_NUMBER</x:v>
      </x:c>
      <x:c r="S102" t="n">
        <x:v>340</x:v>
      </x:c>
    </x:row>
    <x:row r="103" ht="15" hidden="0" customHeight="1">
      <x:c r="A103" t="str">
        <x:v>OFFER-D1286B1B1AEF</x:v>
      </x:c>
      <x:c r="B103" t="str">
        <x:v>SPEC-A085F19A4362</x:v>
      </x:c>
      <x:c r="C103" t="str">
        <x:v>DH</x:v>
      </x:c>
      <x:c r="D103" t="str">
        <x:v>1000F: R-PANIC F RATED</x:v>
      </x:c>
      <x:c r="E103" t="str">
        <x:v>1000F: R-PANIC F RATED</x:v>
      </x:c>
      <x:c r="F103" t="str"/>
      <x:c r="G103" t="str">
        <x:v>78002587</x:v>
      </x:c>
      <x:c r="H103" t="str">
        <x:v>78002587 - F1000R 33" Fire Rated Rim Device 630</x:v>
      </x:c>
      <x:c r="I103" t="str"/>
      <x:c r="J103" s="54" t="n">
        <x:v>1014.2</x:v>
      </x:c>
      <x:c r="K103" t="str"/>
      <x:c r="L103" s="57"/>
      <x:c r="M103" s="57"/>
      <x:c r="N103" s="54" t="n">
        <x:f>IF(J103="","",J103*(1-IF(L103="",0,L103))*(1-IF(M103="",0,M103)))</x:f>
        <x:v>1014.2</x:v>
      </x:c>
      <x:c r="O103" t="str">
        <x:v>USD</x:v>
      </x:c>
      <x:c r="P103" t="str">
        <x:f>IF(J103="","UNPRICED","PRICED")</x:f>
        <x:v>PRICED</x:v>
      </x:c>
      <x:c r="Q103" t="str">
        <x:f>IF(OR(ISNUMBER(SEARCH("MISSING_VENDOR",R103)),ISNUMBER(SEARCH("MISSING_PART_NUMBER",R103)),ISNUMBER(SEARCH("PLACEHOLDER_PART_NUMBER",R103)),ISNUMBER(SEARCH("MISSING_REQUIRED_SPEC",R103)),ISNUMBER(SEARCH("PART_NUMBER_CONFLICT",R103)),ISNUMBER(SEARCH("SIZE_PART_MISMATCH",R103)),ISNUMBER(SEARCH("POSSIBLE_PRICE_OUTLIER",R103))),"REVIEW","ACTIVE")</x:f>
        <x:v>ACTIVE</x:v>
      </x:c>
      <x:c r="R103" t="str"/>
      <x:c r="S103" t="n">
        <x:v>281</x:v>
      </x:c>
    </x:row>
    <x:row r="104" ht="15" hidden="0" customHeight="1">
      <x:c r="A104" t="str">
        <x:v>OFFER-740D540F0D18</x:v>
      </x:c>
      <x:c r="B104" t="str">
        <x:v>SPEC-A085F19A4362</x:v>
      </x:c>
      <x:c r="C104" t="str">
        <x:v>DH</x:v>
      </x:c>
      <x:c r="D104" t="str">
        <x:v>2000F: R-PANIC F RATED</x:v>
      </x:c>
      <x:c r="E104" t="str">
        <x:v>2000F: R-PANIC F RATED</x:v>
      </x:c>
      <x:c r="F104" t="str"/>
      <x:c r="G104" t="str">
        <x:v>78002658</x:v>
      </x:c>
      <x:c r="H104" t="str">
        <x:v>78002658 - F2000R 33" Fire Rated Rim Device</x:v>
      </x:c>
      <x:c r="I104" t="str"/>
      <x:c r="J104" s="54" t="n">
        <x:v>624.35</x:v>
      </x:c>
      <x:c r="K104" t="str"/>
      <x:c r="L104" s="57"/>
      <x:c r="M104" s="57"/>
      <x:c r="N104" s="54" t="n">
        <x:f>IF(J104="","",J104*(1-IF(L104="",0,L104))*(1-IF(M104="",0,M104)))</x:f>
        <x:v>624.35</x:v>
      </x:c>
      <x:c r="O104" t="str">
        <x:v>USD</x:v>
      </x:c>
      <x:c r="P104" t="str">
        <x:f>IF(J104="","UNPRICED","PRICED")</x:f>
        <x:v>PRICED</x:v>
      </x:c>
      <x:c r="Q104" t="str">
        <x:f>IF(OR(ISNUMBER(SEARCH("MISSING_VENDOR",R104)),ISNUMBER(SEARCH("MISSING_PART_NUMBER",R104)),ISNUMBER(SEARCH("PLACEHOLDER_PART_NUMBER",R104)),ISNUMBER(SEARCH("MISSING_REQUIRED_SPEC",R104)),ISNUMBER(SEARCH("PART_NUMBER_CONFLICT",R104)),ISNUMBER(SEARCH("SIZE_PART_MISMATCH",R104)),ISNUMBER(SEARCH("POSSIBLE_PRICE_OUTLIER",R104))),"REVIEW","ACTIVE")</x:f>
        <x:v>ACTIVE</x:v>
      </x:c>
      <x:c r="R104" t="str"/>
      <x:c r="S104" t="n">
        <x:v>286</x:v>
      </x:c>
    </x:row>
    <x:row r="105" ht="15" hidden="0" customHeight="1">
      <x:c r="A105" t="str">
        <x:v>OFFER-ED2A9FD1BE52</x:v>
      </x:c>
      <x:c r="B105" t="str">
        <x:v>SPEC-99AC7FBD3B71</x:v>
      </x:c>
      <x:c r="C105" t="str">
        <x:v>DH</x:v>
      </x:c>
      <x:c r="D105" t="str">
        <x:v>2000F: R-PANIC F RATED</x:v>
      </x:c>
      <x:c r="E105" t="str">
        <x:v>2000F: R-PANIC F RATED</x:v>
      </x:c>
      <x:c r="F105" t="str"/>
      <x:c r="G105" t="str">
        <x:v>78002660</x:v>
      </x:c>
      <x:c r="H105" t="str">
        <x:v>78002660 - F2000R 33" Fire Rated Rim Device</x:v>
      </x:c>
      <x:c r="I105" t="str"/>
      <x:c r="J105" s="54" t="n">
        <x:v>289.85</x:v>
      </x:c>
      <x:c r="K105" t="str"/>
      <x:c r="L105" s="57"/>
      <x:c r="M105" s="57"/>
      <x:c r="N105" s="54" t="n">
        <x:f>IF(J105="","",J105*(1-IF(L105="",0,L105))*(1-IF(M105="",0,M105)))</x:f>
        <x:v>289.85</x:v>
      </x:c>
      <x:c r="O105" t="str">
        <x:v>USD</x:v>
      </x:c>
      <x:c r="P105" t="str">
        <x:f>IF(J105="","UNPRICED","PRICED")</x:f>
        <x:v>PRICED</x:v>
      </x:c>
      <x:c r="Q105" t="str">
        <x:f>IF(OR(ISNUMBER(SEARCH("MISSING_VENDOR",R105)),ISNUMBER(SEARCH("MISSING_PART_NUMBER",R105)),ISNUMBER(SEARCH("PLACEHOLDER_PART_NUMBER",R105)),ISNUMBER(SEARCH("MISSING_REQUIRED_SPEC",R105)),ISNUMBER(SEARCH("PART_NUMBER_CONFLICT",R105)),ISNUMBER(SEARCH("SIZE_PART_MISMATCH",R105)),ISNUMBER(SEARCH("POSSIBLE_PRICE_OUTLIER",R105))),"REVIEW","ACTIVE")</x:f>
        <x:v>ACTIVE</x:v>
      </x:c>
      <x:c r="R105" t="str"/>
      <x:c r="S105" t="n">
        <x:v>291</x:v>
      </x:c>
    </x:row>
    <x:row r="106" ht="15" hidden="0" customHeight="1">
      <x:c r="A106" t="str">
        <x:v>OFFER-C6C76C8D0EFC</x:v>
      </x:c>
      <x:c r="B106" t="str">
        <x:v>SPEC-4793A0BD3957</x:v>
      </x:c>
      <x:c r="C106" t="str">
        <x:v>DH</x:v>
      </x:c>
      <x:c r="D106" t="str">
        <x:v>1000: R-PANIC NR</x:v>
      </x:c>
      <x:c r="E106" t="str">
        <x:v>1000: R-PANIC NR</x:v>
      </x:c>
      <x:c r="F106" t="str"/>
      <x:c r="G106" t="str">
        <x:v>78002505</x:v>
      </x:c>
      <x:c r="H106" t="str">
        <x:v>78002505 - 1000R 33" Rim Device 630</x:v>
      </x:c>
      <x:c r="I106" t="str"/>
      <x:c r="J106" s="54" t="n">
        <x:v>930.35</x:v>
      </x:c>
      <x:c r="K106" t="str"/>
      <x:c r="L106" s="57"/>
      <x:c r="M106" s="57"/>
      <x:c r="N106" s="54" t="n">
        <x:f>IF(J106="","",J106*(1-IF(L106="",0,L106))*(1-IF(M106="",0,M106)))</x:f>
        <x:v>930.35</x:v>
      </x:c>
      <x:c r="O106" t="str">
        <x:v>USD</x:v>
      </x:c>
      <x:c r="P106" t="str">
        <x:f>IF(J106="","UNPRICED","PRICED")</x:f>
        <x:v>PRICED</x:v>
      </x:c>
      <x:c r="Q106" t="str">
        <x:f>IF(OR(ISNUMBER(SEARCH("MISSING_VENDOR",R106)),ISNUMBER(SEARCH("MISSING_PART_NUMBER",R106)),ISNUMBER(SEARCH("PLACEHOLDER_PART_NUMBER",R106)),ISNUMBER(SEARCH("MISSING_REQUIRED_SPEC",R106)),ISNUMBER(SEARCH("PART_NUMBER_CONFLICT",R106)),ISNUMBER(SEARCH("SIZE_PART_MISMATCH",R106)),ISNUMBER(SEARCH("POSSIBLE_PRICE_OUTLIER",R106))),"REVIEW","ACTIVE")</x:f>
        <x:v>ACTIVE</x:v>
      </x:c>
      <x:c r="R106" t="str"/>
      <x:c r="S106" t="n">
        <x:v>280</x:v>
      </x:c>
    </x:row>
    <x:row r="107" ht="15" hidden="0" customHeight="1">
      <x:c r="A107" t="str">
        <x:v>OFFER-C0F84173985D</x:v>
      </x:c>
      <x:c r="B107" t="str">
        <x:v>SPEC-4793A0BD3957</x:v>
      </x:c>
      <x:c r="C107" t="str">
        <x:v>DH</x:v>
      </x:c>
      <x:c r="D107" t="str">
        <x:v>2000: R-PANIC NR</x:v>
      </x:c>
      <x:c r="E107" t="str">
        <x:v>2000: R-PANIC NR</x:v>
      </x:c>
      <x:c r="F107" t="str"/>
      <x:c r="G107" t="str">
        <x:v>78002621</x:v>
      </x:c>
      <x:c r="H107" t="str">
        <x:v>78002621 - 2000R 33" Rim Device 630</x:v>
      </x:c>
      <x:c r="I107" t="str"/>
      <x:c r="J107" s="54" t="n">
        <x:v>519</x:v>
      </x:c>
      <x:c r="K107" t="str"/>
      <x:c r="L107" s="57"/>
      <x:c r="M107" s="57"/>
      <x:c r="N107" s="54" t="n">
        <x:f>IF(J107="","",J107*(1-IF(L107="",0,L107))*(1-IF(M107="",0,M107)))</x:f>
        <x:v>519</x:v>
      </x:c>
      <x:c r="O107" t="str">
        <x:v>USD</x:v>
      </x:c>
      <x:c r="P107" t="str">
        <x:f>IF(J107="","UNPRICED","PRICED")</x:f>
        <x:v>PRICED</x:v>
      </x:c>
      <x:c r="Q107" t="str">
        <x:f>IF(OR(ISNUMBER(SEARCH("MISSING_VENDOR",R107)),ISNUMBER(SEARCH("MISSING_PART_NUMBER",R107)),ISNUMBER(SEARCH("PLACEHOLDER_PART_NUMBER",R107)),ISNUMBER(SEARCH("MISSING_REQUIRED_SPEC",R107)),ISNUMBER(SEARCH("PART_NUMBER_CONFLICT",R107)),ISNUMBER(SEARCH("SIZE_PART_MISMATCH",R107)),ISNUMBER(SEARCH("POSSIBLE_PRICE_OUTLIER",R107))),"REVIEW","ACTIVE")</x:f>
        <x:v>ACTIVE</x:v>
      </x:c>
      <x:c r="R107" t="str"/>
      <x:c r="S107" t="n">
        <x:v>285</x:v>
      </x:c>
    </x:row>
    <x:row r="108" ht="15" hidden="0" customHeight="1">
      <x:c r="A108" t="str">
        <x:v>OFFER-D63EDA218368</x:v>
      </x:c>
      <x:c r="B108" t="str">
        <x:v>SPEC-6637568F824C</x:v>
      </x:c>
      <x:c r="C108" t="str">
        <x:v>DH</x:v>
      </x:c>
      <x:c r="D108" t="str">
        <x:v>2000: R-PANIC NR</x:v>
      </x:c>
      <x:c r="E108" t="str">
        <x:v>2000: R-PANIC NR</x:v>
      </x:c>
      <x:c r="F108" t="str"/>
      <x:c r="G108" t="str">
        <x:v>78002623</x:v>
      </x:c>
      <x:c r="H108" t="str">
        <x:v>78002623 - 2000R 33" Rim Device 689</x:v>
      </x:c>
      <x:c r="I108" t="str"/>
      <x:c r="J108" s="54" t="n">
        <x:v>285.6</x:v>
      </x:c>
      <x:c r="K108" t="str"/>
      <x:c r="L108" s="57"/>
      <x:c r="M108" s="57"/>
      <x:c r="N108" s="54" t="n">
        <x:f>IF(J108="","",J108*(1-IF(L108="",0,L108))*(1-IF(M108="",0,M108)))</x:f>
        <x:v>285.6</x:v>
      </x:c>
      <x:c r="O108" t="str">
        <x:v>USD</x:v>
      </x:c>
      <x:c r="P108" t="str">
        <x:f>IF(J108="","UNPRICED","PRICED")</x:f>
        <x:v>PRICED</x:v>
      </x:c>
      <x:c r="Q108" t="str">
        <x:f>IF(OR(ISNUMBER(SEARCH("MISSING_VENDOR",R108)),ISNUMBER(SEARCH("MISSING_PART_NUMBER",R108)),ISNUMBER(SEARCH("PLACEHOLDER_PART_NUMBER",R108)),ISNUMBER(SEARCH("MISSING_REQUIRED_SPEC",R108)),ISNUMBER(SEARCH("PART_NUMBER_CONFLICT",R108)),ISNUMBER(SEARCH("SIZE_PART_MISMATCH",R108)),ISNUMBER(SEARCH("POSSIBLE_PRICE_OUTLIER",R108))),"REVIEW","ACTIVE")</x:f>
        <x:v>ACTIVE</x:v>
      </x:c>
      <x:c r="R108" t="str"/>
      <x:c r="S108" t="n">
        <x:v>290</x:v>
      </x:c>
    </x:row>
    <x:row r="109" ht="15" hidden="0" customHeight="1">
      <x:c r="A109" t="str">
        <x:v>OFFER-CB5C011F38E5</x:v>
      </x:c>
      <x:c r="B109" t="str">
        <x:v>SPEC-EBE22E2E7E86</x:v>
      </x:c>
      <x:c r="C109" t="str">
        <x:v>DK</x:v>
      </x:c>
      <x:c r="D109" t="str">
        <x:v>9300B 36" FIRE</x:v>
      </x:c>
      <x:c r="E109" t="str">
        <x:v>9300B:R-PANIC: FR</x:v>
      </x:c>
      <x:c r="F109" t="str"/>
      <x:c r="G109" t="str"/>
      <x:c r="H109" t="str"/>
      <x:c r="I109" t="str"/>
      <x:c r="J109" s="54" t="n">
        <x:v>2408</x:v>
      </x:c>
      <x:c r="K109" t="str"/>
      <x:c r="L109" s="57"/>
      <x:c r="M109" s="57"/>
      <x:c r="N109" s="54" t="n">
        <x:f>IF(J109="","",J109*(1-IF(L109="",0,L109))*(1-IF(M109="",0,M109)))</x:f>
        <x:v>2408</x:v>
      </x:c>
      <x:c r="O109" t="str">
        <x:v>USD</x:v>
      </x:c>
      <x:c r="P109" t="str">
        <x:f>IF(J109="","UNPRICED","PRICED")</x:f>
        <x:v>PRICED</x:v>
      </x:c>
      <x:c r="Q109" t="str">
        <x:f>IF(OR(ISNUMBER(SEARCH("MISSING_VENDOR",R109)),ISNUMBER(SEARCH("MISSING_PART_NUMBER",R109)),ISNUMBER(SEARCH("PLACEHOLDER_PART_NUMBER",R109)),ISNUMBER(SEARCH("MISSING_REQUIRED_SPEC",R109)),ISNUMBER(SEARCH("PART_NUMBER_CONFLICT",R109)),ISNUMBER(SEARCH("SIZE_PART_MISMATCH",R109)),ISNUMBER(SEARCH("POSSIBLE_PRICE_OUTLIER",R109))),"REVIEW","ACTIVE")</x:f>
        <x:v>REVIEW</x:v>
      </x:c>
      <x:c r="R109" t="str">
        <x:v>MISSING_PART_NUMBER</x:v>
      </x:c>
      <x:c r="S109" t="n">
        <x:v>319</x:v>
      </x:c>
    </x:row>
    <x:row r="110" ht="15" hidden="0" customHeight="1">
      <x:c r="A110" t="str">
        <x:v>OFFER-5D4DD7117B4F</x:v>
      </x:c>
      <x:c r="B110" t="str">
        <x:v>SPEC-EBE22E2E7E86</x:v>
      </x:c>
      <x:c r="C110" t="str">
        <x:v>PHG</x:v>
      </x:c>
      <x:c r="D110" t="str">
        <x:v>9500-36"</x:v>
      </x:c>
      <x:c r="E110" t="str">
        <x:v>36" RIM PANIC</x:v>
      </x:c>
      <x:c r="F110" t="str"/>
      <x:c r="G110" t="str">
        <x:v>95ED36FR32D</x:v>
      </x:c>
      <x:c r="H110" t="str">
        <x:v>95ED36FR32D</x:v>
      </x:c>
      <x:c r="I110" t="str"/>
      <x:c r="J110" s="54" t="n">
        <x:v>467.62</x:v>
      </x:c>
      <x:c r="K110" t="str"/>
      <x:c r="L110" s="57"/>
      <x:c r="M110" s="57"/>
      <x:c r="N110" s="54" t="n">
        <x:f>IF(J110="","",J110*(1-IF(L110="",0,L110))*(1-IF(M110="",0,M110)))</x:f>
        <x:v>467.62</x:v>
      </x:c>
      <x:c r="O110" t="str">
        <x:v>USD</x:v>
      </x:c>
      <x:c r="P110" t="str">
        <x:f>IF(J110="","UNPRICED","PRICED")</x:f>
        <x:v>PRICED</x:v>
      </x:c>
      <x:c r="Q110" t="str">
        <x:f>IF(OR(ISNUMBER(SEARCH("MISSING_VENDOR",R110)),ISNUMBER(SEARCH("MISSING_PART_NUMBER",R110)),ISNUMBER(SEARCH("PLACEHOLDER_PART_NUMBER",R110)),ISNUMBER(SEARCH("MISSING_REQUIRED_SPEC",R110)),ISNUMBER(SEARCH("PART_NUMBER_CONFLICT",R110)),ISNUMBER(SEARCH("SIZE_PART_MISMATCH",R110)),ISNUMBER(SEARCH("POSSIBLE_PRICE_OUTLIER",R110))),"REVIEW","ACTIVE")</x:f>
        <x:v>REVIEW</x:v>
      </x:c>
      <x:c r="R110" t="str">
        <x:v>PART_NUMBER_CONFLICT</x:v>
      </x:c>
      <x:c r="S110" t="n">
        <x:v>302</x:v>
      </x:c>
    </x:row>
    <x:row r="111" ht="15" hidden="0" customHeight="1">
      <x:c r="A111" t="str">
        <x:v>OFFER-BFF489DEAFE6</x:v>
      </x:c>
      <x:c r="B111" t="str">
        <x:v>SPEC-B9693605514D</x:v>
      </x:c>
      <x:c r="C111" t="str">
        <x:v>DK</x:v>
      </x:c>
      <x:c r="D111" t="str">
        <x:v>9300B 36"</x:v>
      </x:c>
      <x:c r="E111" t="str">
        <x:v>9300B:R-PANIC: NR</x:v>
      </x:c>
      <x:c r="F111" t="str"/>
      <x:c r="G111" t="str"/>
      <x:c r="H111" t="str"/>
      <x:c r="I111" t="str"/>
      <x:c r="J111" s="54" t="n">
        <x:v>2144</x:v>
      </x:c>
      <x:c r="K111" t="str"/>
      <x:c r="L111" s="57"/>
      <x:c r="M111" s="57"/>
      <x:c r="N111" s="54" t="n">
        <x:f>IF(J111="","",J111*(1-IF(L111="",0,L111))*(1-IF(M111="",0,M111)))</x:f>
        <x:v>2144</x:v>
      </x:c>
      <x:c r="O111" t="str">
        <x:v>USD</x:v>
      </x:c>
      <x:c r="P111" t="str">
        <x:f>IF(J111="","UNPRICED","PRICED")</x:f>
        <x:v>PRICED</x:v>
      </x:c>
      <x:c r="Q111" t="str">
        <x:f>IF(OR(ISNUMBER(SEARCH("MISSING_VENDOR",R111)),ISNUMBER(SEARCH("MISSING_PART_NUMBER",R111)),ISNUMBER(SEARCH("PLACEHOLDER_PART_NUMBER",R111)),ISNUMBER(SEARCH("MISSING_REQUIRED_SPEC",R111)),ISNUMBER(SEARCH("PART_NUMBER_CONFLICT",R111)),ISNUMBER(SEARCH("SIZE_PART_MISMATCH",R111)),ISNUMBER(SEARCH("POSSIBLE_PRICE_OUTLIER",R111))),"REVIEW","ACTIVE")</x:f>
        <x:v>REVIEW</x:v>
      </x:c>
      <x:c r="R111" t="str">
        <x:v>MISSING_PART_NUMBER</x:v>
      </x:c>
      <x:c r="S111" t="n">
        <x:v>318</x:v>
      </x:c>
    </x:row>
    <x:row r="112" ht="15" hidden="0" customHeight="1">
      <x:c r="A112" t="str">
        <x:v>OFFER-AF401A15162A</x:v>
      </x:c>
      <x:c r="B112" t="str">
        <x:v>SPEC-B9693605514D</x:v>
      </x:c>
      <x:c r="C112" t="str">
        <x:v>PHG</x:v>
      </x:c>
      <x:c r="D112" t="str">
        <x:v>9500-36"</x:v>
      </x:c>
      <x:c r="E112" t="str">
        <x:v>36" RIM PANIC</x:v>
      </x:c>
      <x:c r="F112" t="str"/>
      <x:c r="G112" t="str">
        <x:v>95ED36R32D</x:v>
      </x:c>
      <x:c r="H112" t="str">
        <x:v>95ED36R32D</x:v>
      </x:c>
      <x:c r="I112" t="str"/>
      <x:c r="J112" s="54" t="n">
        <x:v>440.88</x:v>
      </x:c>
      <x:c r="K112" t="str"/>
      <x:c r="L112" s="57"/>
      <x:c r="M112" s="57"/>
      <x:c r="N112" s="54" t="n">
        <x:f>IF(J112="","",J112*(1-IF(L112="",0,L112))*(1-IF(M112="",0,M112)))</x:f>
        <x:v>440.88</x:v>
      </x:c>
      <x:c r="O112" t="str">
        <x:v>USD</x:v>
      </x:c>
      <x:c r="P112" t="str">
        <x:f>IF(J112="","UNPRICED","PRICED")</x:f>
        <x:v>PRICED</x:v>
      </x:c>
      <x:c r="Q112" t="str">
        <x:f>IF(OR(ISNUMBER(SEARCH("MISSING_VENDOR",R112)),ISNUMBER(SEARCH("MISSING_PART_NUMBER",R112)),ISNUMBER(SEARCH("PLACEHOLDER_PART_NUMBER",R112)),ISNUMBER(SEARCH("MISSING_REQUIRED_SPEC",R112)),ISNUMBER(SEARCH("PART_NUMBER_CONFLICT",R112)),ISNUMBER(SEARCH("SIZE_PART_MISMATCH",R112)),ISNUMBER(SEARCH("POSSIBLE_PRICE_OUTLIER",R112))),"REVIEW","ACTIVE")</x:f>
        <x:v>ACTIVE</x:v>
      </x:c>
      <x:c r="R112" t="str"/>
      <x:c r="S112" t="n">
        <x:v>301</x:v>
      </x:c>
    </x:row>
    <x:row r="113" ht="15" hidden="0" customHeight="1">
      <x:c r="A113" t="str">
        <x:v>OFFER-0C3F1190F227</x:v>
      </x:c>
      <x:c r="B113" t="str">
        <x:v>SPEC-B9693605514D</x:v>
      </x:c>
      <x:c r="C113" t="str">
        <x:v>PHI</x:v>
      </x:c>
      <x:c r="D113" t="str">
        <x:v>2300 36"</x:v>
      </x:c>
      <x:c r="E113" t="str">
        <x:v>2400:R-PANIC: NR</x:v>
      </x:c>
      <x:c r="F113" t="str"/>
      <x:c r="G113" t="str"/>
      <x:c r="H113" t="str"/>
      <x:c r="I113" t="str"/>
      <x:c r="J113" s="54" t="n">
        <x:v>4860</x:v>
      </x:c>
      <x:c r="K113" t="str">
        <x:v>50/70</x:v>
      </x:c>
      <x:c r="L113" s="57" t="n">
        <x:v>0.5</x:v>
      </x:c>
      <x:c r="M113" s="57" t="n">
        <x:v>0.7</x:v>
      </x:c>
      <x:c r="N113" s="54" t="n">
        <x:f>IF(J113="","",J113*(1-IF(L113="",0,L113))*(1-IF(M113="",0,M113)))</x:f>
        <x:v>729.0000000000001</x:v>
      </x:c>
      <x:c r="O113" t="str">
        <x:v>USD</x:v>
      </x:c>
      <x:c r="P113" t="str">
        <x:f>IF(J113="","UNPRICED","PRICED")</x:f>
        <x:v>PRICED</x:v>
      </x:c>
      <x:c r="Q113" t="str">
        <x:f>IF(OR(ISNUMBER(SEARCH("MISSING_VENDOR",R113)),ISNUMBER(SEARCH("MISSING_PART_NUMBER",R113)),ISNUMBER(SEARCH("PLACEHOLDER_PART_NUMBER",R113)),ISNUMBER(SEARCH("MISSING_REQUIRED_SPEC",R113)),ISNUMBER(SEARCH("PART_NUMBER_CONFLICT",R113)),ISNUMBER(SEARCH("SIZE_PART_MISMATCH",R113)),ISNUMBER(SEARCH("POSSIBLE_PRICE_OUTLIER",R113))),"REVIEW","ACTIVE")</x:f>
        <x:v>REVIEW</x:v>
      </x:c>
      <x:c r="R113" t="str">
        <x:v>MISSING_PART_NUMBER</x:v>
      </x:c>
      <x:c r="S113" t="n">
        <x:v>336</x:v>
      </x:c>
    </x:row>
    <x:row r="114" ht="15" hidden="0" customHeight="1">
      <x:c r="A114" t="str">
        <x:v>OFFER-C6180F510030</x:v>
      </x:c>
      <x:c r="B114" t="str">
        <x:v>SPEC-0C7D8610573F</x:v>
      </x:c>
      <x:c r="C114" t="str">
        <x:v>PHG</x:v>
      </x:c>
      <x:c r="D114" t="str">
        <x:v>9500-36"</x:v>
      </x:c>
      <x:c r="E114" t="str">
        <x:v>36" RIM PANIC</x:v>
      </x:c>
      <x:c r="F114" t="str"/>
      <x:c r="G114" t="str">
        <x:v>95ED36FR32D</x:v>
      </x:c>
      <x:c r="H114" t="str">
        <x:v>95ED36FR32D</x:v>
      </x:c>
      <x:c r="I114" t="str"/>
      <x:c r="J114" s="54" t="n">
        <x:v>467.62</x:v>
      </x:c>
      <x:c r="K114" t="str"/>
      <x:c r="L114" s="57"/>
      <x:c r="M114" s="57"/>
      <x:c r="N114" s="54" t="n">
        <x:f>IF(J114="","",J114*(1-IF(L114="",0,L114))*(1-IF(M114="",0,M114)))</x:f>
        <x:v>467.62</x:v>
      </x:c>
      <x:c r="O114" t="str">
        <x:v>USD</x:v>
      </x:c>
      <x:c r="P114" t="str">
        <x:f>IF(J114="","UNPRICED","PRICED")</x:f>
        <x:v>PRICED</x:v>
      </x:c>
      <x:c r="Q114" t="str">
        <x:f>IF(OR(ISNUMBER(SEARCH("MISSING_VENDOR",R114)),ISNUMBER(SEARCH("MISSING_PART_NUMBER",R114)),ISNUMBER(SEARCH("PLACEHOLDER_PART_NUMBER",R114)),ISNUMBER(SEARCH("MISSING_REQUIRED_SPEC",R114)),ISNUMBER(SEARCH("PART_NUMBER_CONFLICT",R114)),ISNUMBER(SEARCH("SIZE_PART_MISMATCH",R114)),ISNUMBER(SEARCH("POSSIBLE_PRICE_OUTLIER",R114))),"REVIEW","ACTIVE")</x:f>
        <x:v>REVIEW</x:v>
      </x:c>
      <x:c r="R114" t="str">
        <x:v>PART_NUMBER_CONFLICT</x:v>
      </x:c>
      <x:c r="S114" t="n">
        <x:v>304</x:v>
      </x:c>
    </x:row>
    <x:row r="115" ht="15" hidden="0" customHeight="1">
      <x:c r="A115" t="str">
        <x:v>OFFER-94B1EA31EABC</x:v>
      </x:c>
      <x:c r="B115" t="str">
        <x:v>SPEC-7935B9EC99E6</x:v>
      </x:c>
      <x:c r="C115" t="str">
        <x:v>DH</x:v>
      </x:c>
      <x:c r="D115" t="str">
        <x:v>1000F: R-PANIC F RATED</x:v>
      </x:c>
      <x:c r="E115" t="str">
        <x:v>1000F: R-PANIC F RATED</x:v>
      </x:c>
      <x:c r="F115" t="str"/>
      <x:c r="G115" t="str">
        <x:v>78002592</x:v>
      </x:c>
      <x:c r="H115" t="str">
        <x:v>78002592 - F1000R 42" Fire Rated Rim Device 630</x:v>
      </x:c>
      <x:c r="I115" t="str"/>
      <x:c r="J115" s="54" t="n">
        <x:v>1128.1</x:v>
      </x:c>
      <x:c r="K115" t="str"/>
      <x:c r="L115" s="57"/>
      <x:c r="M115" s="57"/>
      <x:c r="N115" s="54" t="n">
        <x:f>IF(J115="","",J115*(1-IF(L115="",0,L115))*(1-IF(M115="",0,M115)))</x:f>
        <x:v>1128.1</x:v>
      </x:c>
      <x:c r="O115" t="str">
        <x:v>USD</x:v>
      </x:c>
      <x:c r="P115" t="str">
        <x:f>IF(J115="","UNPRICED","PRICED")</x:f>
        <x:v>PRICED</x:v>
      </x:c>
      <x:c r="Q115" t="str">
        <x:f>IF(OR(ISNUMBER(SEARCH("MISSING_VENDOR",R115)),ISNUMBER(SEARCH("MISSING_PART_NUMBER",R115)),ISNUMBER(SEARCH("PLACEHOLDER_PART_NUMBER",R115)),ISNUMBER(SEARCH("MISSING_REQUIRED_SPEC",R115)),ISNUMBER(SEARCH("PART_NUMBER_CONFLICT",R115)),ISNUMBER(SEARCH("SIZE_PART_MISMATCH",R115)),ISNUMBER(SEARCH("POSSIBLE_PRICE_OUTLIER",R115))),"REVIEW","ACTIVE")</x:f>
        <x:v>ACTIVE</x:v>
      </x:c>
      <x:c r="R115" t="str"/>
      <x:c r="S115" t="n">
        <x:v>283</x:v>
      </x:c>
    </x:row>
    <x:row r="116" ht="15" hidden="0" customHeight="1">
      <x:c r="A116" t="str">
        <x:v>OFFER-553B6D611A43</x:v>
      </x:c>
      <x:c r="B116" t="str">
        <x:v>SPEC-7935B9EC99E6</x:v>
      </x:c>
      <x:c r="C116" t="str">
        <x:v>DH</x:v>
      </x:c>
      <x:c r="D116" t="str">
        <x:v>2000F: R-PANIC F RATED</x:v>
      </x:c>
      <x:c r="E116" t="str">
        <x:v>2000F: R-PANIC F RATED</x:v>
      </x:c>
      <x:c r="F116" t="str"/>
      <x:c r="G116" t="str">
        <x:v>78002659</x:v>
      </x:c>
      <x:c r="H116" t="str">
        <x:v>78002659 - F2000R 42" Fire Rated Rim Device</x:v>
      </x:c>
      <x:c r="I116" t="str"/>
      <x:c r="J116" s="54" t="n">
        <x:v>678.2</x:v>
      </x:c>
      <x:c r="K116" t="str"/>
      <x:c r="L116" s="57"/>
      <x:c r="M116" s="57"/>
      <x:c r="N116" s="54" t="n">
        <x:f>IF(J116="","",J116*(1-IF(L116="",0,L116))*(1-IF(M116="",0,M116)))</x:f>
        <x:v>678.2</x:v>
      </x:c>
      <x:c r="O116" t="str">
        <x:v>USD</x:v>
      </x:c>
      <x:c r="P116" t="str">
        <x:f>IF(J116="","UNPRICED","PRICED")</x:f>
        <x:v>PRICED</x:v>
      </x:c>
      <x:c r="Q116" t="str">
        <x:f>IF(OR(ISNUMBER(SEARCH("MISSING_VENDOR",R116)),ISNUMBER(SEARCH("MISSING_PART_NUMBER",R116)),ISNUMBER(SEARCH("PLACEHOLDER_PART_NUMBER",R116)),ISNUMBER(SEARCH("MISSING_REQUIRED_SPEC",R116)),ISNUMBER(SEARCH("PART_NUMBER_CONFLICT",R116)),ISNUMBER(SEARCH("SIZE_PART_MISMATCH",R116)),ISNUMBER(SEARCH("POSSIBLE_PRICE_OUTLIER",R116))),"REVIEW","ACTIVE")</x:f>
        <x:v>REVIEW</x:v>
      </x:c>
      <x:c r="R116" t="str">
        <x:v>PART_NUMBER_CONFLICT</x:v>
      </x:c>
      <x:c r="S116" t="n">
        <x:v>288</x:v>
      </x:c>
    </x:row>
    <x:row r="117" ht="15" hidden="0" customHeight="1">
      <x:c r="A117" t="str">
        <x:v>OFFER-6B943A94FFA6</x:v>
      </x:c>
      <x:c r="B117" t="str">
        <x:v>SPEC-741297671B6D</x:v>
      </x:c>
      <x:c r="C117" t="str">
        <x:v>DH</x:v>
      </x:c>
      <x:c r="D117" t="str">
        <x:v>2000F: R-PANIC F RATED</x:v>
      </x:c>
      <x:c r="E117" t="str">
        <x:v>2000F: R-PANIC F RATED</x:v>
      </x:c>
      <x:c r="F117" t="str"/>
      <x:c r="G117" t="str">
        <x:v>78002659</x:v>
      </x:c>
      <x:c r="H117" t="str">
        <x:v>78002659 - F2000R 42" Fire Rated Rim Device</x:v>
      </x:c>
      <x:c r="I117" t="str"/>
      <x:c r="J117" s="54" t="n">
        <x:v>409.1</x:v>
      </x:c>
      <x:c r="K117" t="str"/>
      <x:c r="L117" s="57"/>
      <x:c r="M117" s="57"/>
      <x:c r="N117" s="54" t="n">
        <x:f>IF(J117="","",J117*(1-IF(L117="",0,L117))*(1-IF(M117="",0,M117)))</x:f>
        <x:v>409.1</x:v>
      </x:c>
      <x:c r="O117" t="str">
        <x:v>USD</x:v>
      </x:c>
      <x:c r="P117" t="str">
        <x:f>IF(J117="","UNPRICED","PRICED")</x:f>
        <x:v>PRICED</x:v>
      </x:c>
      <x:c r="Q117" t="str">
        <x:f>IF(OR(ISNUMBER(SEARCH("MISSING_VENDOR",R117)),ISNUMBER(SEARCH("MISSING_PART_NUMBER",R117)),ISNUMBER(SEARCH("PLACEHOLDER_PART_NUMBER",R117)),ISNUMBER(SEARCH("MISSING_REQUIRED_SPEC",R117)),ISNUMBER(SEARCH("PART_NUMBER_CONFLICT",R117)),ISNUMBER(SEARCH("SIZE_PART_MISMATCH",R117)),ISNUMBER(SEARCH("POSSIBLE_PRICE_OUTLIER",R117))),"REVIEW","ACTIVE")</x:f>
        <x:v>REVIEW</x:v>
      </x:c>
      <x:c r="R117" t="str">
        <x:v>PART_NUMBER_CONFLICT</x:v>
      </x:c>
      <x:c r="S117" t="n">
        <x:v>293</x:v>
      </x:c>
    </x:row>
    <x:row r="118" ht="15" hidden="0" customHeight="1">
      <x:c r="A118" t="str">
        <x:v>OFFER-1D515CA77FC8</x:v>
      </x:c>
      <x:c r="B118" t="str">
        <x:v>SPEC-C6691ACF2992</x:v>
      </x:c>
      <x:c r="C118" t="str">
        <x:v>DH</x:v>
      </x:c>
      <x:c r="D118" t="str">
        <x:v>1000: R-PANIC NR</x:v>
      </x:c>
      <x:c r="E118" t="str">
        <x:v>1000: R-PANIC NR</x:v>
      </x:c>
      <x:c r="F118" t="str"/>
      <x:c r="G118" t="str">
        <x:v>78002510</x:v>
      </x:c>
      <x:c r="H118" t="str">
        <x:v>78002510 - 1000R 42" Rim Device 630</x:v>
      </x:c>
      <x:c r="I118" t="str"/>
      <x:c r="J118" s="54" t="n">
        <x:v>1048.15</x:v>
      </x:c>
      <x:c r="K118" t="str"/>
      <x:c r="L118" s="57"/>
      <x:c r="M118" s="57"/>
      <x:c r="N118" s="54" t="n">
        <x:f>IF(J118="","",J118*(1-IF(L118="",0,L118))*(1-IF(M118="",0,M118)))</x:f>
        <x:v>1048.15</x:v>
      </x:c>
      <x:c r="O118" t="str">
        <x:v>USD</x:v>
      </x:c>
      <x:c r="P118" t="str">
        <x:f>IF(J118="","UNPRICED","PRICED")</x:f>
        <x:v>PRICED</x:v>
      </x:c>
      <x:c r="Q118" t="str">
        <x:f>IF(OR(ISNUMBER(SEARCH("MISSING_VENDOR",R118)),ISNUMBER(SEARCH("MISSING_PART_NUMBER",R118)),ISNUMBER(SEARCH("PLACEHOLDER_PART_NUMBER",R118)),ISNUMBER(SEARCH("MISSING_REQUIRED_SPEC",R118)),ISNUMBER(SEARCH("PART_NUMBER_CONFLICT",R118)),ISNUMBER(SEARCH("SIZE_PART_MISMATCH",R118)),ISNUMBER(SEARCH("POSSIBLE_PRICE_OUTLIER",R118))),"REVIEW","ACTIVE")</x:f>
        <x:v>ACTIVE</x:v>
      </x:c>
      <x:c r="R118" t="str"/>
      <x:c r="S118" t="n">
        <x:v>282</x:v>
      </x:c>
    </x:row>
    <x:row r="119" ht="15" hidden="0" customHeight="1">
      <x:c r="A119" t="str">
        <x:v>OFFER-3A85325005DA</x:v>
      </x:c>
      <x:c r="B119" t="str">
        <x:v>SPEC-C6691ACF2992</x:v>
      </x:c>
      <x:c r="C119" t="str">
        <x:v>DH</x:v>
      </x:c>
      <x:c r="D119" t="str">
        <x:v>2000: R-PANIC NR</x:v>
      </x:c>
      <x:c r="E119" t="str">
        <x:v>2000: R-PANIC NR</x:v>
      </x:c>
      <x:c r="F119" t="str"/>
      <x:c r="G119" t="str">
        <x:v>78002622</x:v>
      </x:c>
      <x:c r="H119" t="str">
        <x:v>78002622 - 2000R 42" Rim Device</x:v>
      </x:c>
      <x:c r="I119" t="str"/>
      <x:c r="J119" s="54" t="n">
        <x:v>571.15</x:v>
      </x:c>
      <x:c r="K119" t="str"/>
      <x:c r="L119" s="57"/>
      <x:c r="M119" s="57"/>
      <x:c r="N119" s="54" t="n">
        <x:f>IF(J119="","",J119*(1-IF(L119="",0,L119))*(1-IF(M119="",0,M119)))</x:f>
        <x:v>571.15</x:v>
      </x:c>
      <x:c r="O119" t="str">
        <x:v>USD</x:v>
      </x:c>
      <x:c r="P119" t="str">
        <x:f>IF(J119="","UNPRICED","PRICED")</x:f>
        <x:v>PRICED</x:v>
      </x:c>
      <x:c r="Q119" t="str">
        <x:f>IF(OR(ISNUMBER(SEARCH("MISSING_VENDOR",R119)),ISNUMBER(SEARCH("MISSING_PART_NUMBER",R119)),ISNUMBER(SEARCH("PLACEHOLDER_PART_NUMBER",R119)),ISNUMBER(SEARCH("MISSING_REQUIRED_SPEC",R119)),ISNUMBER(SEARCH("PART_NUMBER_CONFLICT",R119)),ISNUMBER(SEARCH("SIZE_PART_MISMATCH",R119)),ISNUMBER(SEARCH("POSSIBLE_PRICE_OUTLIER",R119))),"REVIEW","ACTIVE")</x:f>
        <x:v>ACTIVE</x:v>
      </x:c>
      <x:c r="R119" t="str"/>
      <x:c r="S119" t="n">
        <x:v>287</x:v>
      </x:c>
    </x:row>
    <x:row r="120" ht="15" hidden="0" customHeight="1">
      <x:c r="A120" t="str">
        <x:v>OFFER-8BAD3D05A52F</x:v>
      </x:c>
      <x:c r="B120" t="str">
        <x:v>SPEC-107EFC844FEF</x:v>
      </x:c>
      <x:c r="C120" t="str">
        <x:v>DH</x:v>
      </x:c>
      <x:c r="D120" t="str">
        <x:v>2000: R-PANIC NR</x:v>
      </x:c>
      <x:c r="E120" t="str">
        <x:v>2000: R-PANIC NR</x:v>
      </x:c>
      <x:c r="F120" t="str"/>
      <x:c r="G120" t="str">
        <x:v>78002624</x:v>
      </x:c>
      <x:c r="H120" t="str">
        <x:v>78002624 - 2000R 42" Rim Device</x:v>
      </x:c>
      <x:c r="I120" t="str"/>
      <x:c r="J120" s="54" t="n">
        <x:v>324.1</x:v>
      </x:c>
      <x:c r="K120" t="str"/>
      <x:c r="L120" s="57"/>
      <x:c r="M120" s="57"/>
      <x:c r="N120" s="54" t="n">
        <x:f>IF(J120="","",J120*(1-IF(L120="",0,L120))*(1-IF(M120="",0,M120)))</x:f>
        <x:v>324.1</x:v>
      </x:c>
      <x:c r="O120" t="str">
        <x:v>USD</x:v>
      </x:c>
      <x:c r="P120" t="str">
        <x:f>IF(J120="","UNPRICED","PRICED")</x:f>
        <x:v>PRICED</x:v>
      </x:c>
      <x:c r="Q120" t="str">
        <x:f>IF(OR(ISNUMBER(SEARCH("MISSING_VENDOR",R120)),ISNUMBER(SEARCH("MISSING_PART_NUMBER",R120)),ISNUMBER(SEARCH("PLACEHOLDER_PART_NUMBER",R120)),ISNUMBER(SEARCH("MISSING_REQUIRED_SPEC",R120)),ISNUMBER(SEARCH("PART_NUMBER_CONFLICT",R120)),ISNUMBER(SEARCH("SIZE_PART_MISMATCH",R120)),ISNUMBER(SEARCH("POSSIBLE_PRICE_OUTLIER",R120))),"REVIEW","ACTIVE")</x:f>
        <x:v>ACTIVE</x:v>
      </x:c>
      <x:c r="R120" t="str"/>
      <x:c r="S120" t="n">
        <x:v>292</x:v>
      </x:c>
    </x:row>
    <x:row r="121" ht="15" hidden="0" customHeight="1">
      <x:c r="A121" t="str">
        <x:v>OFFER-CA7344E64657</x:v>
      </x:c>
      <x:c r="B121" t="str">
        <x:v>SPEC-668DCC0882B9</x:v>
      </x:c>
      <x:c r="C121" t="str">
        <x:v>PHG</x:v>
      </x:c>
      <x:c r="D121" t="str">
        <x:v>9500-48"</x:v>
      </x:c>
      <x:c r="E121" t="str">
        <x:v>48" RIM PANIC</x:v>
      </x:c>
      <x:c r="F121" t="str"/>
      <x:c r="G121" t="str">
        <x:v>95ED48FR32D</x:v>
      </x:c>
      <x:c r="H121" t="str">
        <x:v>95ED48FR32D</x:v>
      </x:c>
      <x:c r="I121" t="str"/>
      <x:c r="J121" s="54" t="n">
        <x:v>484.7</x:v>
      </x:c>
      <x:c r="K121" t="str"/>
      <x:c r="L121" s="57"/>
      <x:c r="M121" s="57"/>
      <x:c r="N121" s="54" t="n">
        <x:f>IF(J121="","",J121*(1-IF(L121="",0,L121))*(1-IF(M121="",0,M121)))</x:f>
        <x:v>484.7</x:v>
      </x:c>
      <x:c r="O121" t="str">
        <x:v>USD</x:v>
      </x:c>
      <x:c r="P121" t="str">
        <x:f>IF(J121="","UNPRICED","PRICED")</x:f>
        <x:v>PRICED</x:v>
      </x:c>
      <x:c r="Q121" t="str">
        <x:f>IF(OR(ISNUMBER(SEARCH("MISSING_VENDOR",R121)),ISNUMBER(SEARCH("MISSING_PART_NUMBER",R121)),ISNUMBER(SEARCH("PLACEHOLDER_PART_NUMBER",R121)),ISNUMBER(SEARCH("MISSING_REQUIRED_SPEC",R121)),ISNUMBER(SEARCH("PART_NUMBER_CONFLICT",R121)),ISNUMBER(SEARCH("SIZE_PART_MISMATCH",R121)),ISNUMBER(SEARCH("POSSIBLE_PRICE_OUTLIER",R121))),"REVIEW","ACTIVE")</x:f>
        <x:v>REVIEW</x:v>
      </x:c>
      <x:c r="R121" t="str">
        <x:v>PART_NUMBER_CONFLICT</x:v>
      </x:c>
      <x:c r="S121" t="n">
        <x:v>306</x:v>
      </x:c>
    </x:row>
    <x:row r="122" ht="15" hidden="0" customHeight="1">
      <x:c r="A122" t="str">
        <x:v>OFFER-2CFD0AD52CC3</x:v>
      </x:c>
      <x:c r="B122" t="str">
        <x:v>SPEC-91FCF875ED12</x:v>
      </x:c>
      <x:c r="C122" t="str">
        <x:v>DK</x:v>
      </x:c>
      <x:c r="D122" t="str">
        <x:v>9300A 48"</x:v>
      </x:c>
      <x:c r="E122" t="str">
        <x:v>9300A:R-PANIC: NR</x:v>
      </x:c>
      <x:c r="F122" t="str"/>
      <x:c r="G122" t="str"/>
      <x:c r="H122" t="str"/>
      <x:c r="I122" t="str"/>
      <x:c r="J122" s="54" t="n">
        <x:v>2144</x:v>
      </x:c>
      <x:c r="K122" t="str"/>
      <x:c r="L122" s="57"/>
      <x:c r="M122" s="57"/>
      <x:c r="N122" s="54" t="n">
        <x:f>IF(J122="","",J122*(1-IF(L122="",0,L122))*(1-IF(M122="",0,M122)))</x:f>
        <x:v>2144</x:v>
      </x:c>
      <x:c r="O122" t="str">
        <x:v>USD</x:v>
      </x:c>
      <x:c r="P122" t="str">
        <x:f>IF(J122="","UNPRICED","PRICED")</x:f>
        <x:v>PRICED</x:v>
      </x:c>
      <x:c r="Q122" t="str">
        <x:f>IF(OR(ISNUMBER(SEARCH("MISSING_VENDOR",R122)),ISNUMBER(SEARCH("MISSING_PART_NUMBER",R122)),ISNUMBER(SEARCH("PLACEHOLDER_PART_NUMBER",R122)),ISNUMBER(SEARCH("MISSING_REQUIRED_SPEC",R122)),ISNUMBER(SEARCH("PART_NUMBER_CONFLICT",R122)),ISNUMBER(SEARCH("SIZE_PART_MISMATCH",R122)),ISNUMBER(SEARCH("POSSIBLE_PRICE_OUTLIER",R122))),"REVIEW","ACTIVE")</x:f>
        <x:v>REVIEW</x:v>
      </x:c>
      <x:c r="R122" t="str">
        <x:v>MISSING_PART_NUMBER</x:v>
      </x:c>
      <x:c r="S122" t="n">
        <x:v>320</x:v>
      </x:c>
    </x:row>
    <x:row r="123" ht="15" hidden="0" customHeight="1">
      <x:c r="A123" t="str">
        <x:v>OFFER-764F6D9F87A3</x:v>
      </x:c>
      <x:c r="B123" t="str">
        <x:v>SPEC-91FCF875ED12</x:v>
      </x:c>
      <x:c r="C123" t="str">
        <x:v>PHG</x:v>
      </x:c>
      <x:c r="D123" t="str">
        <x:v>9500-48"</x:v>
      </x:c>
      <x:c r="E123" t="str">
        <x:v>48" RIM PANIC</x:v>
      </x:c>
      <x:c r="F123" t="str"/>
      <x:c r="G123" t="str">
        <x:v>95ED48R32D</x:v>
      </x:c>
      <x:c r="H123" t="str">
        <x:v>95ED48R32D</x:v>
      </x:c>
      <x:c r="I123" t="str"/>
      <x:c r="J123" s="54" t="n">
        <x:v>448.43</x:v>
      </x:c>
      <x:c r="K123" t="str"/>
      <x:c r="L123" s="57"/>
      <x:c r="M123" s="57"/>
      <x:c r="N123" s="54" t="n">
        <x:f>IF(J123="","",J123*(1-IF(L123="",0,L123))*(1-IF(M123="",0,M123)))</x:f>
        <x:v>448.43</x:v>
      </x:c>
      <x:c r="O123" t="str">
        <x:v>USD</x:v>
      </x:c>
      <x:c r="P123" t="str">
        <x:f>IF(J123="","UNPRICED","PRICED")</x:f>
        <x:v>PRICED</x:v>
      </x:c>
      <x:c r="Q123" t="str">
        <x:f>IF(OR(ISNUMBER(SEARCH("MISSING_VENDOR",R123)),ISNUMBER(SEARCH("MISSING_PART_NUMBER",R123)),ISNUMBER(SEARCH("PLACEHOLDER_PART_NUMBER",R123)),ISNUMBER(SEARCH("MISSING_REQUIRED_SPEC",R123)),ISNUMBER(SEARCH("PART_NUMBER_CONFLICT",R123)),ISNUMBER(SEARCH("SIZE_PART_MISMATCH",R123)),ISNUMBER(SEARCH("POSSIBLE_PRICE_OUTLIER",R123))),"REVIEW","ACTIVE")</x:f>
        <x:v>ACTIVE</x:v>
      </x:c>
      <x:c r="R123" t="str"/>
      <x:c r="S123" t="n">
        <x:v>305</x:v>
      </x:c>
    </x:row>
    <x:row r="124" ht="15" hidden="0" customHeight="1">
      <x:c r="A124" t="str">
        <x:v>OFFER-1F1566827C02</x:v>
      </x:c>
      <x:c r="B124" t="str">
        <x:v>SPEC-91FCF875ED12</x:v>
      </x:c>
      <x:c r="C124" t="str">
        <x:v>PHI</x:v>
      </x:c>
      <x:c r="D124" t="str">
        <x:v>2300 48"</x:v>
      </x:c>
      <x:c r="E124" t="str">
        <x:v>2400:R-PANIC: NR</x:v>
      </x:c>
      <x:c r="F124" t="str"/>
      <x:c r="G124" t="str"/>
      <x:c r="H124" t="str"/>
      <x:c r="I124" t="str"/>
      <x:c r="J124" s="54" t="n">
        <x:v>4860</x:v>
      </x:c>
      <x:c r="K124" t="str">
        <x:v>50/70</x:v>
      </x:c>
      <x:c r="L124" s="57" t="n">
        <x:v>0.5</x:v>
      </x:c>
      <x:c r="M124" s="57" t="n">
        <x:v>0.7</x:v>
      </x:c>
      <x:c r="N124" s="54" t="n">
        <x:f>IF(J124="","",J124*(1-IF(L124="",0,L124))*(1-IF(M124="",0,M124)))</x:f>
        <x:v>729.0000000000001</x:v>
      </x:c>
      <x:c r="O124" t="str">
        <x:v>USD</x:v>
      </x:c>
      <x:c r="P124" t="str">
        <x:f>IF(J124="","UNPRICED","PRICED")</x:f>
        <x:v>PRICED</x:v>
      </x:c>
      <x:c r="Q124" t="str">
        <x:f>IF(OR(ISNUMBER(SEARCH("MISSING_VENDOR",R124)),ISNUMBER(SEARCH("MISSING_PART_NUMBER",R124)),ISNUMBER(SEARCH("PLACEHOLDER_PART_NUMBER",R124)),ISNUMBER(SEARCH("MISSING_REQUIRED_SPEC",R124)),ISNUMBER(SEARCH("PART_NUMBER_CONFLICT",R124)),ISNUMBER(SEARCH("SIZE_PART_MISMATCH",R124)),ISNUMBER(SEARCH("POSSIBLE_PRICE_OUTLIER",R124))),"REVIEW","ACTIVE")</x:f>
        <x:v>REVIEW</x:v>
      </x:c>
      <x:c r="R124" t="str">
        <x:v>MISSING_PART_NUMBER</x:v>
      </x:c>
      <x:c r="S124" t="n">
        <x:v>337</x:v>
      </x:c>
    </x:row>
    <x:row r="125" ht="15" hidden="0" customHeight="1">
      <x:c r="A125" t="str">
        <x:v>OFFER-AEB5E2F43186</x:v>
      </x:c>
      <x:c r="B125" t="str">
        <x:v>SPEC-FB6463B2EA16</x:v>
      </x:c>
      <x:c r="C125" t="str">
        <x:v>PHG</x:v>
      </x:c>
      <x:c r="D125" t="str">
        <x:v>9500-48"</x:v>
      </x:c>
      <x:c r="E125" t="str">
        <x:v>48" RIM PANIC</x:v>
      </x:c>
      <x:c r="F125" t="str"/>
      <x:c r="G125" t="str">
        <x:v>95ED48FR32D</x:v>
      </x:c>
      <x:c r="H125" t="str">
        <x:v>95ED48FR32D</x:v>
      </x:c>
      <x:c r="I125" t="str"/>
      <x:c r="J125" s="54" t="n">
        <x:v>484.7</x:v>
      </x:c>
      <x:c r="K125" t="str"/>
      <x:c r="L125" s="57"/>
      <x:c r="M125" s="57"/>
      <x:c r="N125" s="54" t="n">
        <x:f>IF(J125="","",J125*(1-IF(L125="",0,L125))*(1-IF(M125="",0,M125)))</x:f>
        <x:v>484.7</x:v>
      </x:c>
      <x:c r="O125" t="str">
        <x:v>USD</x:v>
      </x:c>
      <x:c r="P125" t="str">
        <x:f>IF(J125="","UNPRICED","PRICED")</x:f>
        <x:v>PRICED</x:v>
      </x:c>
      <x:c r="Q125" t="str">
        <x:f>IF(OR(ISNUMBER(SEARCH("MISSING_VENDOR",R125)),ISNUMBER(SEARCH("MISSING_PART_NUMBER",R125)),ISNUMBER(SEARCH("PLACEHOLDER_PART_NUMBER",R125)),ISNUMBER(SEARCH("MISSING_REQUIRED_SPEC",R125)),ISNUMBER(SEARCH("PART_NUMBER_CONFLICT",R125)),ISNUMBER(SEARCH("SIZE_PART_MISMATCH",R125)),ISNUMBER(SEARCH("POSSIBLE_PRICE_OUTLIER",R125))),"REVIEW","ACTIVE")</x:f>
        <x:v>REVIEW</x:v>
      </x:c>
      <x:c r="R125" t="str">
        <x:v>PART_NUMBER_CONFLICT</x:v>
      </x:c>
      <x:c r="S125" t="n">
        <x:v>308</x:v>
      </x:c>
    </x:row>
    <x:row r="126" ht="15" hidden="0" customHeight="1">
      <x:c r="A126" t="str">
        <x:v>OFFER-C2B6D96D5EDA</x:v>
      </x:c>
      <x:c r="B126" t="str">
        <x:v>SPEC-A885CA680F72</x:v>
      </x:c>
      <x:c r="C126" t="str">
        <x:v>PHG</x:v>
      </x:c>
      <x:c r="D126" t="str">
        <x:v>9500-48"</x:v>
      </x:c>
      <x:c r="E126" t="str">
        <x:v>48" RIM PANIC</x:v>
      </x:c>
      <x:c r="F126" t="str"/>
      <x:c r="G126" t="str">
        <x:v>95ED36FR32D</x:v>
      </x:c>
      <x:c r="H126" t="str">
        <x:v>95ED36FR32D</x:v>
      </x:c>
      <x:c r="I126" t="str"/>
      <x:c r="J126" s="54" t="n">
        <x:v>467.62</x:v>
      </x:c>
      <x:c r="K126" t="str"/>
      <x:c r="L126" s="57"/>
      <x:c r="M126" s="57"/>
      <x:c r="N126" s="54" t="n">
        <x:f>IF(J126="","",J126*(1-IF(L126="",0,L126))*(1-IF(M126="",0,M126)))</x:f>
        <x:v>467.62</x:v>
      </x:c>
      <x:c r="O126" t="str">
        <x:v>USD</x:v>
      </x:c>
      <x:c r="P126" t="str">
        <x:f>IF(J126="","UNPRICED","PRICED")</x:f>
        <x:v>PRICED</x:v>
      </x:c>
      <x:c r="Q126" t="str">
        <x:f>IF(OR(ISNUMBER(SEARCH("MISSING_VENDOR",R126)),ISNUMBER(SEARCH("MISSING_PART_NUMBER",R126)),ISNUMBER(SEARCH("PLACEHOLDER_PART_NUMBER",R126)),ISNUMBER(SEARCH("MISSING_REQUIRED_SPEC",R126)),ISNUMBER(SEARCH("PART_NUMBER_CONFLICT",R126)),ISNUMBER(SEARCH("SIZE_PART_MISMATCH",R126)),ISNUMBER(SEARCH("POSSIBLE_PRICE_OUTLIER",R126))),"REVIEW","ACTIVE")</x:f>
        <x:v>REVIEW</x:v>
      </x:c>
      <x:c r="R126" t="str">
        <x:v>PART_NUMBER_CONFLICT</x:v>
      </x:c>
      <x:c r="S126" t="n">
        <x:v>303</x:v>
      </x:c>
    </x:row>
    <x:row r="127" ht="15" hidden="0" customHeight="1">
      <x:c r="A127" t="str">
        <x:v>OFFER-7430158E4ED1</x:v>
      </x:c>
      <x:c r="B127" t="str">
        <x:v>SPEC-A885CA680F72</x:v>
      </x:c>
      <x:c r="C127" t="str">
        <x:v>PHG</x:v>
      </x:c>
      <x:c r="D127" t="str">
        <x:v>9500-48"</x:v>
      </x:c>
      <x:c r="E127" t="str">
        <x:v>48" RIM PANIC</x:v>
      </x:c>
      <x:c r="F127" t="str"/>
      <x:c r="G127" t="str">
        <x:v>95ED48FR32D</x:v>
      </x:c>
      <x:c r="H127" t="str">
        <x:v>95ED48FR32D</x:v>
      </x:c>
      <x:c r="I127" t="str"/>
      <x:c r="J127" s="54" t="n">
        <x:v>484.7</x:v>
      </x:c>
      <x:c r="K127" t="str"/>
      <x:c r="L127" s="57"/>
      <x:c r="M127" s="57"/>
      <x:c r="N127" s="54" t="n">
        <x:f>IF(J127="","",J127*(1-IF(L127="",0,L127))*(1-IF(M127="",0,M127)))</x:f>
        <x:v>484.7</x:v>
      </x:c>
      <x:c r="O127" t="str">
        <x:v>USD</x:v>
      </x:c>
      <x:c r="P127" t="str">
        <x:f>IF(J127="","UNPRICED","PRICED")</x:f>
        <x:v>PRICED</x:v>
      </x:c>
      <x:c r="Q127" t="str">
        <x:f>IF(OR(ISNUMBER(SEARCH("MISSING_VENDOR",R127)),ISNUMBER(SEARCH("MISSING_PART_NUMBER",R127)),ISNUMBER(SEARCH("PLACEHOLDER_PART_NUMBER",R127)),ISNUMBER(SEARCH("MISSING_REQUIRED_SPEC",R127)),ISNUMBER(SEARCH("PART_NUMBER_CONFLICT",R127)),ISNUMBER(SEARCH("SIZE_PART_MISMATCH",R127)),ISNUMBER(SEARCH("POSSIBLE_PRICE_OUTLIER",R127))),"REVIEW","ACTIVE")</x:f>
        <x:v>REVIEW</x:v>
      </x:c>
      <x:c r="R127" t="str">
        <x:v>PART_NUMBER_CONFLICT</x:v>
      </x:c>
      <x:c r="S127" t="n">
        <x:v>307</x:v>
      </x:c>
    </x:row>
    <x:row r="128" ht="15" hidden="0" customHeight="1">
      <x:c r="A128" t="str">
        <x:v>OFFER-EA52B87C0E65</x:v>
      </x:c>
      <x:c r="B128" t="str">
        <x:v>SPEC-CCD60FD58F0B</x:v>
      </x:c>
      <x:c r="C128" t="str">
        <x:v>***</x:v>
      </x:c>
      <x:c r="D128" t="str">
        <x:v>BUTT</x:v>
      </x:c>
      <x:c r="E128" t="str"/>
      <x:c r="F128" t="str"/>
      <x:c r="G128" t="str">
        <x:v>******</x:v>
      </x:c>
      <x:c r="H128" t="str">
        <x:v>******</x:v>
      </x:c>
      <x:c r="I128" t="str"/>
      <x:c r="J128" s="54"/>
      <x:c r="K128" t="str"/>
      <x:c r="L128" s="57"/>
      <x:c r="M128" s="57"/>
      <x:c r="N128" s="54" t="str">
        <x:f>IF(J128="","",J128*(1-IF(L128="",0,L128))*(1-IF(M128="",0,M128)))</x:f>
      </x:c>
      <x:c r="O128" t="str">
        <x:v>USD</x:v>
      </x:c>
      <x:c r="P128" t="str">
        <x:f>IF(J128="","UNPRICED","PRICED")</x:f>
        <x:v>UNPRICED</x:v>
      </x:c>
      <x:c r="Q128" t="str">
        <x:f>IF(OR(ISNUMBER(SEARCH("MISSING_VENDOR",R128)),ISNUMBER(SEARCH("MISSING_PART_NUMBER",R128)),ISNUMBER(SEARCH("PLACEHOLDER_PART_NUMBER",R128)),ISNUMBER(SEARCH("MISSING_REQUIRED_SPEC",R128)),ISNUMBER(SEARCH("PART_NUMBER_CONFLICT",R128)),ISNUMBER(SEARCH("SIZE_PART_MISMATCH",R128)),ISNUMBER(SEARCH("POSSIBLE_PRICE_OUTLIER",R128))),"REVIEW","ACTIVE")</x:f>
        <x:v>REVIEW</x:v>
      </x:c>
      <x:c r="R128" t="str">
        <x:v>MISSING_VENDOR; MISSING_PRICE; PLACEHOLDER_PART_NUMBER</x:v>
      </x:c>
      <x:c r="S128" t="n">
        <x:v>10</x:v>
      </x:c>
    </x:row>
    <x:row r="129" ht="15" hidden="0" customHeight="1">
      <x:c r="A129" t="str">
        <x:v>OFFER-68B7AE143DF4</x:v>
      </x:c>
      <x:c r="B129" t="str">
        <x:v>SPEC-EAEAADF0DBE0</x:v>
      </x:c>
      <x:c r="C129" t="str">
        <x:v>IVE</x:v>
      </x:c>
      <x:c r="D129" t="str">
        <x:v>BUTT</x:v>
      </x:c>
      <x:c r="E129" t="str">
        <x:v>5.0 * 5.0</x:v>
      </x:c>
      <x:c r="F129" t="str"/>
      <x:c r="G129" t="str">
        <x:v>******</x:v>
      </x:c>
      <x:c r="H129" t="str">
        <x:v>******</x:v>
      </x:c>
      <x:c r="I129" t="str"/>
      <x:c r="J129" s="54"/>
      <x:c r="K129" t="str"/>
      <x:c r="L129" s="57"/>
      <x:c r="M129" s="57"/>
      <x:c r="N129" s="54" t="str">
        <x:f>IF(J129="","",J129*(1-IF(L129="",0,L129))*(1-IF(M129="",0,M129)))</x:f>
      </x:c>
      <x:c r="O129" t="str">
        <x:v>USD</x:v>
      </x:c>
      <x:c r="P129" t="str">
        <x:f>IF(J129="","UNPRICED","PRICED")</x:f>
        <x:v>UNPRICED</x:v>
      </x:c>
      <x:c r="Q129" t="str">
        <x:f>IF(OR(ISNUMBER(SEARCH("MISSING_VENDOR",R129)),ISNUMBER(SEARCH("MISSING_PART_NUMBER",R129)),ISNUMBER(SEARCH("PLACEHOLDER_PART_NUMBER",R129)),ISNUMBER(SEARCH("MISSING_REQUIRED_SPEC",R129)),ISNUMBER(SEARCH("PART_NUMBER_CONFLICT",R129)),ISNUMBER(SEARCH("SIZE_PART_MISMATCH",R129)),ISNUMBER(SEARCH("POSSIBLE_PRICE_OUTLIER",R129))),"REVIEW","ACTIVE")</x:f>
        <x:v>REVIEW</x:v>
      </x:c>
      <x:c r="R129" t="str">
        <x:v>MISSING_PRICE; PLACEHOLDER_PART_NUMBER</x:v>
      </x:c>
      <x:c r="S129" t="n">
        <x:v>9</x:v>
      </x:c>
    </x:row>
    <x:row r="130" ht="15" hidden="0" customHeight="1">
      <x:c r="A130" t="str">
        <x:v>OFFER-A4B80386A96D</x:v>
      </x:c>
      <x:c r="B130" t="str">
        <x:v>SPEC-0C603B3070A1</x:v>
      </x:c>
      <x:c r="C130" t="str"/>
      <x:c r="D130" t="str">
        <x:v>CONTINUOUS</x:v>
      </x:c>
      <x:c r="E130" t="str"/>
      <x:c r="F130" t="str"/>
      <x:c r="G130" t="str"/>
      <x:c r="H130" t="str"/>
      <x:c r="I130" t="str"/>
      <x:c r="J130" s="54"/>
      <x:c r="K130" t="str"/>
      <x:c r="L130" s="57"/>
      <x:c r="M130" s="57"/>
      <x:c r="N130" s="54" t="str">
        <x:f>IF(J130="","",J130*(1-IF(L130="",0,L130))*(1-IF(M130="",0,M130)))</x:f>
      </x:c>
      <x:c r="O130" t="str">
        <x:v>USD</x:v>
      </x:c>
      <x:c r="P130" t="str">
        <x:f>IF(J130="","UNPRICED","PRICED")</x:f>
        <x:v>UNPRICED</x:v>
      </x:c>
      <x:c r="Q130" t="str">
        <x:f>IF(OR(ISNUMBER(SEARCH("MISSING_VENDOR",R130)),ISNUMBER(SEARCH("MISSING_PART_NUMBER",R130)),ISNUMBER(SEARCH("PLACEHOLDER_PART_NUMBER",R130)),ISNUMBER(SEARCH("MISSING_REQUIRED_SPEC",R130)),ISNUMBER(SEARCH("PART_NUMBER_CONFLICT",R130)),ISNUMBER(SEARCH("SIZE_PART_MISMATCH",R130)),ISNUMBER(SEARCH("POSSIBLE_PRICE_OUTLIER",R130))),"REVIEW","ACTIVE")</x:f>
        <x:v>REVIEW</x:v>
      </x:c>
      <x:c r="R130" t="str">
        <x:v>MISSING_VENDOR; MISSING_PRICE; MISSING_PART_NUMBER; MISSING_REQUIRED_SPEC</x:v>
      </x:c>
      <x:c r="S130" t="n">
        <x:v>26</x:v>
      </x:c>
    </x:row>
    <x:row r="131" ht="15" hidden="0" customHeight="1">
      <x:c r="A131" t="str">
        <x:v>OFFER-AB9524199677</x:v>
      </x:c>
      <x:c r="B131" t="str">
        <x:v>SPEC-3AC38DD8BDA3</x:v>
      </x:c>
      <x:c r="C131" t="str">
        <x:v>ABH</x:v>
      </x:c>
      <x:c r="D131" t="str">
        <x:v>CONTINUOUS</x:v>
      </x:c>
      <x:c r="E131" t="str">
        <x:v>8'</x:v>
      </x:c>
      <x:c r="F131" t="str"/>
      <x:c r="G131" t="str"/>
      <x:c r="H131" t="str"/>
      <x:c r="I131" t="str"/>
      <x:c r="J131" s="54"/>
      <x:c r="K131" t="str"/>
      <x:c r="L131" s="57"/>
      <x:c r="M131" s="57"/>
      <x:c r="N131" s="54" t="str">
        <x:f>IF(J131="","",J131*(1-IF(L131="",0,L131))*(1-IF(M131="",0,M131)))</x:f>
      </x:c>
      <x:c r="O131" t="str">
        <x:v>USD</x:v>
      </x:c>
      <x:c r="P131" t="str">
        <x:f>IF(J131="","UNPRICED","PRICED")</x:f>
        <x:v>UNPRICED</x:v>
      </x:c>
      <x:c r="Q131" t="str">
        <x:f>IF(OR(ISNUMBER(SEARCH("MISSING_VENDOR",R131)),ISNUMBER(SEARCH("MISSING_PART_NUMBER",R131)),ISNUMBER(SEARCH("PLACEHOLDER_PART_NUMBER",R131)),ISNUMBER(SEARCH("MISSING_REQUIRED_SPEC",R131)),ISNUMBER(SEARCH("PART_NUMBER_CONFLICT",R131)),ISNUMBER(SEARCH("SIZE_PART_MISMATCH",R131)),ISNUMBER(SEARCH("POSSIBLE_PRICE_OUTLIER",R131))),"REVIEW","ACTIVE")</x:f>
        <x:v>REVIEW</x:v>
      </x:c>
      <x:c r="R131" t="str">
        <x:v>MISSING_PRICE; MISSING_PART_NUMBER</x:v>
      </x:c>
      <x:c r="S131" t="n">
        <x:v>14</x:v>
      </x:c>
    </x:row>
    <x:row r="132" ht="15" hidden="0" customHeight="1">
      <x:c r="A132" t="str">
        <x:v>OFFER-0863C6C4B230</x:v>
      </x:c>
      <x:c r="B132" t="str">
        <x:v>SPEC-3AC38DD8BDA3</x:v>
      </x:c>
      <x:c r="C132" t="str">
        <x:v>ABH</x:v>
      </x:c>
      <x:c r="D132" t="str">
        <x:v>CONTINUOUS</x:v>
      </x:c>
      <x:c r="E132" t="str">
        <x:v>7'</x:v>
      </x:c>
      <x:c r="F132" t="str"/>
      <x:c r="G132" t="str"/>
      <x:c r="H132" t="str"/>
      <x:c r="I132" t="str"/>
      <x:c r="J132" s="54"/>
      <x:c r="K132" t="str"/>
      <x:c r="L132" s="57"/>
      <x:c r="M132" s="57"/>
      <x:c r="N132" s="54" t="str">
        <x:f>IF(J132="","",J132*(1-IF(L132="",0,L132))*(1-IF(M132="",0,M132)))</x:f>
      </x:c>
      <x:c r="O132" t="str">
        <x:v>USD</x:v>
      </x:c>
      <x:c r="P132" t="str">
        <x:f>IF(J132="","UNPRICED","PRICED")</x:f>
        <x:v>UNPRICED</x:v>
      </x:c>
      <x:c r="Q132" t="str">
        <x:f>IF(OR(ISNUMBER(SEARCH("MISSING_VENDOR",R132)),ISNUMBER(SEARCH("MISSING_PART_NUMBER",R132)),ISNUMBER(SEARCH("PLACEHOLDER_PART_NUMBER",R132)),ISNUMBER(SEARCH("MISSING_REQUIRED_SPEC",R132)),ISNUMBER(SEARCH("PART_NUMBER_CONFLICT",R132)),ISNUMBER(SEARCH("SIZE_PART_MISMATCH",R132)),ISNUMBER(SEARCH("POSSIBLE_PRICE_OUTLIER",R132))),"REVIEW","ACTIVE")</x:f>
        <x:v>REVIEW</x:v>
      </x:c>
      <x:c r="R132" t="str">
        <x:v>MISSING_PRICE; MISSING_PART_NUMBER</x:v>
      </x:c>
      <x:c r="S132" t="n">
        <x:v>15</x:v>
      </x:c>
    </x:row>
    <x:row r="133" ht="15" hidden="0" customHeight="1">
      <x:c r="A133" t="str">
        <x:v>OFFER-48E947663F8B</x:v>
      </x:c>
      <x:c r="B133" t="str">
        <x:v>SPEC-3AC38DD8BDA3</x:v>
      </x:c>
      <x:c r="C133" t="str">
        <x:v>ABH</x:v>
      </x:c>
      <x:c r="D133" t="str">
        <x:v>CONTINUOUS</x:v>
      </x:c>
      <x:c r="E133" t="str">
        <x:v>EZ</x:v>
      </x:c>
      <x:c r="F133" t="str"/>
      <x:c r="G133" t="str"/>
      <x:c r="H133" t="str"/>
      <x:c r="I133" t="str"/>
      <x:c r="J133" s="54"/>
      <x:c r="K133" t="str"/>
      <x:c r="L133" s="57"/>
      <x:c r="M133" s="57"/>
      <x:c r="N133" s="54" t="str">
        <x:f>IF(J133="","",J133*(1-IF(L133="",0,L133))*(1-IF(M133="",0,M133)))</x:f>
      </x:c>
      <x:c r="O133" t="str">
        <x:v>USD</x:v>
      </x:c>
      <x:c r="P133" t="str">
        <x:f>IF(J133="","UNPRICED","PRICED")</x:f>
        <x:v>UNPRICED</x:v>
      </x:c>
      <x:c r="Q133" t="str">
        <x:f>IF(OR(ISNUMBER(SEARCH("MISSING_VENDOR",R133)),ISNUMBER(SEARCH("MISSING_PART_NUMBER",R133)),ISNUMBER(SEARCH("PLACEHOLDER_PART_NUMBER",R133)),ISNUMBER(SEARCH("MISSING_REQUIRED_SPEC",R133)),ISNUMBER(SEARCH("PART_NUMBER_CONFLICT",R133)),ISNUMBER(SEARCH("SIZE_PART_MISMATCH",R133)),ISNUMBER(SEARCH("POSSIBLE_PRICE_OUTLIER",R133))),"REVIEW","ACTIVE")</x:f>
        <x:v>REVIEW</x:v>
      </x:c>
      <x:c r="R133" t="str">
        <x:v>MISSING_PRICE; MISSING_PART_NUMBER</x:v>
      </x:c>
      <x:c r="S133" t="n">
        <x:v>22</x:v>
      </x:c>
    </x:row>
    <x:row r="134" ht="15" hidden="0" customHeight="1">
      <x:c r="A134" t="str">
        <x:v>OFFER-092AAC2B2C23</x:v>
      </x:c>
      <x:c r="B134" t="str">
        <x:v>SPEC-3AC38DD8BDA3</x:v>
      </x:c>
      <x:c r="C134" t="str">
        <x:v>DH</x:v>
      </x:c>
      <x:c r="D134" t="str">
        <x:v>CONTINUOUS</x:v>
      </x:c>
      <x:c r="E134" t="str">
        <x:v>8'</x:v>
      </x:c>
      <x:c r="F134" t="str"/>
      <x:c r="G134" t="str"/>
      <x:c r="H134" t="str"/>
      <x:c r="I134" t="str"/>
      <x:c r="J134" s="54"/>
      <x:c r="K134" t="str"/>
      <x:c r="L134" s="57"/>
      <x:c r="M134" s="57"/>
      <x:c r="N134" s="54" t="str">
        <x:f>IF(J134="","",J134*(1-IF(L134="",0,L134))*(1-IF(M134="",0,M134)))</x:f>
      </x:c>
      <x:c r="O134" t="str">
        <x:v>USD</x:v>
      </x:c>
      <x:c r="P134" t="str">
        <x:f>IF(J134="","UNPRICED","PRICED")</x:f>
        <x:v>UNPRICED</x:v>
      </x:c>
      <x:c r="Q134" t="str">
        <x:f>IF(OR(ISNUMBER(SEARCH("MISSING_VENDOR",R134)),ISNUMBER(SEARCH("MISSING_PART_NUMBER",R134)),ISNUMBER(SEARCH("PLACEHOLDER_PART_NUMBER",R134)),ISNUMBER(SEARCH("MISSING_REQUIRED_SPEC",R134)),ISNUMBER(SEARCH("PART_NUMBER_CONFLICT",R134)),ISNUMBER(SEARCH("SIZE_PART_MISMATCH",R134)),ISNUMBER(SEARCH("POSSIBLE_PRICE_OUTLIER",R134))),"REVIEW","ACTIVE")</x:f>
        <x:v>REVIEW</x:v>
      </x:c>
      <x:c r="R134" t="str">
        <x:v>MISSING_PRICE; MISSING_PART_NUMBER</x:v>
      </x:c>
      <x:c r="S134" t="n">
        <x:v>23</x:v>
      </x:c>
    </x:row>
    <x:row r="135" ht="15" hidden="0" customHeight="1">
      <x:c r="A135" t="str">
        <x:v>OFFER-E2B5ABDA3D82</x:v>
      </x:c>
      <x:c r="B135" t="str">
        <x:v>SPEC-3AC38DD8BDA3</x:v>
      </x:c>
      <x:c r="C135" t="str">
        <x:v>DH</x:v>
      </x:c>
      <x:c r="D135" t="str">
        <x:v>CONTINUOUS</x:v>
      </x:c>
      <x:c r="E135" t="str">
        <x:v>7'</x:v>
      </x:c>
      <x:c r="F135" t="str"/>
      <x:c r="G135" t="str"/>
      <x:c r="H135" t="str"/>
      <x:c r="I135" t="str"/>
      <x:c r="J135" s="54"/>
      <x:c r="K135" t="str"/>
      <x:c r="L135" s="57"/>
      <x:c r="M135" s="57"/>
      <x:c r="N135" s="54" t="str">
        <x:f>IF(J135="","",J135*(1-IF(L135="",0,L135))*(1-IF(M135="",0,M135)))</x:f>
      </x:c>
      <x:c r="O135" t="str">
        <x:v>USD</x:v>
      </x:c>
      <x:c r="P135" t="str">
        <x:f>IF(J135="","UNPRICED","PRICED")</x:f>
        <x:v>UNPRICED</x:v>
      </x:c>
      <x:c r="Q135" t="str">
        <x:f>IF(OR(ISNUMBER(SEARCH("MISSING_VENDOR",R135)),ISNUMBER(SEARCH("MISSING_PART_NUMBER",R135)),ISNUMBER(SEARCH("PLACEHOLDER_PART_NUMBER",R135)),ISNUMBER(SEARCH("MISSING_REQUIRED_SPEC",R135)),ISNUMBER(SEARCH("PART_NUMBER_CONFLICT",R135)),ISNUMBER(SEARCH("SIZE_PART_MISMATCH",R135)),ISNUMBER(SEARCH("POSSIBLE_PRICE_OUTLIER",R135))),"REVIEW","ACTIVE")</x:f>
        <x:v>REVIEW</x:v>
      </x:c>
      <x:c r="R135" t="str">
        <x:v>MISSING_PRICE; MISSING_PART_NUMBER</x:v>
      </x:c>
      <x:c r="S135" t="n">
        <x:v>24</x:v>
      </x:c>
    </x:row>
    <x:row r="136" ht="15" hidden="0" customHeight="1">
      <x:c r="A136" t="str">
        <x:v>OFFER-679CD343FB67</x:v>
      </x:c>
      <x:c r="B136" t="str">
        <x:v>SPEC-3AC38DD8BDA3</x:v>
      </x:c>
      <x:c r="C136" t="str">
        <x:v>NGP</x:v>
      </x:c>
      <x:c r="D136" t="str">
        <x:v>CONTINUOUS</x:v>
      </x:c>
      <x:c r="E136" t="str">
        <x:v>7'</x:v>
      </x:c>
      <x:c r="F136" t="str"/>
      <x:c r="G136" t="str">
        <x:v>HD2400</x:v>
      </x:c>
      <x:c r="H136" t="str">
        <x:v>HD2400</x:v>
      </x:c>
      <x:c r="I136" t="str"/>
      <x:c r="J136" s="54"/>
      <x:c r="K136" t="str"/>
      <x:c r="L136" s="57"/>
      <x:c r="M136" s="57"/>
      <x:c r="N136" s="54" t="str">
        <x:f>IF(J136="","",J136*(1-IF(L136="",0,L136))*(1-IF(M136="",0,M136)))</x:f>
      </x:c>
      <x:c r="O136" t="str">
        <x:v>USD</x:v>
      </x:c>
      <x:c r="P136" t="str">
        <x:f>IF(J136="","UNPRICED","PRICED")</x:f>
        <x:v>UNPRICED</x:v>
      </x:c>
      <x:c r="Q136" t="str">
        <x:f>IF(OR(ISNUMBER(SEARCH("MISSING_VENDOR",R136)),ISNUMBER(SEARCH("MISSING_PART_NUMBER",R136)),ISNUMBER(SEARCH("PLACEHOLDER_PART_NUMBER",R136)),ISNUMBER(SEARCH("MISSING_REQUIRED_SPEC",R136)),ISNUMBER(SEARCH("PART_NUMBER_CONFLICT",R136)),ISNUMBER(SEARCH("SIZE_PART_MISMATCH",R136)),ISNUMBER(SEARCH("POSSIBLE_PRICE_OUTLIER",R136))),"REVIEW","ACTIVE")</x:f>
        <x:v>ACTIVE</x:v>
      </x:c>
      <x:c r="R136" t="str">
        <x:v>MISSING_PRICE</x:v>
      </x:c>
      <x:c r="S136" t="n">
        <x:v>20</x:v>
      </x:c>
    </x:row>
    <x:row r="137" ht="15" hidden="0" customHeight="1">
      <x:c r="A137" t="str">
        <x:v>OFFER-3004DBA62C49</x:v>
      </x:c>
      <x:c r="B137" t="str">
        <x:v>SPEC-F0BF5C9B897E</x:v>
      </x:c>
      <x:c r="C137" t="str">
        <x:v>ABH</x:v>
      </x:c>
      <x:c r="D137" t="str">
        <x:v>CONTINUOUS</x:v>
      </x:c>
      <x:c r="E137" t="str">
        <x:v>6'8</x:v>
      </x:c>
      <x:c r="F137" t="str"/>
      <x:c r="G137" t="str"/>
      <x:c r="H137" t="str"/>
      <x:c r="I137" t="str"/>
      <x:c r="J137" s="54"/>
      <x:c r="K137" t="str"/>
      <x:c r="L137" s="57"/>
      <x:c r="M137" s="57"/>
      <x:c r="N137" s="54" t="str">
        <x:f>IF(J137="","",J137*(1-IF(L137="",0,L137))*(1-IF(M137="",0,M137)))</x:f>
      </x:c>
      <x:c r="O137" t="str">
        <x:v>USD</x:v>
      </x:c>
      <x:c r="P137" t="str">
        <x:f>IF(J137="","UNPRICED","PRICED")</x:f>
        <x:v>UNPRICED</x:v>
      </x:c>
      <x:c r="Q137" t="str">
        <x:f>IF(OR(ISNUMBER(SEARCH("MISSING_VENDOR",R137)),ISNUMBER(SEARCH("MISSING_PART_NUMBER",R137)),ISNUMBER(SEARCH("PLACEHOLDER_PART_NUMBER",R137)),ISNUMBER(SEARCH("MISSING_REQUIRED_SPEC",R137)),ISNUMBER(SEARCH("PART_NUMBER_CONFLICT",R137)),ISNUMBER(SEARCH("SIZE_PART_MISMATCH",R137)),ISNUMBER(SEARCH("POSSIBLE_PRICE_OUTLIER",R137))),"REVIEW","ACTIVE")</x:f>
        <x:v>REVIEW</x:v>
      </x:c>
      <x:c r="R137" t="str">
        <x:v>MISSING_PRICE; MISSING_PART_NUMBER</x:v>
      </x:c>
      <x:c r="S137" t="n">
        <x:v>16</x:v>
      </x:c>
    </x:row>
    <x:row r="138" ht="15" hidden="0" customHeight="1">
      <x:c r="A138" t="str">
        <x:v>OFFER-0EC3718493B9</x:v>
      </x:c>
      <x:c r="B138" t="str">
        <x:v>SPEC-F0BF5C9B897E</x:v>
      </x:c>
      <x:c r="C138" t="str">
        <x:v>DH</x:v>
      </x:c>
      <x:c r="D138" t="str">
        <x:v>CONTINUOUS</x:v>
      </x:c>
      <x:c r="E138" t="str">
        <x:v>6'8</x:v>
      </x:c>
      <x:c r="F138" t="str"/>
      <x:c r="G138" t="str"/>
      <x:c r="H138" t="str"/>
      <x:c r="I138" t="str"/>
      <x:c r="J138" s="54"/>
      <x:c r="K138" t="str"/>
      <x:c r="L138" s="57"/>
      <x:c r="M138" s="57"/>
      <x:c r="N138" s="54" t="str">
        <x:f>IF(J138="","",J138*(1-IF(L138="",0,L138))*(1-IF(M138="",0,M138)))</x:f>
      </x:c>
      <x:c r="O138" t="str">
        <x:v>USD</x:v>
      </x:c>
      <x:c r="P138" t="str">
        <x:f>IF(J138="","UNPRICED","PRICED")</x:f>
        <x:v>UNPRICED</x:v>
      </x:c>
      <x:c r="Q138" t="str">
        <x:f>IF(OR(ISNUMBER(SEARCH("MISSING_VENDOR",R138)),ISNUMBER(SEARCH("MISSING_PART_NUMBER",R138)),ISNUMBER(SEARCH("PLACEHOLDER_PART_NUMBER",R138)),ISNUMBER(SEARCH("MISSING_REQUIRED_SPEC",R138)),ISNUMBER(SEARCH("PART_NUMBER_CONFLICT",R138)),ISNUMBER(SEARCH("SIZE_PART_MISMATCH",R138)),ISNUMBER(SEARCH("POSSIBLE_PRICE_OUTLIER",R138))),"REVIEW","ACTIVE")</x:f>
        <x:v>REVIEW</x:v>
      </x:c>
      <x:c r="R138" t="str">
        <x:v>MISSING_PRICE; MISSING_PART_NUMBER</x:v>
      </x:c>
      <x:c r="S138" t="n">
        <x:v>25</x:v>
      </x:c>
    </x:row>
    <x:row r="139" ht="15" hidden="0" customHeight="1">
      <x:c r="A139" t="str">
        <x:v>OFFER-71EC4D0EBCD3</x:v>
      </x:c>
      <x:c r="B139" t="str">
        <x:v>SPEC-4A1D73AE37C6</x:v>
      </x:c>
      <x:c r="C139" t="str">
        <x:v>ABH</x:v>
      </x:c>
      <x:c r="D139" t="str">
        <x:v>CONTINUOUS</x:v>
      </x:c>
      <x:c r="E139" t="str">
        <x:v>8'</x:v>
      </x:c>
      <x:c r="F139" t="str"/>
      <x:c r="G139" t="str"/>
      <x:c r="H139" t="str"/>
      <x:c r="I139" t="str"/>
      <x:c r="J139" s="54"/>
      <x:c r="K139" t="str"/>
      <x:c r="L139" s="57"/>
      <x:c r="M139" s="57"/>
      <x:c r="N139" s="54" t="str">
        <x:f>IF(J139="","",J139*(1-IF(L139="",0,L139))*(1-IF(M139="",0,M139)))</x:f>
      </x:c>
      <x:c r="O139" t="str">
        <x:v>USD</x:v>
      </x:c>
      <x:c r="P139" t="str">
        <x:f>IF(J139="","UNPRICED","PRICED")</x:f>
        <x:v>UNPRICED</x:v>
      </x:c>
      <x:c r="Q139" t="str">
        <x:f>IF(OR(ISNUMBER(SEARCH("MISSING_VENDOR",R139)),ISNUMBER(SEARCH("MISSING_PART_NUMBER",R139)),ISNUMBER(SEARCH("PLACEHOLDER_PART_NUMBER",R139)),ISNUMBER(SEARCH("MISSING_REQUIRED_SPEC",R139)),ISNUMBER(SEARCH("PART_NUMBER_CONFLICT",R139)),ISNUMBER(SEARCH("SIZE_PART_MISMATCH",R139)),ISNUMBER(SEARCH("POSSIBLE_PRICE_OUTLIER",R139))),"REVIEW","ACTIVE")</x:f>
        <x:v>REVIEW</x:v>
      </x:c>
      <x:c r="R139" t="str">
        <x:v>MISSING_PRICE; MISSING_PART_NUMBER</x:v>
      </x:c>
      <x:c r="S139" t="n">
        <x:v>17</x:v>
      </x:c>
    </x:row>
    <x:row r="140" ht="15" hidden="0" customHeight="1">
      <x:c r="A140" t="str">
        <x:v>OFFER-914F68DB47B5</x:v>
      </x:c>
      <x:c r="B140" t="str">
        <x:v>SPEC-4A1D73AE37C6</x:v>
      </x:c>
      <x:c r="C140" t="str">
        <x:v>ABH</x:v>
      </x:c>
      <x:c r="D140" t="str">
        <x:v>CONTINUOUS</x:v>
      </x:c>
      <x:c r="E140" t="str">
        <x:v>7'</x:v>
      </x:c>
      <x:c r="F140" t="str"/>
      <x:c r="G140" t="str"/>
      <x:c r="H140" t="str"/>
      <x:c r="I140" t="str"/>
      <x:c r="J140" s="54"/>
      <x:c r="K140" t="str"/>
      <x:c r="L140" s="57"/>
      <x:c r="M140" s="57"/>
      <x:c r="N140" s="54" t="str">
        <x:f>IF(J140="","",J140*(1-IF(L140="",0,L140))*(1-IF(M140="",0,M140)))</x:f>
      </x:c>
      <x:c r="O140" t="str">
        <x:v>USD</x:v>
      </x:c>
      <x:c r="P140" t="str">
        <x:f>IF(J140="","UNPRICED","PRICED")</x:f>
        <x:v>UNPRICED</x:v>
      </x:c>
      <x:c r="Q140" t="str">
        <x:f>IF(OR(ISNUMBER(SEARCH("MISSING_VENDOR",R140)),ISNUMBER(SEARCH("MISSING_PART_NUMBER",R140)),ISNUMBER(SEARCH("PLACEHOLDER_PART_NUMBER",R140)),ISNUMBER(SEARCH("MISSING_REQUIRED_SPEC",R140)),ISNUMBER(SEARCH("PART_NUMBER_CONFLICT",R140)),ISNUMBER(SEARCH("SIZE_PART_MISMATCH",R140)),ISNUMBER(SEARCH("POSSIBLE_PRICE_OUTLIER",R140))),"REVIEW","ACTIVE")</x:f>
        <x:v>REVIEW</x:v>
      </x:c>
      <x:c r="R140" t="str">
        <x:v>MISSING_PRICE; MISSING_PART_NUMBER</x:v>
      </x:c>
      <x:c r="S140" t="n">
        <x:v>18</x:v>
      </x:c>
    </x:row>
    <x:row r="141" ht="15" hidden="0" customHeight="1">
      <x:c r="A141" t="str">
        <x:v>OFFER-F1B38E8F678D</x:v>
      </x:c>
      <x:c r="B141" t="str">
        <x:v>SPEC-4A1D73AE37C6</x:v>
      </x:c>
      <x:c r="C141" t="str">
        <x:v>ABH</x:v>
      </x:c>
      <x:c r="D141" t="str">
        <x:v>CONTINUOUS</x:v>
      </x:c>
      <x:c r="E141" t="str">
        <x:v>FULL SURF</x:v>
      </x:c>
      <x:c r="F141" t="str"/>
      <x:c r="G141" t="str"/>
      <x:c r="H141" t="str"/>
      <x:c r="I141" t="str"/>
      <x:c r="J141" s="54"/>
      <x:c r="K141" t="str"/>
      <x:c r="L141" s="57"/>
      <x:c r="M141" s="57"/>
      <x:c r="N141" s="54" t="str">
        <x:f>IF(J141="","",J141*(1-IF(L141="",0,L141))*(1-IF(M141="",0,M141)))</x:f>
      </x:c>
      <x:c r="O141" t="str">
        <x:v>USD</x:v>
      </x:c>
      <x:c r="P141" t="str">
        <x:f>IF(J141="","UNPRICED","PRICED")</x:f>
        <x:v>UNPRICED</x:v>
      </x:c>
      <x:c r="Q141" t="str">
        <x:f>IF(OR(ISNUMBER(SEARCH("MISSING_VENDOR",R141)),ISNUMBER(SEARCH("MISSING_PART_NUMBER",R141)),ISNUMBER(SEARCH("PLACEHOLDER_PART_NUMBER",R141)),ISNUMBER(SEARCH("MISSING_REQUIRED_SPEC",R141)),ISNUMBER(SEARCH("PART_NUMBER_CONFLICT",R141)),ISNUMBER(SEARCH("SIZE_PART_MISMATCH",R141)),ISNUMBER(SEARCH("POSSIBLE_PRICE_OUTLIER",R141))),"REVIEW","ACTIVE")</x:f>
        <x:v>REVIEW</x:v>
      </x:c>
      <x:c r="R141" t="str">
        <x:v>MISSING_PRICE; MISSING_PART_NUMBER</x:v>
      </x:c>
      <x:c r="S141" t="n">
        <x:v>21</x:v>
      </x:c>
    </x:row>
    <x:row r="142" ht="15" hidden="0" customHeight="1">
      <x:c r="A142" t="str">
        <x:v>OFFER-8BD47D058332</x:v>
      </x:c>
      <x:c r="B142" t="str">
        <x:v>SPEC-297A925280A3</x:v>
      </x:c>
      <x:c r="C142" t="str">
        <x:v>ABH</x:v>
      </x:c>
      <x:c r="D142" t="str">
        <x:v>CONTINUOUS</x:v>
      </x:c>
      <x:c r="E142" t="str">
        <x:v>6'8</x:v>
      </x:c>
      <x:c r="F142" t="str"/>
      <x:c r="G142" t="str"/>
      <x:c r="H142" t="str"/>
      <x:c r="I142" t="str"/>
      <x:c r="J142" s="54"/>
      <x:c r="K142" t="str"/>
      <x:c r="L142" s="57"/>
      <x:c r="M142" s="57"/>
      <x:c r="N142" s="54" t="str">
        <x:f>IF(J142="","",J142*(1-IF(L142="",0,L142))*(1-IF(M142="",0,M142)))</x:f>
      </x:c>
      <x:c r="O142" t="str">
        <x:v>USD</x:v>
      </x:c>
      <x:c r="P142" t="str">
        <x:f>IF(J142="","UNPRICED","PRICED")</x:f>
        <x:v>UNPRICED</x:v>
      </x:c>
      <x:c r="Q142" t="str">
        <x:f>IF(OR(ISNUMBER(SEARCH("MISSING_VENDOR",R142)),ISNUMBER(SEARCH("MISSING_PART_NUMBER",R142)),ISNUMBER(SEARCH("PLACEHOLDER_PART_NUMBER",R142)),ISNUMBER(SEARCH("MISSING_REQUIRED_SPEC",R142)),ISNUMBER(SEARCH("PART_NUMBER_CONFLICT",R142)),ISNUMBER(SEARCH("SIZE_PART_MISMATCH",R142)),ISNUMBER(SEARCH("POSSIBLE_PRICE_OUTLIER",R142))),"REVIEW","ACTIVE")</x:f>
        <x:v>REVIEW</x:v>
      </x:c>
      <x:c r="R142" t="str">
        <x:v>MISSING_PRICE; MISSING_PART_NUMBER</x:v>
      </x:c>
      <x:c r="S142" t="n">
        <x:v>19</x:v>
      </x:c>
    </x:row>
    <x:row r="143" ht="15" hidden="0" customHeight="1">
      <x:c r="A143" t="str">
        <x:v>OFFER-3F19711692CF</x:v>
      </x:c>
      <x:c r="B143" t="str">
        <x:v>SPEC-6525459ED4F5</x:v>
      </x:c>
      <x:c r="C143" t="str">
        <x:v>ABH</x:v>
      </x:c>
      <x:c r="D143" t="str">
        <x:v>CONTINUOS PIN</x:v>
      </x:c>
      <x:c r="E143" t="str">
        <x:v>7'</x:v>
      </x:c>
      <x:c r="F143" t="str"/>
      <x:c r="G143" t="str">
        <x:v>A5500</x:v>
      </x:c>
      <x:c r="H143" t="str">
        <x:v>A5500</x:v>
      </x:c>
      <x:c r="I143" t="str"/>
      <x:c r="J143" s="54"/>
      <x:c r="K143" t="str"/>
      <x:c r="L143" s="57"/>
      <x:c r="M143" s="57"/>
      <x:c r="N143" s="54" t="str">
        <x:f>IF(J143="","",J143*(1-IF(L143="",0,L143))*(1-IF(M143="",0,M143)))</x:f>
      </x:c>
      <x:c r="O143" t="str">
        <x:v>USD</x:v>
      </x:c>
      <x:c r="P143" t="str">
        <x:f>IF(J143="","UNPRICED","PRICED")</x:f>
        <x:v>UNPRICED</x:v>
      </x:c>
      <x:c r="Q143" t="str">
        <x:f>IF(OR(ISNUMBER(SEARCH("MISSING_VENDOR",R143)),ISNUMBER(SEARCH("MISSING_PART_NUMBER",R143)),ISNUMBER(SEARCH("PLACEHOLDER_PART_NUMBER",R143)),ISNUMBER(SEARCH("MISSING_REQUIRED_SPEC",R143)),ISNUMBER(SEARCH("PART_NUMBER_CONFLICT",R143)),ISNUMBER(SEARCH("SIZE_PART_MISMATCH",R143)),ISNUMBER(SEARCH("POSSIBLE_PRICE_OUTLIER",R143))),"REVIEW","ACTIVE")</x:f>
        <x:v>ACTIVE</x:v>
      </x:c>
      <x:c r="R143" t="str">
        <x:v>MISSING_PRICE</x:v>
      </x:c>
      <x:c r="S143" t="n">
        <x:v>28</x:v>
      </x:c>
    </x:row>
    <x:row r="144" ht="15" hidden="0" customHeight="1">
      <x:c r="A144" t="str">
        <x:v>OFFER-938E2254B25D</x:v>
      </x:c>
      <x:c r="B144" t="str">
        <x:v>SPEC-6525459ED4F5</x:v>
      </x:c>
      <x:c r="C144" t="str">
        <x:v>ABH</x:v>
      </x:c>
      <x:c r="D144" t="str">
        <x:v>CONTINUOS PIN</x:v>
      </x:c>
      <x:c r="E144" t="str">
        <x:v>8'</x:v>
      </x:c>
      <x:c r="F144" t="str"/>
      <x:c r="G144" t="str"/>
      <x:c r="H144" t="str"/>
      <x:c r="I144" t="str"/>
      <x:c r="J144" s="54"/>
      <x:c r="K144" t="str"/>
      <x:c r="L144" s="57"/>
      <x:c r="M144" s="57"/>
      <x:c r="N144" s="54" t="str">
        <x:f>IF(J144="","",J144*(1-IF(L144="",0,L144))*(1-IF(M144="",0,M144)))</x:f>
      </x:c>
      <x:c r="O144" t="str">
        <x:v>USD</x:v>
      </x:c>
      <x:c r="P144" t="str">
        <x:f>IF(J144="","UNPRICED","PRICED")</x:f>
        <x:v>UNPRICED</x:v>
      </x:c>
      <x:c r="Q144" t="str">
        <x:f>IF(OR(ISNUMBER(SEARCH("MISSING_VENDOR",R144)),ISNUMBER(SEARCH("MISSING_PART_NUMBER",R144)),ISNUMBER(SEARCH("PLACEHOLDER_PART_NUMBER",R144)),ISNUMBER(SEARCH("MISSING_REQUIRED_SPEC",R144)),ISNUMBER(SEARCH("PART_NUMBER_CONFLICT",R144)),ISNUMBER(SEARCH("SIZE_PART_MISMATCH",R144)),ISNUMBER(SEARCH("POSSIBLE_PRICE_OUTLIER",R144))),"REVIEW","ACTIVE")</x:f>
        <x:v>REVIEW</x:v>
      </x:c>
      <x:c r="R144" t="str">
        <x:v>MISSING_PRICE; MISSING_PART_NUMBER</x:v>
      </x:c>
      <x:c r="S144" t="n">
        <x:v>29</x:v>
      </x:c>
    </x:row>
    <x:row r="145" ht="15" hidden="0" customHeight="1">
      <x:c r="A145" t="str">
        <x:v>OFFER-D5580AC26054</x:v>
      </x:c>
      <x:c r="B145" t="str">
        <x:v>SPEC-5580B38FF507</x:v>
      </x:c>
      <x:c r="C145" t="str">
        <x:v>DH</x:v>
      </x:c>
      <x:c r="D145" t="str">
        <x:v>BUTT HINGE HEAVY WT</x:v>
      </x:c>
      <x:c r="E145" t="str">
        <x:v>4.5 * 4.5</x:v>
      </x:c>
      <x:c r="F145" t="str"/>
      <x:c r="G145" t="str">
        <x:v>78000505</x:v>
      </x:c>
      <x:c r="H145" t="str">
        <x:v>78000505 - BB5-HW NRP 4.5 x 4.5</x:v>
      </x:c>
      <x:c r="I145" t="str">
        <x:v>847-******</x:v>
      </x:c>
      <x:c r="J145" s="54"/>
      <x:c r="K145" t="str"/>
      <x:c r="L145" s="57"/>
      <x:c r="M145" s="57"/>
      <x:c r="N145" s="54" t="str">
        <x:f>IF(J145="","",J145*(1-IF(L145="",0,L145))*(1-IF(M145="",0,M145)))</x:f>
      </x:c>
      <x:c r="O145" t="str">
        <x:v>USD</x:v>
      </x:c>
      <x:c r="P145" t="str">
        <x:f>IF(J145="","UNPRICED","PRICED")</x:f>
        <x:v>UNPRICED</x:v>
      </x:c>
      <x:c r="Q145" t="str">
        <x:f>IF(OR(ISNUMBER(SEARCH("MISSING_VENDOR",R145)),ISNUMBER(SEARCH("MISSING_PART_NUMBER",R145)),ISNUMBER(SEARCH("PLACEHOLDER_PART_NUMBER",R145)),ISNUMBER(SEARCH("MISSING_REQUIRED_SPEC",R145)),ISNUMBER(SEARCH("PART_NUMBER_CONFLICT",R145)),ISNUMBER(SEARCH("SIZE_PART_MISMATCH",R145)),ISNUMBER(SEARCH("POSSIBLE_PRICE_OUTLIER",R145))),"REVIEW","ACTIVE")</x:f>
        <x:v>ACTIVE</x:v>
      </x:c>
      <x:c r="R145" t="str">
        <x:v>MISSING_PRICE</x:v>
      </x:c>
      <x:c r="S145" t="n">
        <x:v>3</x:v>
      </x:c>
    </x:row>
    <x:row r="146" ht="15" hidden="0" customHeight="1">
      <x:c r="A146" t="str">
        <x:v>OFFER-FA185C57E7B9</x:v>
      </x:c>
      <x:c r="B146" t="str">
        <x:v>SPEC-46668F499153</x:v>
      </x:c>
      <x:c r="C146" t="str">
        <x:v>DH</x:v>
      </x:c>
      <x:c r="D146" t="str">
        <x:v>BUTT HINGE HEAVY WT</x:v>
      </x:c>
      <x:c r="E146" t="str">
        <x:v>4.5 * 4.5</x:v>
      </x:c>
      <x:c r="F146" t="str"/>
      <x:c r="G146" t="str">
        <x:v>78000519</x:v>
      </x:c>
      <x:c r="H146" t="str">
        <x:v>78000519 - BB5 NRP 4.5 x 4.5</x:v>
      </x:c>
      <x:c r="I146" t="str"/>
      <x:c r="J146" s="54"/>
      <x:c r="K146" t="str"/>
      <x:c r="L146" s="57"/>
      <x:c r="M146" s="57"/>
      <x:c r="N146" s="54" t="str">
        <x:f>IF(J146="","",J146*(1-IF(L146="",0,L146))*(1-IF(M146="",0,M146)))</x:f>
      </x:c>
      <x:c r="O146" t="str">
        <x:v>USD</x:v>
      </x:c>
      <x:c r="P146" t="str">
        <x:f>IF(J146="","UNPRICED","PRICED")</x:f>
        <x:v>UNPRICED</x:v>
      </x:c>
      <x:c r="Q146" t="str">
        <x:f>IF(OR(ISNUMBER(SEARCH("MISSING_VENDOR",R146)),ISNUMBER(SEARCH("MISSING_PART_NUMBER",R146)),ISNUMBER(SEARCH("PLACEHOLDER_PART_NUMBER",R146)),ISNUMBER(SEARCH("MISSING_REQUIRED_SPEC",R146)),ISNUMBER(SEARCH("PART_NUMBER_CONFLICT",R146)),ISNUMBER(SEARCH("SIZE_PART_MISMATCH",R146)),ISNUMBER(SEARCH("POSSIBLE_PRICE_OUTLIER",R146))),"REVIEW","ACTIVE")</x:f>
        <x:v>REVIEW</x:v>
      </x:c>
      <x:c r="R146" t="str">
        <x:v>MISSING_PRICE; PART_NUMBER_CONFLICT</x:v>
      </x:c>
      <x:c r="S146" t="n">
        <x:v>4</x:v>
      </x:c>
    </x:row>
    <x:row r="147" ht="15" hidden="0" customHeight="1">
      <x:c r="A147" t="str">
        <x:v>OFFER-C73B3E06763A</x:v>
      </x:c>
      <x:c r="B147" t="str">
        <x:v>SPEC-73112C7FD382</x:v>
      </x:c>
      <x:c r="C147" t="str">
        <x:v>DH</x:v>
      </x:c>
      <x:c r="D147" t="str">
        <x:v>POWER TRSFR</x:v>
      </x:c>
      <x:c r="E147" t="str">
        <x:v>4.5 * 4.5</x:v>
      </x:c>
      <x:c r="F147" t="str"/>
      <x:c r="G147" t="str">
        <x:v>78094088</x:v>
      </x:c>
      <x:c r="H147" t="str">
        <x:v>78094088 - ETW4-BB5 4.5 x 4.5 (4 - 28 Ga. wires)</x:v>
      </x:c>
      <x:c r="I147" t="str"/>
      <x:c r="J147" s="54"/>
      <x:c r="K147" t="str"/>
      <x:c r="L147" s="57"/>
      <x:c r="M147" s="57"/>
      <x:c r="N147" s="54" t="str">
        <x:f>IF(J147="","",J147*(1-IF(L147="",0,L147))*(1-IF(M147="",0,M147)))</x:f>
      </x:c>
      <x:c r="O147" t="str">
        <x:v>USD</x:v>
      </x:c>
      <x:c r="P147" t="str">
        <x:f>IF(J147="","UNPRICED","PRICED")</x:f>
        <x:v>UNPRICED</x:v>
      </x:c>
      <x:c r="Q147" t="str">
        <x:f>IF(OR(ISNUMBER(SEARCH("MISSING_VENDOR",R147)),ISNUMBER(SEARCH("MISSING_PART_NUMBER",R147)),ISNUMBER(SEARCH("PLACEHOLDER_PART_NUMBER",R147)),ISNUMBER(SEARCH("MISSING_REQUIRED_SPEC",R147)),ISNUMBER(SEARCH("PART_NUMBER_CONFLICT",R147)),ISNUMBER(SEARCH("SIZE_PART_MISMATCH",R147)),ISNUMBER(SEARCH("POSSIBLE_PRICE_OUTLIER",R147))),"REVIEW","ACTIVE")</x:f>
        <x:v>ACTIVE</x:v>
      </x:c>
      <x:c r="R147" t="str">
        <x:v>MISSING_PRICE</x:v>
      </x:c>
      <x:c r="S147" t="n">
        <x:v>31</x:v>
      </x:c>
    </x:row>
    <x:row r="148" ht="15" hidden="0" customHeight="1">
      <x:c r="A148" t="str">
        <x:v>OFFER-35083A9738EB</x:v>
      </x:c>
      <x:c r="B148" t="str">
        <x:v>SPEC-430A2DA8C9BC</x:v>
      </x:c>
      <x:c r="C148" t="str">
        <x:v>DH</x:v>
      </x:c>
      <x:c r="D148" t="str">
        <x:v>POWER TRSFR</x:v>
      </x:c>
      <x:c r="E148" t="str">
        <x:v>4.5 * 4.5</x:v>
      </x:c>
      <x:c r="F148" t="str"/>
      <x:c r="G148" t="str">
        <x:v>78004502</x:v>
      </x:c>
      <x:c r="H148" t="str">
        <x:v>78004502 - ETW4-BB5 4.5 x 4.5 (4 - 28 Ga. wires)</x:v>
      </x:c>
      <x:c r="I148" t="str"/>
      <x:c r="J148" s="54"/>
      <x:c r="K148" t="str"/>
      <x:c r="L148" s="57"/>
      <x:c r="M148" s="57"/>
      <x:c r="N148" s="54" t="str">
        <x:f>IF(J148="","",J148*(1-IF(L148="",0,L148))*(1-IF(M148="",0,M148)))</x:f>
      </x:c>
      <x:c r="O148" t="str">
        <x:v>USD</x:v>
      </x:c>
      <x:c r="P148" t="str">
        <x:f>IF(J148="","UNPRICED","PRICED")</x:f>
        <x:v>UNPRICED</x:v>
      </x:c>
      <x:c r="Q148" t="str">
        <x:f>IF(OR(ISNUMBER(SEARCH("MISSING_VENDOR",R148)),ISNUMBER(SEARCH("MISSING_PART_NUMBER",R148)),ISNUMBER(SEARCH("PLACEHOLDER_PART_NUMBER",R148)),ISNUMBER(SEARCH("MISSING_REQUIRED_SPEC",R148)),ISNUMBER(SEARCH("PART_NUMBER_CONFLICT",R148)),ISNUMBER(SEARCH("SIZE_PART_MISMATCH",R148)),ISNUMBER(SEARCH("POSSIBLE_PRICE_OUTLIER",R148))),"REVIEW","ACTIVE")</x:f>
        <x:v>ACTIVE</x:v>
      </x:c>
      <x:c r="R148" t="str">
        <x:v>MISSING_PRICE</x:v>
      </x:c>
      <x:c r="S148" t="n">
        <x:v>32</x:v>
      </x:c>
    </x:row>
    <x:row r="149" ht="15" hidden="0" customHeight="1">
      <x:c r="A149" t="str">
        <x:v>OFFER-D0B41710DFA6</x:v>
      </x:c>
      <x:c r="B149" t="str">
        <x:v>SPEC-B2224CB4D0BB</x:v>
      </x:c>
      <x:c r="C149" t="str">
        <x:v>DH</x:v>
      </x:c>
      <x:c r="D149" t="str">
        <x:v>POWER TRSFR</x:v>
      </x:c>
      <x:c r="E149" t="str">
        <x:v>4.5 * 4.5</x:v>
      </x:c>
      <x:c r="F149" t="str"/>
      <x:c r="G149" t="str">
        <x:v>78000280</x:v>
      </x:c>
      <x:c r="H149" t="str">
        <x:v>78000280 - ETW8-BB5 4.5 x 4.5 (8 - 28 Ga. wires)</x:v>
      </x:c>
      <x:c r="I149" t="str"/>
      <x:c r="J149" s="54"/>
      <x:c r="K149" t="str"/>
      <x:c r="L149" s="57"/>
      <x:c r="M149" s="57"/>
      <x:c r="N149" s="54" t="str">
        <x:f>IF(J149="","",J149*(1-IF(L149="",0,L149))*(1-IF(M149="",0,M149)))</x:f>
      </x:c>
      <x:c r="O149" t="str">
        <x:v>USD</x:v>
      </x:c>
      <x:c r="P149" t="str">
        <x:f>IF(J149="","UNPRICED","PRICED")</x:f>
        <x:v>UNPRICED</x:v>
      </x:c>
      <x:c r="Q149" t="str">
        <x:f>IF(OR(ISNUMBER(SEARCH("MISSING_VENDOR",R149)),ISNUMBER(SEARCH("MISSING_PART_NUMBER",R149)),ISNUMBER(SEARCH("PLACEHOLDER_PART_NUMBER",R149)),ISNUMBER(SEARCH("MISSING_REQUIRED_SPEC",R149)),ISNUMBER(SEARCH("PART_NUMBER_CONFLICT",R149)),ISNUMBER(SEARCH("SIZE_PART_MISMATCH",R149)),ISNUMBER(SEARCH("POSSIBLE_PRICE_OUTLIER",R149))),"REVIEW","ACTIVE")</x:f>
        <x:v>ACTIVE</x:v>
      </x:c>
      <x:c r="R149" t="str">
        <x:v>MISSING_PRICE</x:v>
      </x:c>
      <x:c r="S149" t="n">
        <x:v>33</x:v>
      </x:c>
    </x:row>
    <x:row r="150" ht="15" hidden="0" customHeight="1">
      <x:c r="A150" t="str">
        <x:v>OFFER-A01737356EFB</x:v>
      </x:c>
      <x:c r="B150" t="str">
        <x:v>SPEC-C7431F5B45E4</x:v>
      </x:c>
      <x:c r="C150" t="str">
        <x:v>DH</x:v>
      </x:c>
      <x:c r="D150" t="str">
        <x:v>POWER TRSFR</x:v>
      </x:c>
      <x:c r="E150" t="str">
        <x:v>4.5 * 4.5</x:v>
      </x:c>
      <x:c r="F150" t="str"/>
      <x:c r="G150" t="str">
        <x:v>78094099</x:v>
      </x:c>
      <x:c r="H150" t="str">
        <x:v>78094099 - ETW8-BB5 4.5 x 4.5 (8 - 28 Ga. wires)</x:v>
      </x:c>
      <x:c r="I150" t="str"/>
      <x:c r="J150" s="54"/>
      <x:c r="K150" t="str"/>
      <x:c r="L150" s="57"/>
      <x:c r="M150" s="57"/>
      <x:c r="N150" s="54" t="str">
        <x:f>IF(J150="","",J150*(1-IF(L150="",0,L150))*(1-IF(M150="",0,M150)))</x:f>
      </x:c>
      <x:c r="O150" t="str">
        <x:v>USD</x:v>
      </x:c>
      <x:c r="P150" t="str">
        <x:f>IF(J150="","UNPRICED","PRICED")</x:f>
        <x:v>UNPRICED</x:v>
      </x:c>
      <x:c r="Q150" t="str">
        <x:f>IF(OR(ISNUMBER(SEARCH("MISSING_VENDOR",R150)),ISNUMBER(SEARCH("MISSING_PART_NUMBER",R150)),ISNUMBER(SEARCH("PLACEHOLDER_PART_NUMBER",R150)),ISNUMBER(SEARCH("MISSING_REQUIRED_SPEC",R150)),ISNUMBER(SEARCH("PART_NUMBER_CONFLICT",R150)),ISNUMBER(SEARCH("SIZE_PART_MISMATCH",R150)),ISNUMBER(SEARCH("POSSIBLE_PRICE_OUTLIER",R150))),"REVIEW","ACTIVE")</x:f>
        <x:v>ACTIVE</x:v>
      </x:c>
      <x:c r="R150" t="str">
        <x:v>MISSING_PRICE</x:v>
      </x:c>
      <x:c r="S150" t="n">
        <x:v>34</x:v>
      </x:c>
    </x:row>
    <x:row r="151" ht="15" hidden="0" customHeight="1">
      <x:c r="A151" t="str">
        <x:v>OFFER-642F3EAA487D</x:v>
      </x:c>
      <x:c r="B151" t="str">
        <x:v>SPEC-6F764A8CF8EF</x:v>
      </x:c>
      <x:c r="C151" t="str">
        <x:v>DH</x:v>
      </x:c>
      <x:c r="D151" t="str">
        <x:v>POWER TRSFR</x:v>
      </x:c>
      <x:c r="E151" t="str">
        <x:v>4.5 * 4.5</x:v>
      </x:c>
      <x:c r="F151" t="str"/>
      <x:c r="G151" t="str">
        <x:v>78094093</x:v>
      </x:c>
      <x:c r="H151" t="str">
        <x:v>78094093 - ETW4-BB5-HW 4.5 x 4.5 (4 - 28 Ga. wires)</x:v>
      </x:c>
      <x:c r="I151" t="str">
        <x:v>847-00649</x:v>
      </x:c>
      <x:c r="J151" s="54"/>
      <x:c r="K151" t="str"/>
      <x:c r="L151" s="57"/>
      <x:c r="M151" s="57"/>
      <x:c r="N151" s="54" t="str">
        <x:f>IF(J151="","",J151*(1-IF(L151="",0,L151))*(1-IF(M151="",0,M151)))</x:f>
      </x:c>
      <x:c r="O151" t="str">
        <x:v>USD</x:v>
      </x:c>
      <x:c r="P151" t="str">
        <x:f>IF(J151="","UNPRICED","PRICED")</x:f>
        <x:v>UNPRICED</x:v>
      </x:c>
      <x:c r="Q151" t="str">
        <x:f>IF(OR(ISNUMBER(SEARCH("MISSING_VENDOR",R151)),ISNUMBER(SEARCH("MISSING_PART_NUMBER",R151)),ISNUMBER(SEARCH("PLACEHOLDER_PART_NUMBER",R151)),ISNUMBER(SEARCH("MISSING_REQUIRED_SPEC",R151)),ISNUMBER(SEARCH("PART_NUMBER_CONFLICT",R151)),ISNUMBER(SEARCH("SIZE_PART_MISMATCH",R151)),ISNUMBER(SEARCH("POSSIBLE_PRICE_OUTLIER",R151))),"REVIEW","ACTIVE")</x:f>
        <x:v>ACTIVE</x:v>
      </x:c>
      <x:c r="R151" t="str">
        <x:v>MISSING_PRICE</x:v>
      </x:c>
      <x:c r="S151" t="n">
        <x:v>35</x:v>
      </x:c>
    </x:row>
    <x:row r="152" ht="15" hidden="0" customHeight="1">
      <x:c r="A152" t="str">
        <x:v>OFFER-CECC89A719E7</x:v>
      </x:c>
      <x:c r="B152" t="str">
        <x:v>SPEC-AA846527D5AE</x:v>
      </x:c>
      <x:c r="C152" t="str">
        <x:v>DH</x:v>
      </x:c>
      <x:c r="D152" t="str">
        <x:v>POWER TRSFR</x:v>
      </x:c>
      <x:c r="E152" t="str">
        <x:v>4.5 * 4.5</x:v>
      </x:c>
      <x:c r="F152" t="str"/>
      <x:c r="G152" t="str">
        <x:v>78094094</x:v>
      </x:c>
      <x:c r="H152" t="str">
        <x:v>78094094 - ETW4-BB5-HW 4.5 x 4.5 (4 - 28 Ga. wires)</x:v>
      </x:c>
      <x:c r="I152" t="str"/>
      <x:c r="J152" s="54"/>
      <x:c r="K152" t="str"/>
      <x:c r="L152" s="57"/>
      <x:c r="M152" s="57"/>
      <x:c r="N152" s="54" t="str">
        <x:f>IF(J152="","",J152*(1-IF(L152="",0,L152))*(1-IF(M152="",0,M152)))</x:f>
      </x:c>
      <x:c r="O152" t="str">
        <x:v>USD</x:v>
      </x:c>
      <x:c r="P152" t="str">
        <x:f>IF(J152="","UNPRICED","PRICED")</x:f>
        <x:v>UNPRICED</x:v>
      </x:c>
      <x:c r="Q152" t="str">
        <x:f>IF(OR(ISNUMBER(SEARCH("MISSING_VENDOR",R152)),ISNUMBER(SEARCH("MISSING_PART_NUMBER",R152)),ISNUMBER(SEARCH("PLACEHOLDER_PART_NUMBER",R152)),ISNUMBER(SEARCH("MISSING_REQUIRED_SPEC",R152)),ISNUMBER(SEARCH("PART_NUMBER_CONFLICT",R152)),ISNUMBER(SEARCH("SIZE_PART_MISMATCH",R152)),ISNUMBER(SEARCH("POSSIBLE_PRICE_OUTLIER",R152))),"REVIEW","ACTIVE")</x:f>
        <x:v>ACTIVE</x:v>
      </x:c>
      <x:c r="R152" t="str">
        <x:v>MISSING_PRICE</x:v>
      </x:c>
      <x:c r="S152" t="n">
        <x:v>36</x:v>
      </x:c>
    </x:row>
    <x:row r="153" ht="15" hidden="0" customHeight="1">
      <x:c r="A153" t="str">
        <x:v>OFFER-1026524A314D</x:v>
      </x:c>
      <x:c r="B153" t="str">
        <x:v>SPEC-BE8831B937F5</x:v>
      </x:c>
      <x:c r="C153" t="str">
        <x:v>DH</x:v>
      </x:c>
      <x:c r="D153" t="str">
        <x:v>POWER TRSFR</x:v>
      </x:c>
      <x:c r="E153" t="str">
        <x:v>4.5 * 4.5</x:v>
      </x:c>
      <x:c r="F153" t="str"/>
      <x:c r="G153" t="str">
        <x:v>78000279</x:v>
      </x:c>
      <x:c r="H153" t="str">
        <x:v>78000279 - ETW8-BB5-HW 4.5 x 4.5 (8 - 28 Ga. wires)</x:v>
      </x:c>
      <x:c r="I153" t="str"/>
      <x:c r="J153" s="54"/>
      <x:c r="K153" t="str"/>
      <x:c r="L153" s="57"/>
      <x:c r="M153" s="57"/>
      <x:c r="N153" s="54" t="str">
        <x:f>IF(J153="","",J153*(1-IF(L153="",0,L153))*(1-IF(M153="",0,M153)))</x:f>
      </x:c>
      <x:c r="O153" t="str">
        <x:v>USD</x:v>
      </x:c>
      <x:c r="P153" t="str">
        <x:f>IF(J153="","UNPRICED","PRICED")</x:f>
        <x:v>UNPRICED</x:v>
      </x:c>
      <x:c r="Q153" t="str">
        <x:f>IF(OR(ISNUMBER(SEARCH("MISSING_VENDOR",R153)),ISNUMBER(SEARCH("MISSING_PART_NUMBER",R153)),ISNUMBER(SEARCH("PLACEHOLDER_PART_NUMBER",R153)),ISNUMBER(SEARCH("MISSING_REQUIRED_SPEC",R153)),ISNUMBER(SEARCH("PART_NUMBER_CONFLICT",R153)),ISNUMBER(SEARCH("SIZE_PART_MISMATCH",R153)),ISNUMBER(SEARCH("POSSIBLE_PRICE_OUTLIER",R153))),"REVIEW","ACTIVE")</x:f>
        <x:v>ACTIVE</x:v>
      </x:c>
      <x:c r="R153" t="str">
        <x:v>MISSING_PRICE</x:v>
      </x:c>
      <x:c r="S153" t="n">
        <x:v>37</x:v>
      </x:c>
    </x:row>
    <x:row r="154" ht="15" hidden="0" customHeight="1">
      <x:c r="A154" t="str">
        <x:v>OFFER-05DCDA4E628E</x:v>
      </x:c>
      <x:c r="B154" t="str">
        <x:v>SPEC-6148A16A1DC5</x:v>
      </x:c>
      <x:c r="C154" t="str">
        <x:v>DH</x:v>
      </x:c>
      <x:c r="D154" t="str">
        <x:v>POWER TRSFR</x:v>
      </x:c>
      <x:c r="E154" t="str">
        <x:v>4.5 * 4.5</x:v>
      </x:c>
      <x:c r="F154" t="str"/>
      <x:c r="G154" t="str">
        <x:v>78094104</x:v>
      </x:c>
      <x:c r="H154" t="str">
        <x:v>78094104 - ETW8-BB5-HW 4.5 x 4.5 (8 - 28 Ga. wires)</x:v>
      </x:c>
      <x:c r="I154" t="str"/>
      <x:c r="J154" s="54"/>
      <x:c r="K154" t="str"/>
      <x:c r="L154" s="57"/>
      <x:c r="M154" s="57"/>
      <x:c r="N154" s="54" t="str">
        <x:f>IF(J154="","",J154*(1-IF(L154="",0,L154))*(1-IF(M154="",0,M154)))</x:f>
      </x:c>
      <x:c r="O154" t="str">
        <x:v>USD</x:v>
      </x:c>
      <x:c r="P154" t="str">
        <x:f>IF(J154="","UNPRICED","PRICED")</x:f>
        <x:v>UNPRICED</x:v>
      </x:c>
      <x:c r="Q154" t="str">
        <x:f>IF(OR(ISNUMBER(SEARCH("MISSING_VENDOR",R154)),ISNUMBER(SEARCH("MISSING_PART_NUMBER",R154)),ISNUMBER(SEARCH("PLACEHOLDER_PART_NUMBER",R154)),ISNUMBER(SEARCH("MISSING_REQUIRED_SPEC",R154)),ISNUMBER(SEARCH("PART_NUMBER_CONFLICT",R154)),ISNUMBER(SEARCH("SIZE_PART_MISMATCH",R154)),ISNUMBER(SEARCH("POSSIBLE_PRICE_OUTLIER",R154))),"REVIEW","ACTIVE")</x:f>
        <x:v>ACTIVE</x:v>
      </x:c>
      <x:c r="R154" t="str">
        <x:v>MISSING_PRICE</x:v>
      </x:c>
      <x:c r="S154" t="n">
        <x:v>38</x:v>
      </x:c>
    </x:row>
    <x:row r="155" ht="15" hidden="0" customHeight="1">
      <x:c r="A155" t="str">
        <x:v>OFFER-1B610C4D1DE7</x:v>
      </x:c>
      <x:c r="B155" t="str">
        <x:v>SPEC-3D0B6F726096</x:v>
      </x:c>
      <x:c r="C155" t="str">
        <x:v>IVES</x:v>
      </x:c>
      <x:c r="D155" t="str">
        <x:v>POWER TRSFR</x:v>
      </x:c>
      <x:c r="E155" t="str">
        <x:v>4.5 * 4.5</x:v>
      </x:c>
      <x:c r="F155" t="str"/>
      <x:c r="G155" t="str">
        <x:v>5BB1HW</x:v>
      </x:c>
      <x:c r="H155" t="str">
        <x:v>5BB1HW 4.5X4.5 630 TW8 CON</x:v>
      </x:c>
      <x:c r="I155" t="str"/>
      <x:c r="J155" s="54" t="n">
        <x:v>556.5</x:v>
      </x:c>
      <x:c r="K155" t="str"/>
      <x:c r="L155" s="57"/>
      <x:c r="M155" s="57"/>
      <x:c r="N155" s="54" t="n">
        <x:f>IF(J155="","",J155*(1-IF(L155="",0,L155))*(1-IF(M155="",0,M155)))</x:f>
        <x:v>556.5</x:v>
      </x:c>
      <x:c r="O155" t="str">
        <x:v>USD</x:v>
      </x:c>
      <x:c r="P155" t="str">
        <x:f>IF(J155="","UNPRICED","PRICED")</x:f>
        <x:v>PRICED</x:v>
      </x:c>
      <x:c r="Q155" t="str">
        <x:f>IF(OR(ISNUMBER(SEARCH("MISSING_VENDOR",R155)),ISNUMBER(SEARCH("MISSING_PART_NUMBER",R155)),ISNUMBER(SEARCH("PLACEHOLDER_PART_NUMBER",R155)),ISNUMBER(SEARCH("MISSING_REQUIRED_SPEC",R155)),ISNUMBER(SEARCH("PART_NUMBER_CONFLICT",R155)),ISNUMBER(SEARCH("SIZE_PART_MISMATCH",R155)),ISNUMBER(SEARCH("POSSIBLE_PRICE_OUTLIER",R155))),"REVIEW","ACTIVE")</x:f>
        <x:v>ACTIVE</x:v>
      </x:c>
      <x:c r="R155" t="str"/>
      <x:c r="S155" t="n">
        <x:v>40</x:v>
      </x:c>
    </x:row>
    <x:row r="156" ht="15" hidden="0" customHeight="1">
      <x:c r="A156" t="str">
        <x:v>OFFER-77EE191595D7</x:v>
      </x:c>
      <x:c r="B156" t="str">
        <x:v>SPEC-3D0B6F726096</x:v>
      </x:c>
      <x:c r="C156" t="str">
        <x:v>IVES</x:v>
      </x:c>
      <x:c r="D156" t="str">
        <x:v>POWER TRSFR</x:v>
      </x:c>
      <x:c r="E156" t="str">
        <x:v>4.5 * 4.5</x:v>
      </x:c>
      <x:c r="F156" t="str"/>
      <x:c r="G156" t="str"/>
      <x:c r="H156" t="str"/>
      <x:c r="I156" t="str">
        <x:v>847-01799</x:v>
      </x:c>
      <x:c r="J156" s="54" t="n">
        <x:v>235</x:v>
      </x:c>
      <x:c r="K156" t="str"/>
      <x:c r="L156" s="57"/>
      <x:c r="M156" s="57"/>
      <x:c r="N156" s="54" t="n">
        <x:f>IF(J156="","",J156*(1-IF(L156="",0,L156))*(1-IF(M156="",0,M156)))</x:f>
        <x:v>235</x:v>
      </x:c>
      <x:c r="O156" t="str">
        <x:v>USD</x:v>
      </x:c>
      <x:c r="P156" t="str">
        <x:f>IF(J156="","UNPRICED","PRICED")</x:f>
        <x:v>PRICED</x:v>
      </x:c>
      <x:c r="Q156" t="str">
        <x:f>IF(OR(ISNUMBER(SEARCH("MISSING_VENDOR",R156)),ISNUMBER(SEARCH("MISSING_PART_NUMBER",R156)),ISNUMBER(SEARCH("PLACEHOLDER_PART_NUMBER",R156)),ISNUMBER(SEARCH("MISSING_REQUIRED_SPEC",R156)),ISNUMBER(SEARCH("PART_NUMBER_CONFLICT",R156)),ISNUMBER(SEARCH("SIZE_PART_MISMATCH",R156)),ISNUMBER(SEARCH("POSSIBLE_PRICE_OUTLIER",R156))),"REVIEW","ACTIVE")</x:f>
        <x:v>REVIEW</x:v>
      </x:c>
      <x:c r="R156" t="str">
        <x:v>MISSING_PART_NUMBER</x:v>
      </x:c>
      <x:c r="S156" t="n">
        <x:v>41</x:v>
      </x:c>
    </x:row>
    <x:row r="157" ht="15" hidden="0" customHeight="1">
      <x:c r="A157" t="str">
        <x:v>OFFER-EE4737AD53DC</x:v>
      </x:c>
      <x:c r="B157" t="str">
        <x:v>SPEC-670C4978BBE2</x:v>
      </x:c>
      <x:c r="C157" t="str">
        <x:v>PHG</x:v>
      </x:c>
      <x:c r="D157" t="str">
        <x:v>POWER TRSFR</x:v>
      </x:c>
      <x:c r="E157" t="str">
        <x:v>4.5 * 4.5</x:v>
      </x:c>
      <x:c r="F157" t="str"/>
      <x:c r="G157" t="str">
        <x:v>CH4632E</x:v>
      </x:c>
      <x:c r="H157" t="str">
        <x:v>CH4632E 4H ELR</x:v>
      </x:c>
      <x:c r="I157" t="str"/>
      <x:c r="J157" s="54"/>
      <x:c r="K157" t="str"/>
      <x:c r="L157" s="57"/>
      <x:c r="M157" s="57"/>
      <x:c r="N157" s="54" t="str">
        <x:f>IF(J157="","",J157*(1-IF(L157="",0,L157))*(1-IF(M157="",0,M157)))</x:f>
      </x:c>
      <x:c r="O157" t="str">
        <x:v>USD</x:v>
      </x:c>
      <x:c r="P157" t="str">
        <x:f>IF(J157="","UNPRICED","PRICED")</x:f>
        <x:v>UNPRICED</x:v>
      </x:c>
      <x:c r="Q157" t="str">
        <x:f>IF(OR(ISNUMBER(SEARCH("MISSING_VENDOR",R157)),ISNUMBER(SEARCH("MISSING_PART_NUMBER",R157)),ISNUMBER(SEARCH("PLACEHOLDER_PART_NUMBER",R157)),ISNUMBER(SEARCH("MISSING_REQUIRED_SPEC",R157)),ISNUMBER(SEARCH("PART_NUMBER_CONFLICT",R157)),ISNUMBER(SEARCH("SIZE_PART_MISMATCH",R157)),ISNUMBER(SEARCH("POSSIBLE_PRICE_OUTLIER",R157))),"REVIEW","ACTIVE")</x:f>
        <x:v>ACTIVE</x:v>
      </x:c>
      <x:c r="R157" t="str">
        <x:v>MISSING_PRICE</x:v>
      </x:c>
      <x:c r="S157" t="n">
        <x:v>39</x:v>
      </x:c>
    </x:row>
    <x:row r="158" ht="15" hidden="0" customHeight="1">
      <x:c r="A158" t="str">
        <x:v>OFFER-804837E01F90</x:v>
      </x:c>
      <x:c r="B158" t="str">
        <x:v>SPEC-F4CEDBA6C85C</x:v>
      </x:c>
      <x:c r="C158" t="str">
        <x:v>DH</x:v>
      </x:c>
      <x:c r="D158" t="str">
        <x:v>BUTT HINGE SPECIAL</x:v>
      </x:c>
      <x:c r="E158" t="str">
        <x:v>5.0 * 4.5</x:v>
      </x:c>
      <x:c r="F158" t="str"/>
      <x:c r="G158" t="str">
        <x:v>78000531</x:v>
      </x:c>
      <x:c r="H158" t="str">
        <x:v>78000531 - BB5 NRP 5 x 4.5</x:v>
      </x:c>
      <x:c r="I158" t="str"/>
      <x:c r="J158" s="54"/>
      <x:c r="K158" t="str"/>
      <x:c r="L158" s="57"/>
      <x:c r="M158" s="57"/>
      <x:c r="N158" s="54" t="str">
        <x:f>IF(J158="","",J158*(1-IF(L158="",0,L158))*(1-IF(M158="",0,M158)))</x:f>
      </x:c>
      <x:c r="O158" t="str">
        <x:v>USD</x:v>
      </x:c>
      <x:c r="P158" t="str">
        <x:f>IF(J158="","UNPRICED","PRICED")</x:f>
        <x:v>UNPRICED</x:v>
      </x:c>
      <x:c r="Q158" t="str">
        <x:f>IF(OR(ISNUMBER(SEARCH("MISSING_VENDOR",R158)),ISNUMBER(SEARCH("MISSING_PART_NUMBER",R158)),ISNUMBER(SEARCH("PLACEHOLDER_PART_NUMBER",R158)),ISNUMBER(SEARCH("MISSING_REQUIRED_SPEC",R158)),ISNUMBER(SEARCH("PART_NUMBER_CONFLICT",R158)),ISNUMBER(SEARCH("SIZE_PART_MISMATCH",R158)),ISNUMBER(SEARCH("POSSIBLE_PRICE_OUTLIER",R158))),"REVIEW","ACTIVE")</x:f>
        <x:v>ACTIVE</x:v>
      </x:c>
      <x:c r="R158" t="str">
        <x:v>MISSING_PRICE</x:v>
      </x:c>
      <x:c r="S158" t="n">
        <x:v>7</x:v>
      </x:c>
    </x:row>
    <x:row r="159" ht="15" hidden="0" customHeight="1">
      <x:c r="A159" t="str">
        <x:v>OFFER-EB397929ED5E</x:v>
      </x:c>
      <x:c r="B159" t="str">
        <x:v>SPEC-E60B40B45B93</x:v>
      </x:c>
      <x:c r="C159" t="str"/>
      <x:c r="D159" t="str">
        <x:v>BUTT HINGE SPECIAL</x:v>
      </x:c>
      <x:c r="E159" t="str">
        <x:v>5.0 * 5.0</x:v>
      </x:c>
      <x:c r="F159" t="str"/>
      <x:c r="G159" t="str"/>
      <x:c r="H159" t="str"/>
      <x:c r="I159" t="str"/>
      <x:c r="J159" s="54"/>
      <x:c r="K159" t="str"/>
      <x:c r="L159" s="57"/>
      <x:c r="M159" s="57"/>
      <x:c r="N159" s="54" t="str">
        <x:f>IF(J159="","",J159*(1-IF(L159="",0,L159))*(1-IF(M159="",0,M159)))</x:f>
      </x:c>
      <x:c r="O159" t="str">
        <x:v>USD</x:v>
      </x:c>
      <x:c r="P159" t="str">
        <x:f>IF(J159="","UNPRICED","PRICED")</x:f>
        <x:v>UNPRICED</x:v>
      </x:c>
      <x:c r="Q159" t="str">
        <x:f>IF(OR(ISNUMBER(SEARCH("MISSING_VENDOR",R159)),ISNUMBER(SEARCH("MISSING_PART_NUMBER",R159)),ISNUMBER(SEARCH("PLACEHOLDER_PART_NUMBER",R159)),ISNUMBER(SEARCH("MISSING_REQUIRED_SPEC",R159)),ISNUMBER(SEARCH("PART_NUMBER_CONFLICT",R159)),ISNUMBER(SEARCH("SIZE_PART_MISMATCH",R159)),ISNUMBER(SEARCH("POSSIBLE_PRICE_OUTLIER",R159))),"REVIEW","ACTIVE")</x:f>
        <x:v>REVIEW</x:v>
      </x:c>
      <x:c r="R159" t="str">
        <x:v>MISSING_VENDOR; MISSING_PRICE; MISSING_PART_NUMBER</x:v>
      </x:c>
      <x:c r="S159" t="n">
        <x:v>8</x:v>
      </x:c>
    </x:row>
    <x:row r="160" ht="15" hidden="0" customHeight="1">
      <x:c r="A160" t="str">
        <x:v>OFFER-FB649CFDCADA</x:v>
      </x:c>
      <x:c r="B160" t="str">
        <x:v>SPEC-DE59CAC94BBD</x:v>
      </x:c>
      <x:c r="C160" t="str"/>
      <x:c r="D160" t="str">
        <x:v>BUTT HINGE W SPRING</x:v>
      </x:c>
      <x:c r="E160" t="str">
        <x:v>4.5 * 4.5</x:v>
      </x:c>
      <x:c r="F160" t="str"/>
      <x:c r="G160" t="str">
        <x:v>SPRING</x:v>
      </x:c>
      <x:c r="H160" t="str">
        <x:v>SPRING HW</x:v>
      </x:c>
      <x:c r="I160" t="str"/>
      <x:c r="J160" s="54" t="n">
        <x:v>96.25</x:v>
      </x:c>
      <x:c r="K160" t="str"/>
      <x:c r="L160" s="57"/>
      <x:c r="M160" s="57"/>
      <x:c r="N160" s="54" t="n">
        <x:f>IF(J160="","",J160*(1-IF(L160="",0,L160))*(1-IF(M160="",0,M160)))</x:f>
        <x:v>96.25</x:v>
      </x:c>
      <x:c r="O160" t="str">
        <x:v>USD</x:v>
      </x:c>
      <x:c r="P160" t="str">
        <x:f>IF(J160="","UNPRICED","PRICED")</x:f>
        <x:v>PRICED</x:v>
      </x:c>
      <x:c r="Q160" t="str">
        <x:f>IF(OR(ISNUMBER(SEARCH("MISSING_VENDOR",R160)),ISNUMBER(SEARCH("MISSING_PART_NUMBER",R160)),ISNUMBER(SEARCH("PLACEHOLDER_PART_NUMBER",R160)),ISNUMBER(SEARCH("MISSING_REQUIRED_SPEC",R160)),ISNUMBER(SEARCH("PART_NUMBER_CONFLICT",R160)),ISNUMBER(SEARCH("SIZE_PART_MISMATCH",R160)),ISNUMBER(SEARCH("POSSIBLE_PRICE_OUTLIER",R160))),"REVIEW","ACTIVE")</x:f>
        <x:v>REVIEW</x:v>
      </x:c>
      <x:c r="R160" t="str">
        <x:v>MISSING_VENDOR</x:v>
      </x:c>
      <x:c r="S160" t="n">
        <x:v>6</x:v>
      </x:c>
    </x:row>
    <x:row r="161" ht="15" hidden="0" customHeight="1">
      <x:c r="A161" t="str">
        <x:v>OFFER-D2A39767A064</x:v>
      </x:c>
      <x:c r="B161" t="str">
        <x:v>SPEC-86E6996563AA</x:v>
      </x:c>
      <x:c r="C161" t="str">
        <x:v>DH</x:v>
      </x:c>
      <x:c r="D161" t="str">
        <x:v>BUTT HINGE W SPRING</x:v>
      </x:c>
      <x:c r="E161" t="str">
        <x:v>4.5 * 4.5</x:v>
      </x:c>
      <x:c r="F161" t="str"/>
      <x:c r="G161" t="str">
        <x:v>78000541</x:v>
      </x:c>
      <x:c r="H161" t="str">
        <x:v>78000541 - Spring Hinge 4.5 x 4.5</x:v>
      </x:c>
      <x:c r="I161" t="str">
        <x:v>847-01985</x:v>
      </x:c>
      <x:c r="J161" s="54"/>
      <x:c r="K161" t="str"/>
      <x:c r="L161" s="57"/>
      <x:c r="M161" s="57"/>
      <x:c r="N161" s="54" t="str">
        <x:f>IF(J161="","",J161*(1-IF(L161="",0,L161))*(1-IF(M161="",0,M161)))</x:f>
      </x:c>
      <x:c r="O161" t="str">
        <x:v>USD</x:v>
      </x:c>
      <x:c r="P161" t="str">
        <x:f>IF(J161="","UNPRICED","PRICED")</x:f>
        <x:v>UNPRICED</x:v>
      </x:c>
      <x:c r="Q161" t="str">
        <x:f>IF(OR(ISNUMBER(SEARCH("MISSING_VENDOR",R161)),ISNUMBER(SEARCH("MISSING_PART_NUMBER",R161)),ISNUMBER(SEARCH("PLACEHOLDER_PART_NUMBER",R161)),ISNUMBER(SEARCH("MISSING_REQUIRED_SPEC",R161)),ISNUMBER(SEARCH("PART_NUMBER_CONFLICT",R161)),ISNUMBER(SEARCH("SIZE_PART_MISMATCH",R161)),ISNUMBER(SEARCH("POSSIBLE_PRICE_OUTLIER",R161))),"REVIEW","ACTIVE")</x:f>
        <x:v>ACTIVE</x:v>
      </x:c>
      <x:c r="R161" t="str">
        <x:v>MISSING_PRICE</x:v>
      </x:c>
      <x:c r="S161" t="n">
        <x:v>5</x:v>
      </x:c>
    </x:row>
    <x:row r="162" ht="15" hidden="0" customHeight="1">
      <x:c r="A162" t="str">
        <x:v>OFFER-38A27EC2BD55</x:v>
      </x:c>
      <x:c r="B162" t="str">
        <x:v>SPEC-244285DE4CEC</x:v>
      </x:c>
      <x:c r="C162" t="str">
        <x:v>DH</x:v>
      </x:c>
      <x:c r="D162" t="str">
        <x:v>BUTT HINGE STANDARD WT</x:v>
      </x:c>
      <x:c r="E162" t="str"/>
      <x:c r="F162" t="str"/>
      <x:c r="G162" t="str"/>
      <x:c r="H162" t="str"/>
      <x:c r="I162" t="str"/>
      <x:c r="J162" s="54"/>
      <x:c r="K162" t="str"/>
      <x:c r="L162" s="57"/>
      <x:c r="M162" s="57"/>
      <x:c r="N162" s="54" t="str">
        <x:f>IF(J162="","",J162*(1-IF(L162="",0,L162))*(1-IF(M162="",0,M162)))</x:f>
      </x:c>
      <x:c r="O162" t="str">
        <x:v>USD</x:v>
      </x:c>
      <x:c r="P162" t="str">
        <x:f>IF(J162="","UNPRICED","PRICED")</x:f>
        <x:v>UNPRICED</x:v>
      </x:c>
      <x:c r="Q162" t="str">
        <x:f>IF(OR(ISNUMBER(SEARCH("MISSING_VENDOR",R162)),ISNUMBER(SEARCH("MISSING_PART_NUMBER",R162)),ISNUMBER(SEARCH("PLACEHOLDER_PART_NUMBER",R162)),ISNUMBER(SEARCH("MISSING_REQUIRED_SPEC",R162)),ISNUMBER(SEARCH("PART_NUMBER_CONFLICT",R162)),ISNUMBER(SEARCH("SIZE_PART_MISMATCH",R162)),ISNUMBER(SEARCH("POSSIBLE_PRICE_OUTLIER",R162))),"REVIEW","ACTIVE")</x:f>
        <x:v>REVIEW</x:v>
      </x:c>
      <x:c r="R162" t="str">
        <x:v>MISSING_PRICE; MISSING_PART_NUMBER</x:v>
      </x:c>
      <x:c r="S162" t="n">
        <x:v>12</x:v>
      </x:c>
    </x:row>
    <x:row r="163" ht="15" hidden="0" customHeight="1">
      <x:c r="A163" t="str">
        <x:v>OFFER-464F8F721986</x:v>
      </x:c>
      <x:c r="B163" t="str">
        <x:v>SPEC-0475607E1A90</x:v>
      </x:c>
      <x:c r="C163" t="str">
        <x:v>DH</x:v>
      </x:c>
      <x:c r="D163" t="str">
        <x:v>BUTT HINGE STANDARD WT</x:v>
      </x:c>
      <x:c r="E163" t="str">
        <x:v>4.5 * 4.5</x:v>
      </x:c>
      <x:c r="F163" t="str"/>
      <x:c r="G163" t="str">
        <x:v>78000519</x:v>
      </x:c>
      <x:c r="H163" t="str">
        <x:v>78000519 - BB5 NRP 4.5 x 4.5</x:v>
      </x:c>
      <x:c r="I163" t="str"/>
      <x:c r="J163" s="54"/>
      <x:c r="K163" t="str"/>
      <x:c r="L163" s="57"/>
      <x:c r="M163" s="57"/>
      <x:c r="N163" s="54" t="str">
        <x:f>IF(J163="","",J163*(1-IF(L163="",0,L163))*(1-IF(M163="",0,M163)))</x:f>
      </x:c>
      <x:c r="O163" t="str">
        <x:v>USD</x:v>
      </x:c>
      <x:c r="P163" t="str">
        <x:f>IF(J163="","UNPRICED","PRICED")</x:f>
        <x:v>UNPRICED</x:v>
      </x:c>
      <x:c r="Q163" t="str">
        <x:f>IF(OR(ISNUMBER(SEARCH("MISSING_VENDOR",R163)),ISNUMBER(SEARCH("MISSING_PART_NUMBER",R163)),ISNUMBER(SEARCH("PLACEHOLDER_PART_NUMBER",R163)),ISNUMBER(SEARCH("MISSING_REQUIRED_SPEC",R163)),ISNUMBER(SEARCH("PART_NUMBER_CONFLICT",R163)),ISNUMBER(SEARCH("SIZE_PART_MISMATCH",R163)),ISNUMBER(SEARCH("POSSIBLE_PRICE_OUTLIER",R163))),"REVIEW","ACTIVE")</x:f>
        <x:v>REVIEW</x:v>
      </x:c>
      <x:c r="R163" t="str">
        <x:v>MISSING_PRICE; PART_NUMBER_CONFLICT</x:v>
      </x:c>
      <x:c r="S163" t="n">
        <x:v>11</x:v>
      </x:c>
    </x:row>
    <x:row r="164" ht="15" hidden="0" customHeight="1">
      <x:c r="A164" t="str">
        <x:v>OFFER-C42072D34509</x:v>
      </x:c>
      <x:c r="B164" t="str">
        <x:v>SPEC-286A187D72D2</x:v>
      </x:c>
      <x:c r="C164" t="str">
        <x:v>BST</x:v>
      </x:c>
      <x:c r="D164" t="str">
        <x:v>9K</x:v>
      </x:c>
      <x:c r="E164" t="str">
        <x:v>R</x:v>
      </x:c>
      <x:c r="F164" t="str">
        <x:v>R</x:v>
      </x:c>
      <x:c r="G164" t="str">
        <x:v>9K-3-7-R-15-C3-STK-626 LFIC</x:v>
      </x:c>
      <x:c r="H164" t="str">
        <x:v>9K-3-7-R-15-C3-STK-626 LFIC</x:v>
      </x:c>
      <x:c r="I164" t="str"/>
      <x:c r="J164" s="54" t="n">
        <x:v>1097</x:v>
      </x:c>
      <x:c r="K164" t="str">
        <x:v>0.24</x:v>
      </x:c>
      <x:c r="L164" s="57" t="n">
        <x:v>0.24</x:v>
      </x:c>
      <x:c r="M164" s="57"/>
      <x:c r="N164" s="54" t="n">
        <x:f>IF(J164="","",J164*(1-IF(L164="",0,L164))*(1-IF(M164="",0,M164)))</x:f>
        <x:v>833.72</x:v>
      </x:c>
      <x:c r="O164" t="str">
        <x:v>USD</x:v>
      </x:c>
      <x:c r="P164" t="str">
        <x:f>IF(J164="","UNPRICED","PRICED")</x:f>
        <x:v>PRICED</x:v>
      </x:c>
      <x:c r="Q164" t="str">
        <x:f>IF(OR(ISNUMBER(SEARCH("MISSING_VENDOR",R164)),ISNUMBER(SEARCH("MISSING_PART_NUMBER",R164)),ISNUMBER(SEARCH("PLACEHOLDER_PART_NUMBER",R164)),ISNUMBER(SEARCH("MISSING_REQUIRED_SPEC",R164)),ISNUMBER(SEARCH("PART_NUMBER_CONFLICT",R164)),ISNUMBER(SEARCH("SIZE_PART_MISMATCH",R164)),ISNUMBER(SEARCH("POSSIBLE_PRICE_OUTLIER",R164))),"REVIEW","ACTIVE")</x:f>
        <x:v>ACTIVE</x:v>
      </x:c>
      <x:c r="R164" t="str"/>
      <x:c r="S164" t="n">
        <x:v>114</x:v>
      </x:c>
    </x:row>
    <x:row r="165" ht="15" hidden="0" customHeight="1">
      <x:c r="A165" t="str">
        <x:v>OFFER-CEFD08067C4E</x:v>
      </x:c>
      <x:c r="B165" t="str">
        <x:v>SPEC-286A187D72D2</x:v>
      </x:c>
      <x:c r="C165" t="str">
        <x:v>PHG</x:v>
      </x:c>
      <x:c r="D165" t="str">
        <x:v>FC-ICS</x:v>
      </x:c>
      <x:c r="E165" t="str">
        <x:v>F84</x:v>
      </x:c>
      <x:c r="F165" t="str">
        <x:v>F84</x:v>
      </x:c>
      <x:c r="G165" t="str">
        <x:v>FC509CT26DICS</x:v>
      </x:c>
      <x:c r="H165" t="str">
        <x:v>FC509CT26DICS FC-CT509 - Classroom (F84) - ICS</x:v>
      </x:c>
      <x:c r="I165" t="str"/>
      <x:c r="J165" s="54" t="n">
        <x:v>227.48</x:v>
      </x:c>
      <x:c r="K165" t="str"/>
      <x:c r="L165" s="57"/>
      <x:c r="M165" s="57"/>
      <x:c r="N165" s="54" t="n">
        <x:f>IF(J165="","",J165*(1-IF(L165="",0,L165))*(1-IF(M165="",0,M165)))</x:f>
        <x:v>227.48</x:v>
      </x:c>
      <x:c r="O165" t="str">
        <x:v>USD</x:v>
      </x:c>
      <x:c r="P165" t="str">
        <x:f>IF(J165="","UNPRICED","PRICED")</x:f>
        <x:v>PRICED</x:v>
      </x:c>
      <x:c r="Q165" t="str">
        <x:f>IF(OR(ISNUMBER(SEARCH("MISSING_VENDOR",R165)),ISNUMBER(SEARCH("MISSING_PART_NUMBER",R165)),ISNUMBER(SEARCH("PLACEHOLDER_PART_NUMBER",R165)),ISNUMBER(SEARCH("MISSING_REQUIRED_SPEC",R165)),ISNUMBER(SEARCH("PART_NUMBER_CONFLICT",R165)),ISNUMBER(SEARCH("SIZE_PART_MISMATCH",R165)),ISNUMBER(SEARCH("POSSIBLE_PRICE_OUTLIER",R165))),"REVIEW","ACTIVE")</x:f>
        <x:v>ACTIVE</x:v>
      </x:c>
      <x:c r="R165" t="str"/>
      <x:c r="S165" t="n">
        <x:v>163</x:v>
      </x:c>
    </x:row>
    <x:row r="166" ht="15" hidden="0" customHeight="1">
      <x:c r="A166" t="str">
        <x:v>OFFER-454A9B08F784</x:v>
      </x:c>
      <x:c r="B166" t="str">
        <x:v>SPEC-5C4DA25D107E</x:v>
      </x:c>
      <x:c r="C166" t="str">
        <x:v>BST</x:v>
      </x:c>
      <x:c r="D166" t="str">
        <x:v>9K</x:v>
      </x:c>
      <x:c r="E166" t="str">
        <x:v>R</x:v>
      </x:c>
      <x:c r="F166" t="str">
        <x:v>R</x:v>
      </x:c>
      <x:c r="G166" t="str">
        <x:v>9K-3-7-R-15-C3-STK-626 SFIC</x:v>
      </x:c>
      <x:c r="H166" t="str">
        <x:v>9K-3-7-R-15-C3-STK-626 SFIC</x:v>
      </x:c>
      <x:c r="I166" t="str"/>
      <x:c r="J166" s="54" t="n">
        <x:v>1097</x:v>
      </x:c>
      <x:c r="K166" t="str">
        <x:v>0.24</x:v>
      </x:c>
      <x:c r="L166" s="57" t="n">
        <x:v>0.24</x:v>
      </x:c>
      <x:c r="M166" s="57"/>
      <x:c r="N166" s="54" t="n">
        <x:f>IF(J166="","",J166*(1-IF(L166="",0,L166))*(1-IF(M166="",0,M166)))</x:f>
        <x:v>833.72</x:v>
      </x:c>
      <x:c r="O166" t="str">
        <x:v>USD</x:v>
      </x:c>
      <x:c r="P166" t="str">
        <x:f>IF(J166="","UNPRICED","PRICED")</x:f>
        <x:v>PRICED</x:v>
      </x:c>
      <x:c r="Q166" t="str">
        <x:f>IF(OR(ISNUMBER(SEARCH("MISSING_VENDOR",R166)),ISNUMBER(SEARCH("MISSING_PART_NUMBER",R166)),ISNUMBER(SEARCH("PLACEHOLDER_PART_NUMBER",R166)),ISNUMBER(SEARCH("MISSING_REQUIRED_SPEC",R166)),ISNUMBER(SEARCH("PART_NUMBER_CONFLICT",R166)),ISNUMBER(SEARCH("SIZE_PART_MISMATCH",R166)),ISNUMBER(SEARCH("POSSIBLE_PRICE_OUTLIER",R166))),"REVIEW","ACTIVE")</x:f>
        <x:v>ACTIVE</x:v>
      </x:c>
      <x:c r="R166" t="str"/>
      <x:c r="S166" t="n">
        <x:v>113</x:v>
      </x:c>
    </x:row>
    <x:row r="167" ht="15" hidden="0" customHeight="1">
      <x:c r="A167" t="str">
        <x:v>OFFER-FF4BF7F3593A</x:v>
      </x:c>
      <x:c r="B167" t="str">
        <x:v>SPEC-5C4DA25D107E</x:v>
      </x:c>
      <x:c r="C167" t="str">
        <x:v>DH</x:v>
      </x:c>
      <x:c r="D167" t="str">
        <x:v>J-84 SFIC</x:v>
      </x:c>
      <x:c r="E167" t="str">
        <x:v>F84</x:v>
      </x:c>
      <x:c r="F167" t="str">
        <x:v>F84</x:v>
      </x:c>
      <x:c r="G167" t="str">
        <x:v>78093757</x:v>
      </x:c>
      <x:c r="H167" t="str">
        <x:v>78093757 - J-84IC - F - Classroom Function (SFIC - no core)</x:v>
      </x:c>
      <x:c r="I167" t="str"/>
      <x:c r="J167" s="54"/>
      <x:c r="K167" t="str"/>
      <x:c r="L167" s="57"/>
      <x:c r="M167" s="57"/>
      <x:c r="N167" s="54" t="str">
        <x:f>IF(J167="","",J167*(1-IF(L167="",0,L167))*(1-IF(M167="",0,M167)))</x:f>
      </x:c>
      <x:c r="O167" t="str">
        <x:v>USD</x:v>
      </x:c>
      <x:c r="P167" t="str">
        <x:f>IF(J167="","UNPRICED","PRICED")</x:f>
        <x:v>UNPRICED</x:v>
      </x:c>
      <x:c r="Q167" t="str">
        <x:f>IF(OR(ISNUMBER(SEARCH("MISSING_VENDOR",R167)),ISNUMBER(SEARCH("MISSING_PART_NUMBER",R167)),ISNUMBER(SEARCH("PLACEHOLDER_PART_NUMBER",R167)),ISNUMBER(SEARCH("MISSING_REQUIRED_SPEC",R167)),ISNUMBER(SEARCH("PART_NUMBER_CONFLICT",R167)),ISNUMBER(SEARCH("SIZE_PART_MISMATCH",R167)),ISNUMBER(SEARCH("POSSIBLE_PRICE_OUTLIER",R167))),"REVIEW","ACTIVE")</x:f>
        <x:v>ACTIVE</x:v>
      </x:c>
      <x:c r="R167" t="str">
        <x:v>MISSING_PRICE</x:v>
      </x:c>
      <x:c r="S167" t="n">
        <x:v>151</x:v>
      </x:c>
    </x:row>
    <x:row r="168" ht="15" hidden="0" customHeight="1">
      <x:c r="A168" t="str">
        <x:v>OFFER-24671F23C0DA</x:v>
      </x:c>
      <x:c r="B168" t="str">
        <x:v>SPEC-5C4DA25D107E</x:v>
      </x:c>
      <x:c r="C168" t="str">
        <x:v>DH</x:v>
      </x:c>
      <x:c r="D168" t="str">
        <x:v>X-84 SFIC</x:v>
      </x:c>
      <x:c r="E168" t="str">
        <x:v>F84</x:v>
      </x:c>
      <x:c r="F168" t="str">
        <x:v>F84</x:v>
      </x:c>
      <x:c r="G168" t="str">
        <x:v>78001763</x:v>
      </x:c>
      <x:c r="H168" t="str">
        <x:v>78001763 - X-84IC - F - Classroom (SFIC - no core)</x:v>
      </x:c>
      <x:c r="I168" t="str"/>
      <x:c r="J168" s="54"/>
      <x:c r="K168" t="str"/>
      <x:c r="L168" s="57"/>
      <x:c r="M168" s="57"/>
      <x:c r="N168" s="54" t="str">
        <x:f>IF(J168="","",J168*(1-IF(L168="",0,L168))*(1-IF(M168="",0,M168)))</x:f>
      </x:c>
      <x:c r="O168" t="str">
        <x:v>USD</x:v>
      </x:c>
      <x:c r="P168" t="str">
        <x:f>IF(J168="","UNPRICED","PRICED")</x:f>
        <x:v>UNPRICED</x:v>
      </x:c>
      <x:c r="Q168" t="str">
        <x:f>IF(OR(ISNUMBER(SEARCH("MISSING_VENDOR",R168)),ISNUMBER(SEARCH("MISSING_PART_NUMBER",R168)),ISNUMBER(SEARCH("PLACEHOLDER_PART_NUMBER",R168)),ISNUMBER(SEARCH("MISSING_REQUIRED_SPEC",R168)),ISNUMBER(SEARCH("PART_NUMBER_CONFLICT",R168)),ISNUMBER(SEARCH("SIZE_PART_MISMATCH",R168)),ISNUMBER(SEARCH("POSSIBLE_PRICE_OUTLIER",R168))),"REVIEW","ACTIVE")</x:f>
        <x:v>ACTIVE</x:v>
      </x:c>
      <x:c r="R168" t="str">
        <x:v>MISSING_PRICE</x:v>
      </x:c>
      <x:c r="S168" t="n">
        <x:v>144</x:v>
      </x:c>
    </x:row>
    <x:row r="169" ht="15" hidden="0" customHeight="1">
      <x:c r="A169" t="str">
        <x:v>OFFER-798D85F35B21</x:v>
      </x:c>
      <x:c r="B169" t="str">
        <x:v>SPEC-5C4DA25D107E</x:v>
      </x:c>
      <x:c r="C169" t="str">
        <x:v>DH</x:v>
      </x:c>
      <x:c r="D169" t="str">
        <x:v>Z-84 SFIC</x:v>
      </x:c>
      <x:c r="E169" t="str">
        <x:v>F84</x:v>
      </x:c>
      <x:c r="F169" t="str">
        <x:v>F84</x:v>
      </x:c>
      <x:c r="G169" t="str">
        <x:v>78001846</x:v>
      </x:c>
      <x:c r="H169" t="str">
        <x:v>78001846 - Z-84IC - F - Classroom (SFIC - no core)</x:v>
      </x:c>
      <x:c r="I169" t="str"/>
      <x:c r="J169" s="54" t="n">
        <x:v>290.7</x:v>
      </x:c>
      <x:c r="K169" t="str">
        <x:v>0.26</x:v>
      </x:c>
      <x:c r="L169" s="57" t="n">
        <x:v>0.26</x:v>
      </x:c>
      <x:c r="M169" s="57"/>
      <x:c r="N169" s="54" t="n">
        <x:f>IF(J169="","",J169*(1-IF(L169="",0,L169))*(1-IF(M169="",0,M169)))</x:f>
        <x:v>215.118</x:v>
      </x:c>
      <x:c r="O169" t="str">
        <x:v>USD</x:v>
      </x:c>
      <x:c r="P169" t="str">
        <x:f>IF(J169="","UNPRICED","PRICED")</x:f>
        <x:v>PRICED</x:v>
      </x:c>
      <x:c r="Q169" t="str">
        <x:f>IF(OR(ISNUMBER(SEARCH("MISSING_VENDOR",R169)),ISNUMBER(SEARCH("MISSING_PART_NUMBER",R169)),ISNUMBER(SEARCH("PLACEHOLDER_PART_NUMBER",R169)),ISNUMBER(SEARCH("MISSING_REQUIRED_SPEC",R169)),ISNUMBER(SEARCH("PART_NUMBER_CONFLICT",R169)),ISNUMBER(SEARCH("SIZE_PART_MISMATCH",R169)),ISNUMBER(SEARCH("POSSIBLE_PRICE_OUTLIER",R169))),"REVIEW","ACTIVE")</x:f>
        <x:v>ACTIVE</x:v>
      </x:c>
      <x:c r="R169" t="str"/>
      <x:c r="S169" t="n">
        <x:v>135</x:v>
      </x:c>
    </x:row>
    <x:row r="170" ht="15" hidden="0" customHeight="1">
      <x:c r="A170" t="str">
        <x:v>OFFER-834624F454E0</x:v>
      </x:c>
      <x:c r="B170" t="str">
        <x:v>SPEC-5C4DA25D107E</x:v>
      </x:c>
      <x:c r="C170" t="str">
        <x:v>DK</x:v>
      </x:c>
      <x:c r="D170" t="str">
        <x:v>C170J</x:v>
      </x:c>
      <x:c r="E170" t="str">
        <x:v>F84</x:v>
      </x:c>
      <x:c r="F170" t="str">
        <x:v>F84</x:v>
      </x:c>
      <x:c r="G170" t="str">
        <x:v>C170-J-LR-C-*-*-10252-134-5001-1316</x:v>
      </x:c>
      <x:c r="H170" t="str">
        <x:v>C170-J-LR-C-*-*-10252-134-5001-1316</x:v>
      </x:c>
      <x:c r="I170" t="str"/>
      <x:c r="J170" s="54" t="n">
        <x:v>121.93</x:v>
      </x:c>
      <x:c r="K170" t="str"/>
      <x:c r="L170" s="57"/>
      <x:c r="M170" s="57"/>
      <x:c r="N170" s="54" t="n">
        <x:f>IF(J170="","",J170*(1-IF(L170="",0,L170))*(1-IF(M170="",0,M170)))</x:f>
        <x:v>121.93</x:v>
      </x:c>
      <x:c r="O170" t="str">
        <x:v>USD</x:v>
      </x:c>
      <x:c r="P170" t="str">
        <x:f>IF(J170="","UNPRICED","PRICED")</x:f>
        <x:v>PRICED</x:v>
      </x:c>
      <x:c r="Q170" t="str">
        <x:f>IF(OR(ISNUMBER(SEARCH("MISSING_VENDOR",R170)),ISNUMBER(SEARCH("MISSING_PART_NUMBER",R170)),ISNUMBER(SEARCH("PLACEHOLDER_PART_NUMBER",R170)),ISNUMBER(SEARCH("MISSING_REQUIRED_SPEC",R170)),ISNUMBER(SEARCH("PART_NUMBER_CONFLICT",R170)),ISNUMBER(SEARCH("SIZE_PART_MISMATCH",R170)),ISNUMBER(SEARCH("POSSIBLE_PRICE_OUTLIER",R170))),"REVIEW","ACTIVE")</x:f>
        <x:v>REVIEW</x:v>
      </x:c>
      <x:c r="R170" t="str">
        <x:v>POSSIBLE_PRICE_OUTLIER</x:v>
      </x:c>
      <x:c r="S170" t="n">
        <x:v>124</x:v>
      </x:c>
    </x:row>
    <x:row r="171" ht="15" hidden="0" customHeight="1">
      <x:c r="A171" t="str">
        <x:v>OFFER-D069D14C1793</x:v>
      </x:c>
      <x:c r="B171" t="str">
        <x:v>SPEC-5C4DA25D107E</x:v>
      </x:c>
      <x:c r="C171" t="str">
        <x:v>PHG</x:v>
      </x:c>
      <x:c r="D171" t="str">
        <x:v>ES-ICB</x:v>
      </x:c>
      <x:c r="E171" t="str">
        <x:v>F84</x:v>
      </x:c>
      <x:c r="F171" t="str">
        <x:v>F84</x:v>
      </x:c>
      <x:c r="G171" t="str">
        <x:v>ES509CT26DICB</x:v>
      </x:c>
      <x:c r="H171" t="str">
        <x:v>ES509CT26DICB ES-CT509 - Classroom (F84) - ICB</x:v>
      </x:c>
      <x:c r="I171" t="str"/>
      <x:c r="J171" s="54" t="n">
        <x:v>121.93</x:v>
      </x:c>
      <x:c r="K171" t="str"/>
      <x:c r="L171" s="57"/>
      <x:c r="M171" s="57"/>
      <x:c r="N171" s="54" t="n">
        <x:f>IF(J171="","",J171*(1-IF(L171="",0,L171))*(1-IF(M171="",0,M171)))</x:f>
        <x:v>121.93</x:v>
      </x:c>
      <x:c r="O171" t="str">
        <x:v>USD</x:v>
      </x:c>
      <x:c r="P171" t="str">
        <x:f>IF(J171="","UNPRICED","PRICED")</x:f>
        <x:v>PRICED</x:v>
      </x:c>
      <x:c r="Q171" t="str">
        <x:f>IF(OR(ISNUMBER(SEARCH("MISSING_VENDOR",R171)),ISNUMBER(SEARCH("MISSING_PART_NUMBER",R171)),ISNUMBER(SEARCH("PLACEHOLDER_PART_NUMBER",R171)),ISNUMBER(SEARCH("MISSING_REQUIRED_SPEC",R171)),ISNUMBER(SEARCH("PART_NUMBER_CONFLICT",R171)),ISNUMBER(SEARCH("SIZE_PART_MISMATCH",R171)),ISNUMBER(SEARCH("POSSIBLE_PRICE_OUTLIER",R171))),"REVIEW","ACTIVE")</x:f>
        <x:v>ACTIVE</x:v>
      </x:c>
      <x:c r="R171" t="str"/>
      <x:c r="S171" t="n">
        <x:v>177</x:v>
      </x:c>
    </x:row>
    <x:row r="172" ht="15" hidden="0" customHeight="1">
      <x:c r="A172" t="str">
        <x:v>OFFER-E050F37F2FB3</x:v>
      </x:c>
      <x:c r="B172" t="str">
        <x:v>SPEC-5C4DA25D107E</x:v>
      </x:c>
      <x:c r="C172" t="str">
        <x:v>PHG</x:v>
      </x:c>
      <x:c r="D172" t="str">
        <x:v>FC-ICB</x:v>
      </x:c>
      <x:c r="E172" t="str">
        <x:v>F84</x:v>
      </x:c>
      <x:c r="F172" t="str">
        <x:v>F84</x:v>
      </x:c>
      <x:c r="G172" t="str">
        <x:v>FC509CT26DICB</x:v>
      </x:c>
      <x:c r="H172" t="str">
        <x:v>FC509CT26DICB FC-CT509 - Classroom (F84) - ICB</x:v>
      </x:c>
      <x:c r="I172" t="str"/>
      <x:c r="J172" s="54" t="n">
        <x:v>202.76</x:v>
      </x:c>
      <x:c r="K172" t="str"/>
      <x:c r="L172" s="57"/>
      <x:c r="M172" s="57"/>
      <x:c r="N172" s="54" t="n">
        <x:f>IF(J172="","",J172*(1-IF(L172="",0,L172))*(1-IF(M172="",0,M172)))</x:f>
        <x:v>202.76</x:v>
      </x:c>
      <x:c r="O172" t="str">
        <x:v>USD</x:v>
      </x:c>
      <x:c r="P172" t="str">
        <x:f>IF(J172="","UNPRICED","PRICED")</x:f>
        <x:v>PRICED</x:v>
      </x:c>
      <x:c r="Q172" t="str">
        <x:f>IF(OR(ISNUMBER(SEARCH("MISSING_VENDOR",R172)),ISNUMBER(SEARCH("MISSING_PART_NUMBER",R172)),ISNUMBER(SEARCH("PLACEHOLDER_PART_NUMBER",R172)),ISNUMBER(SEARCH("MISSING_REQUIRED_SPEC",R172)),ISNUMBER(SEARCH("PART_NUMBER_CONFLICT",R172)),ISNUMBER(SEARCH("SIZE_PART_MISMATCH",R172)),ISNUMBER(SEARCH("POSSIBLE_PRICE_OUTLIER",R172))),"REVIEW","ACTIVE")</x:f>
        <x:v>ACTIVE</x:v>
      </x:c>
      <x:c r="R172" t="str"/>
      <x:c r="S172" t="n">
        <x:v>162</x:v>
      </x:c>
    </x:row>
    <x:row r="173" ht="15" hidden="0" customHeight="1">
      <x:c r="A173" t="str">
        <x:v>OFFER-377EC4EF10BE</x:v>
      </x:c>
      <x:c r="B173" t="str">
        <x:v>SPEC-5C4DA25D107E</x:v>
      </x:c>
      <x:c r="C173" t="str">
        <x:v>PHG</x:v>
      </x:c>
      <x:c r="D173" t="str">
        <x:v>HS-ICB</x:v>
      </x:c>
      <x:c r="E173" t="str">
        <x:v>F84</x:v>
      </x:c>
      <x:c r="F173" t="str">
        <x:v>F84</x:v>
      </x:c>
      <x:c r="G173" t="str">
        <x:v>HS509CT26DICB</x:v>
      </x:c>
      <x:c r="H173" t="str">
        <x:v>HS509CT26DICB HS-CT509 - Classroom (F84) - ICB</x:v>
      </x:c>
      <x:c r="I173" t="str"/>
      <x:c r="J173" s="54" t="n">
        <x:v>105.32</x:v>
      </x:c>
      <x:c r="K173" t="str"/>
      <x:c r="L173" s="57"/>
      <x:c r="M173" s="57"/>
      <x:c r="N173" s="54" t="n">
        <x:f>IF(J173="","",J173*(1-IF(L173="",0,L173))*(1-IF(M173="",0,M173)))</x:f>
        <x:v>105.32</x:v>
      </x:c>
      <x:c r="O173" t="str">
        <x:v>USD</x:v>
      </x:c>
      <x:c r="P173" t="str">
        <x:f>IF(J173="","UNPRICED","PRICED")</x:f>
        <x:v>PRICED</x:v>
      </x:c>
      <x:c r="Q173" t="str">
        <x:f>IF(OR(ISNUMBER(SEARCH("MISSING_VENDOR",R173)),ISNUMBER(SEARCH("MISSING_PART_NUMBER",R173)),ISNUMBER(SEARCH("PLACEHOLDER_PART_NUMBER",R173)),ISNUMBER(SEARCH("MISSING_REQUIRED_SPEC",R173)),ISNUMBER(SEARCH("PART_NUMBER_CONFLICT",R173)),ISNUMBER(SEARCH("SIZE_PART_MISMATCH",R173)),ISNUMBER(SEARCH("POSSIBLE_PRICE_OUTLIER",R173))),"REVIEW","ACTIVE")</x:f>
        <x:v>ACTIVE</x:v>
      </x:c>
      <x:c r="R173" t="str"/>
      <x:c r="S173" t="n">
        <x:v>184</x:v>
      </x:c>
    </x:row>
    <x:row r="174" ht="15" hidden="0" customHeight="1">
      <x:c r="A174" t="str">
        <x:v>OFFER-45FB95B47E73</x:v>
      </x:c>
      <x:c r="B174" t="str">
        <x:v>SPEC-46A9513103A2</x:v>
      </x:c>
      <x:c r="C174" t="str">
        <x:v>BST</x:v>
      </x:c>
      <x:c r="D174" t="str">
        <x:v>9K</x:v>
      </x:c>
      <x:c r="E174" t="str">
        <x:v>R</x:v>
      </x:c>
      <x:c r="F174" t="str">
        <x:v>R</x:v>
      </x:c>
      <x:c r="G174" t="str">
        <x:v>9K-3-7-R-15-C3-STK-626</x:v>
      </x:c>
      <x:c r="H174" t="str">
        <x:v>9K-3-7-R-15-C3-STK-626</x:v>
      </x:c>
      <x:c r="I174" t="str"/>
      <x:c r="J174" s="54" t="n">
        <x:v>1227</x:v>
      </x:c>
      <x:c r="K174" t="str">
        <x:v>0.24</x:v>
      </x:c>
      <x:c r="L174" s="57" t="n">
        <x:v>0.24</x:v>
      </x:c>
      <x:c r="M174" s="57"/>
      <x:c r="N174" s="54" t="n">
        <x:f>IF(J174="","",J174*(1-IF(L174="",0,L174))*(1-IF(M174="",0,M174)))</x:f>
        <x:v>932.52</x:v>
      </x:c>
      <x:c r="O174" t="str">
        <x:v>USD</x:v>
      </x:c>
      <x:c r="P174" t="str">
        <x:f>IF(J174="","UNPRICED","PRICED")</x:f>
        <x:v>PRICED</x:v>
      </x:c>
      <x:c r="Q174" t="str">
        <x:f>IF(OR(ISNUMBER(SEARCH("MISSING_VENDOR",R174)),ISNUMBER(SEARCH("MISSING_PART_NUMBER",R174)),ISNUMBER(SEARCH("PLACEHOLDER_PART_NUMBER",R174)),ISNUMBER(SEARCH("MISSING_REQUIRED_SPEC",R174)),ISNUMBER(SEARCH("PART_NUMBER_CONFLICT",R174)),ISNUMBER(SEARCH("SIZE_PART_MISMATCH",R174)),ISNUMBER(SEARCH("POSSIBLE_PRICE_OUTLIER",R174))),"REVIEW","ACTIVE")</x:f>
        <x:v>ACTIVE</x:v>
      </x:c>
      <x:c r="R174" t="str"/>
      <x:c r="S174" t="n">
        <x:v>112</x:v>
      </x:c>
    </x:row>
    <x:row r="175" ht="15" hidden="0" customHeight="1">
      <x:c r="A175" t="str">
        <x:v>OFFER-720E466A7322</x:v>
      </x:c>
      <x:c r="B175" t="str">
        <x:v>SPEC-46A9513103A2</x:v>
      </x:c>
      <x:c r="C175" t="str">
        <x:v>DH</x:v>
      </x:c>
      <x:c r="D175" t="str">
        <x:v>J-84</x:v>
      </x:c>
      <x:c r="E175" t="str">
        <x:v>F84</x:v>
      </x:c>
      <x:c r="F175" t="str">
        <x:v>F84</x:v>
      </x:c>
      <x:c r="G175" t="str">
        <x:v>78093756</x:v>
      </x:c>
      <x:c r="H175" t="str">
        <x:v>78093756 - J-84 - F - Classroom Function</x:v>
      </x:c>
      <x:c r="I175" t="str"/>
      <x:c r="J175" s="54"/>
      <x:c r="K175" t="str"/>
      <x:c r="L175" s="57"/>
      <x:c r="M175" s="57"/>
      <x:c r="N175" s="54" t="str">
        <x:f>IF(J175="","",J175*(1-IF(L175="",0,L175))*(1-IF(M175="",0,M175)))</x:f>
      </x:c>
      <x:c r="O175" t="str">
        <x:v>USD</x:v>
      </x:c>
      <x:c r="P175" t="str">
        <x:f>IF(J175="","UNPRICED","PRICED")</x:f>
        <x:v>UNPRICED</x:v>
      </x:c>
      <x:c r="Q175" t="str">
        <x:f>IF(OR(ISNUMBER(SEARCH("MISSING_VENDOR",R175)),ISNUMBER(SEARCH("MISSING_PART_NUMBER",R175)),ISNUMBER(SEARCH("PLACEHOLDER_PART_NUMBER",R175)),ISNUMBER(SEARCH("MISSING_REQUIRED_SPEC",R175)),ISNUMBER(SEARCH("PART_NUMBER_CONFLICT",R175)),ISNUMBER(SEARCH("SIZE_PART_MISMATCH",R175)),ISNUMBER(SEARCH("POSSIBLE_PRICE_OUTLIER",R175))),"REVIEW","ACTIVE")</x:f>
        <x:v>ACTIVE</x:v>
      </x:c>
      <x:c r="R175" t="str">
        <x:v>MISSING_PRICE</x:v>
      </x:c>
      <x:c r="S175" t="n">
        <x:v>150</x:v>
      </x:c>
    </x:row>
    <x:row r="176" ht="15" hidden="0" customHeight="1">
      <x:c r="A176" t="str">
        <x:v>OFFER-49E3BCBEADDD</x:v>
      </x:c>
      <x:c r="B176" t="str">
        <x:v>SPEC-46A9513103A2</x:v>
      </x:c>
      <x:c r="C176" t="str">
        <x:v>DH</x:v>
      </x:c>
      <x:c r="D176" t="str">
        <x:v>X-84</x:v>
      </x:c>
      <x:c r="E176" t="str">
        <x:v>F84</x:v>
      </x:c>
      <x:c r="F176" t="str">
        <x:v>F84</x:v>
      </x:c>
      <x:c r="G176" t="str">
        <x:v>78001760</x:v>
      </x:c>
      <x:c r="H176" t="str">
        <x:v>78001760 - X-84 - F - Classroom Function</x:v>
      </x:c>
      <x:c r="I176" t="str"/>
      <x:c r="J176" s="54"/>
      <x:c r="K176" t="str"/>
      <x:c r="L176" s="57"/>
      <x:c r="M176" s="57"/>
      <x:c r="N176" s="54" t="str">
        <x:f>IF(J176="","",J176*(1-IF(L176="",0,L176))*(1-IF(M176="",0,M176)))</x:f>
      </x:c>
      <x:c r="O176" t="str">
        <x:v>USD</x:v>
      </x:c>
      <x:c r="P176" t="str">
        <x:f>IF(J176="","UNPRICED","PRICED")</x:f>
        <x:v>UNPRICED</x:v>
      </x:c>
      <x:c r="Q176" t="str">
        <x:f>IF(OR(ISNUMBER(SEARCH("MISSING_VENDOR",R176)),ISNUMBER(SEARCH("MISSING_PART_NUMBER",R176)),ISNUMBER(SEARCH("PLACEHOLDER_PART_NUMBER",R176)),ISNUMBER(SEARCH("MISSING_REQUIRED_SPEC",R176)),ISNUMBER(SEARCH("PART_NUMBER_CONFLICT",R176)),ISNUMBER(SEARCH("SIZE_PART_MISMATCH",R176)),ISNUMBER(SEARCH("POSSIBLE_PRICE_OUTLIER",R176))),"REVIEW","ACTIVE")</x:f>
        <x:v>ACTIVE</x:v>
      </x:c>
      <x:c r="R176" t="str">
        <x:v>MISSING_PRICE</x:v>
      </x:c>
      <x:c r="S176" t="n">
        <x:v>143</x:v>
      </x:c>
    </x:row>
    <x:row r="177" ht="15" hidden="0" customHeight="1">
      <x:c r="A177" t="str">
        <x:v>OFFER-BF680F93516A</x:v>
      </x:c>
      <x:c r="B177" t="str">
        <x:v>SPEC-46A9513103A2</x:v>
      </x:c>
      <x:c r="C177" t="str">
        <x:v>DH</x:v>
      </x:c>
      <x:c r="D177" t="str">
        <x:v>Z-84</x:v>
      </x:c>
      <x:c r="E177" t="str">
        <x:v>F84</x:v>
      </x:c>
      <x:c r="F177" t="str">
        <x:v>F84</x:v>
      </x:c>
      <x:c r="G177" t="str">
        <x:v>78001845</x:v>
      </x:c>
      <x:c r="H177" t="str">
        <x:v>78001845 - Z-84 - F - Classroom Function</x:v>
      </x:c>
      <x:c r="I177" t="str"/>
      <x:c r="J177" s="54" t="n">
        <x:v>290.7</x:v>
      </x:c>
      <x:c r="K177" t="str">
        <x:v>0.26</x:v>
      </x:c>
      <x:c r="L177" s="57" t="n">
        <x:v>0.26</x:v>
      </x:c>
      <x:c r="M177" s="57"/>
      <x:c r="N177" s="54" t="n">
        <x:f>IF(J177="","",J177*(1-IF(L177="",0,L177))*(1-IF(M177="",0,M177)))</x:f>
        <x:v>215.118</x:v>
      </x:c>
      <x:c r="O177" t="str">
        <x:v>USD</x:v>
      </x:c>
      <x:c r="P177" t="str">
        <x:f>IF(J177="","UNPRICED","PRICED")</x:f>
        <x:v>PRICED</x:v>
      </x:c>
      <x:c r="Q177" t="str">
        <x:f>IF(OR(ISNUMBER(SEARCH("MISSING_VENDOR",R177)),ISNUMBER(SEARCH("MISSING_PART_NUMBER",R177)),ISNUMBER(SEARCH("PLACEHOLDER_PART_NUMBER",R177)),ISNUMBER(SEARCH("MISSING_REQUIRED_SPEC",R177)),ISNUMBER(SEARCH("PART_NUMBER_CONFLICT",R177)),ISNUMBER(SEARCH("SIZE_PART_MISMATCH",R177)),ISNUMBER(SEARCH("POSSIBLE_PRICE_OUTLIER",R177))),"REVIEW","ACTIVE")</x:f>
        <x:v>ACTIVE</x:v>
      </x:c>
      <x:c r="R177" t="str"/>
      <x:c r="S177" t="n">
        <x:v>134</x:v>
      </x:c>
    </x:row>
    <x:row r="178" ht="15" hidden="0" customHeight="1">
      <x:c r="A178" t="str">
        <x:v>OFFER-2F691E05F086</x:v>
      </x:c>
      <x:c r="B178" t="str">
        <x:v>SPEC-46A9513103A2</x:v>
      </x:c>
      <x:c r="C178" t="str">
        <x:v>DK</x:v>
      </x:c>
      <x:c r="D178" t="str">
        <x:v>C170</x:v>
      </x:c>
      <x:c r="E178" t="str">
        <x:v>F84</x:v>
      </x:c>
      <x:c r="F178" t="str">
        <x:v>F84</x:v>
      </x:c>
      <x:c r="G178" t="str">
        <x:v>C170-D-LR-C-*-*-10252-134-5001-1316</x:v>
      </x:c>
      <x:c r="H178" t="str">
        <x:v>C170-D-LR-C-*-*-10252-134-5001-1316</x:v>
      </x:c>
      <x:c r="I178" t="str"/>
      <x:c r="J178" s="54" t="n">
        <x:v>893</x:v>
      </x:c>
      <x:c r="K178" t="str"/>
      <x:c r="L178" s="57"/>
      <x:c r="M178" s="57"/>
      <x:c r="N178" s="54" t="n">
        <x:f>IF(J178="","",J178*(1-IF(L178="",0,L178))*(1-IF(M178="",0,M178)))</x:f>
        <x:v>893</x:v>
      </x:c>
      <x:c r="O178" t="str">
        <x:v>USD</x:v>
      </x:c>
      <x:c r="P178" t="str">
        <x:f>IF(J178="","UNPRICED","PRICED")</x:f>
        <x:v>PRICED</x:v>
      </x:c>
      <x:c r="Q178" t="str">
        <x:f>IF(OR(ISNUMBER(SEARCH("MISSING_VENDOR",R178)),ISNUMBER(SEARCH("MISSING_PART_NUMBER",R178)),ISNUMBER(SEARCH("PLACEHOLDER_PART_NUMBER",R178)),ISNUMBER(SEARCH("MISSING_REQUIRED_SPEC",R178)),ISNUMBER(SEARCH("PART_NUMBER_CONFLICT",R178)),ISNUMBER(SEARCH("SIZE_PART_MISMATCH",R178)),ISNUMBER(SEARCH("POSSIBLE_PRICE_OUTLIER",R178))),"REVIEW","ACTIVE")</x:f>
        <x:v>ACTIVE</x:v>
      </x:c>
      <x:c r="R178" t="str"/>
      <x:c r="S178" t="n">
        <x:v>123</x:v>
      </x:c>
    </x:row>
    <x:row r="179" ht="15" hidden="0" customHeight="1">
      <x:c r="A179" t="str">
        <x:v>OFFER-D5554E7A723A</x:v>
      </x:c>
      <x:c r="B179" t="str">
        <x:v>SPEC-46A9513103A2</x:v>
      </x:c>
      <x:c r="C179" t="str">
        <x:v>PHG</x:v>
      </x:c>
      <x:c r="D179" t="str">
        <x:v>ES</x:v>
      </x:c>
      <x:c r="E179" t="str">
        <x:v>F84</x:v>
      </x:c>
      <x:c r="F179" t="str">
        <x:v>F84</x:v>
      </x:c>
      <x:c r="G179" t="str">
        <x:v>ES509CT26D</x:v>
      </x:c>
      <x:c r="H179" t="str">
        <x:v>ES509CT26D ES-CT509 - Classroom (F84)</x:v>
      </x:c>
      <x:c r="I179" t="str"/>
      <x:c r="J179" s="54" t="n">
        <x:v>111.5</x:v>
      </x:c>
      <x:c r="K179" t="str"/>
      <x:c r="L179" s="57"/>
      <x:c r="M179" s="57"/>
      <x:c r="N179" s="54" t="n">
        <x:f>IF(J179="","",J179*(1-IF(L179="",0,L179))*(1-IF(M179="",0,M179)))</x:f>
        <x:v>111.5</x:v>
      </x:c>
      <x:c r="O179" t="str">
        <x:v>USD</x:v>
      </x:c>
      <x:c r="P179" t="str">
        <x:f>IF(J179="","UNPRICED","PRICED")</x:f>
        <x:v>PRICED</x:v>
      </x:c>
      <x:c r="Q179" t="str">
        <x:f>IF(OR(ISNUMBER(SEARCH("MISSING_VENDOR",R179)),ISNUMBER(SEARCH("MISSING_PART_NUMBER",R179)),ISNUMBER(SEARCH("PLACEHOLDER_PART_NUMBER",R179)),ISNUMBER(SEARCH("MISSING_REQUIRED_SPEC",R179)),ISNUMBER(SEARCH("PART_NUMBER_CONFLICT",R179)),ISNUMBER(SEARCH("SIZE_PART_MISMATCH",R179)),ISNUMBER(SEARCH("POSSIBLE_PRICE_OUTLIER",R179))),"REVIEW","ACTIVE")</x:f>
        <x:v>ACTIVE</x:v>
      </x:c>
      <x:c r="R179" t="str"/>
      <x:c r="S179" t="n">
        <x:v>176</x:v>
      </x:c>
    </x:row>
    <x:row r="180" ht="15" hidden="0" customHeight="1">
      <x:c r="A180" t="str">
        <x:v>OFFER-030AADA3090D</x:v>
      </x:c>
      <x:c r="B180" t="str">
        <x:v>SPEC-46A9513103A2</x:v>
      </x:c>
      <x:c r="C180" t="str">
        <x:v>PHG</x:v>
      </x:c>
      <x:c r="D180" t="str">
        <x:v>FC</x:v>
      </x:c>
      <x:c r="E180" t="str">
        <x:v>F84</x:v>
      </x:c>
      <x:c r="F180" t="str">
        <x:v>F84</x:v>
      </x:c>
      <x:c r="G180" t="str">
        <x:v>FC509CT26D</x:v>
      </x:c>
      <x:c r="H180" t="str">
        <x:v>FC509CT26D FC-CT509 - Classroom (F84)</x:v>
      </x:c>
      <x:c r="I180" t="str"/>
      <x:c r="J180" s="54" t="n">
        <x:v>202.76</x:v>
      </x:c>
      <x:c r="K180" t="str"/>
      <x:c r="L180" s="57"/>
      <x:c r="M180" s="57"/>
      <x:c r="N180" s="54" t="n">
        <x:f>IF(J180="","",J180*(1-IF(L180="",0,L180))*(1-IF(M180="",0,M180)))</x:f>
        <x:v>202.76</x:v>
      </x:c>
      <x:c r="O180" t="str">
        <x:v>USD</x:v>
      </x:c>
      <x:c r="P180" t="str">
        <x:f>IF(J180="","UNPRICED","PRICED")</x:f>
        <x:v>PRICED</x:v>
      </x:c>
      <x:c r="Q180" t="str">
        <x:f>IF(OR(ISNUMBER(SEARCH("MISSING_VENDOR",R180)),ISNUMBER(SEARCH("MISSING_PART_NUMBER",R180)),ISNUMBER(SEARCH("PLACEHOLDER_PART_NUMBER",R180)),ISNUMBER(SEARCH("MISSING_REQUIRED_SPEC",R180)),ISNUMBER(SEARCH("PART_NUMBER_CONFLICT",R180)),ISNUMBER(SEARCH("SIZE_PART_MISMATCH",R180)),ISNUMBER(SEARCH("POSSIBLE_PRICE_OUTLIER",R180))),"REVIEW","ACTIVE")</x:f>
        <x:v>ACTIVE</x:v>
      </x:c>
      <x:c r="R180" t="str"/>
      <x:c r="S180" t="n">
        <x:v>161</x:v>
      </x:c>
    </x:row>
    <x:row r="181" ht="15" hidden="0" customHeight="1">
      <x:c r="A181" t="str">
        <x:v>OFFER-B60B3162CC40</x:v>
      </x:c>
      <x:c r="B181" t="str">
        <x:v>SPEC-46A9513103A2</x:v>
      </x:c>
      <x:c r="C181" t="str">
        <x:v>PHG</x:v>
      </x:c>
      <x:c r="D181" t="str">
        <x:v>HS</x:v>
      </x:c>
      <x:c r="E181" t="str">
        <x:v>F84</x:v>
      </x:c>
      <x:c r="F181" t="str">
        <x:v>F84</x:v>
      </x:c>
      <x:c r="G181" t="str">
        <x:v>HS509CT26D</x:v>
      </x:c>
      <x:c r="H181" t="str">
        <x:v>HS509CT26D HS-CT509 - Classroom (F84)</x:v>
      </x:c>
      <x:c r="I181" t="str"/>
      <x:c r="J181" s="54" t="n">
        <x:v>93.3</x:v>
      </x:c>
      <x:c r="K181" t="str"/>
      <x:c r="L181" s="57"/>
      <x:c r="M181" s="57"/>
      <x:c r="N181" s="54" t="n">
        <x:f>IF(J181="","",J181*(1-IF(L181="",0,L181))*(1-IF(M181="",0,M181)))</x:f>
        <x:v>93.3</x:v>
      </x:c>
      <x:c r="O181" t="str">
        <x:v>USD</x:v>
      </x:c>
      <x:c r="P181" t="str">
        <x:f>IF(J181="","UNPRICED","PRICED")</x:f>
        <x:v>PRICED</x:v>
      </x:c>
      <x:c r="Q181" t="str">
        <x:f>IF(OR(ISNUMBER(SEARCH("MISSING_VENDOR",R181)),ISNUMBER(SEARCH("MISSING_PART_NUMBER",R181)),ISNUMBER(SEARCH("PLACEHOLDER_PART_NUMBER",R181)),ISNUMBER(SEARCH("MISSING_REQUIRED_SPEC",R181)),ISNUMBER(SEARCH("PART_NUMBER_CONFLICT",R181)),ISNUMBER(SEARCH("SIZE_PART_MISMATCH",R181)),ISNUMBER(SEARCH("POSSIBLE_PRICE_OUTLIER",R181))),"REVIEW","ACTIVE")</x:f>
        <x:v>ACTIVE</x:v>
      </x:c>
      <x:c r="R181" t="str"/>
      <x:c r="S181" t="n">
        <x:v>183</x:v>
      </x:c>
    </x:row>
    <x:row r="182" ht="15" hidden="0" customHeight="1">
      <x:c r="A182" t="str">
        <x:v>OFFER-87B5664375EA</x:v>
      </x:c>
      <x:c r="B182" t="str">
        <x:v>SPEC-55D2279AA3E0</x:v>
      </x:c>
      <x:c r="C182" t="str">
        <x:v>BST</x:v>
      </x:c>
      <x:c r="D182" t="str">
        <x:v>9K</x:v>
      </x:c>
      <x:c r="E182" t="str">
        <x:v>T</x:v>
      </x:c>
      <x:c r="F182" t="str">
        <x:v>T</x:v>
      </x:c>
      <x:c r="G182" t="str">
        <x:v>9K-3-7-T-15-C3-STK-626 LFIC</x:v>
      </x:c>
      <x:c r="H182" t="str">
        <x:v>9K-3-7-T-15-C3-STK-626 LFIC</x:v>
      </x:c>
      <x:c r="I182" t="str"/>
      <x:c r="J182" s="54" t="n">
        <x:v>1097</x:v>
      </x:c>
      <x:c r="K182" t="str">
        <x:v>0.24</x:v>
      </x:c>
      <x:c r="L182" s="57" t="n">
        <x:v>0.24</x:v>
      </x:c>
      <x:c r="M182" s="57"/>
      <x:c r="N182" s="54" t="n">
        <x:f>IF(J182="","",J182*(1-IF(L182="",0,L182))*(1-IF(M182="",0,M182)))</x:f>
        <x:v>833.72</x:v>
      </x:c>
      <x:c r="O182" t="str">
        <x:v>USD</x:v>
      </x:c>
      <x:c r="P182" t="str">
        <x:f>IF(J182="","UNPRICED","PRICED")</x:f>
        <x:v>PRICED</x:v>
      </x:c>
      <x:c r="Q182" t="str">
        <x:f>IF(OR(ISNUMBER(SEARCH("MISSING_VENDOR",R182)),ISNUMBER(SEARCH("MISSING_PART_NUMBER",R182)),ISNUMBER(SEARCH("PLACEHOLDER_PART_NUMBER",R182)),ISNUMBER(SEARCH("MISSING_REQUIRED_SPEC",R182)),ISNUMBER(SEARCH("PART_NUMBER_CONFLICT",R182)),ISNUMBER(SEARCH("SIZE_PART_MISMATCH",R182)),ISNUMBER(SEARCH("POSSIBLE_PRICE_OUTLIER",R182))),"REVIEW","ACTIVE")</x:f>
        <x:v>ACTIVE</x:v>
      </x:c>
      <x:c r="R182" t="str"/>
      <x:c r="S182" t="n">
        <x:v>108</x:v>
      </x:c>
    </x:row>
    <x:row r="183" ht="15" hidden="0" customHeight="1">
      <x:c r="A183" t="str">
        <x:v>OFFER-3587645A36C3</x:v>
      </x:c>
      <x:c r="B183" t="str">
        <x:v>SPEC-55D2279AA3E0</x:v>
      </x:c>
      <x:c r="C183" t="str">
        <x:v>PHG</x:v>
      </x:c>
      <x:c r="D183" t="str">
        <x:v>FC-ICS</x:v>
      </x:c>
      <x:c r="E183" t="str">
        <x:v>F90</x:v>
      </x:c>
      <x:c r="F183" t="str">
        <x:v>F90</x:v>
      </x:c>
      <x:c r="G183" t="str">
        <x:v>FC521CT26DICBS</x:v>
      </x:c>
      <x:c r="H183" t="str">
        <x:v>FC521CT26DICBS FC-CT521 - Corridor (F90) - ICS</x:v>
      </x:c>
      <x:c r="I183" t="str"/>
      <x:c r="J183" s="54" t="n">
        <x:v>227.48</x:v>
      </x:c>
      <x:c r="K183" t="str"/>
      <x:c r="L183" s="57"/>
      <x:c r="M183" s="57"/>
      <x:c r="N183" s="54" t="n">
        <x:f>IF(J183="","",J183*(1-IF(L183="",0,L183))*(1-IF(M183="",0,M183)))</x:f>
        <x:v>227.48</x:v>
      </x:c>
      <x:c r="O183" t="str">
        <x:v>USD</x:v>
      </x:c>
      <x:c r="P183" t="str">
        <x:f>IF(J183="","UNPRICED","PRICED")</x:f>
        <x:v>PRICED</x:v>
      </x:c>
      <x:c r="Q183" t="str">
        <x:f>IF(OR(ISNUMBER(SEARCH("MISSING_VENDOR",R183)),ISNUMBER(SEARCH("MISSING_PART_NUMBER",R183)),ISNUMBER(SEARCH("PLACEHOLDER_PART_NUMBER",R183)),ISNUMBER(SEARCH("MISSING_REQUIRED_SPEC",R183)),ISNUMBER(SEARCH("PART_NUMBER_CONFLICT",R183)),ISNUMBER(SEARCH("SIZE_PART_MISMATCH",R183)),ISNUMBER(SEARCH("POSSIBLE_PRICE_OUTLIER",R183))),"REVIEW","ACTIVE")</x:f>
        <x:v>ACTIVE</x:v>
      </x:c>
      <x:c r="R183" t="str"/>
      <x:c r="S183" t="n">
        <x:v>157</x:v>
      </x:c>
    </x:row>
    <x:row r="184" ht="15" hidden="0" customHeight="1">
      <x:c r="A184" t="str">
        <x:v>OFFER-B2A2482A24DC</x:v>
      </x:c>
      <x:c r="B184" t="str">
        <x:v>SPEC-478FBADD4B27</x:v>
      </x:c>
      <x:c r="C184" t="str">
        <x:v>BST</x:v>
      </x:c>
      <x:c r="D184" t="str">
        <x:v>9K</x:v>
      </x:c>
      <x:c r="E184" t="str">
        <x:v>T</x:v>
      </x:c>
      <x:c r="F184" t="str">
        <x:v>T</x:v>
      </x:c>
      <x:c r="G184" t="str">
        <x:v>9K-3-7-T-15-C3-STK-626 SFIC</x:v>
      </x:c>
      <x:c r="H184" t="str">
        <x:v>9K-3-7-T-15-C3-STK-626 SFIC</x:v>
      </x:c>
      <x:c r="I184" t="str"/>
      <x:c r="J184" s="54" t="n">
        <x:v>1097</x:v>
      </x:c>
      <x:c r="K184" t="str">
        <x:v>0.24</x:v>
      </x:c>
      <x:c r="L184" s="57" t="n">
        <x:v>0.24</x:v>
      </x:c>
      <x:c r="M184" s="57"/>
      <x:c r="N184" s="54" t="n">
        <x:f>IF(J184="","",J184*(1-IF(L184="",0,L184))*(1-IF(M184="",0,M184)))</x:f>
        <x:v>833.72</x:v>
      </x:c>
      <x:c r="O184" t="str">
        <x:v>USD</x:v>
      </x:c>
      <x:c r="P184" t="str">
        <x:f>IF(J184="","UNPRICED","PRICED")</x:f>
        <x:v>PRICED</x:v>
      </x:c>
      <x:c r="Q184" t="str">
        <x:f>IF(OR(ISNUMBER(SEARCH("MISSING_VENDOR",R184)),ISNUMBER(SEARCH("MISSING_PART_NUMBER",R184)),ISNUMBER(SEARCH("PLACEHOLDER_PART_NUMBER",R184)),ISNUMBER(SEARCH("MISSING_REQUIRED_SPEC",R184)),ISNUMBER(SEARCH("PART_NUMBER_CONFLICT",R184)),ISNUMBER(SEARCH("SIZE_PART_MISMATCH",R184)),ISNUMBER(SEARCH("POSSIBLE_PRICE_OUTLIER",R184))),"REVIEW","ACTIVE")</x:f>
        <x:v>ACTIVE</x:v>
      </x:c>
      <x:c r="R184" t="str"/>
      <x:c r="S184" t="n">
        <x:v>107</x:v>
      </x:c>
    </x:row>
    <x:row r="185" ht="15" hidden="0" customHeight="1">
      <x:c r="A185" t="str">
        <x:v>OFFER-B377DAF18401</x:v>
      </x:c>
      <x:c r="B185" t="str">
        <x:v>SPEC-478FBADD4B27</x:v>
      </x:c>
      <x:c r="C185" t="str">
        <x:v>DH</x:v>
      </x:c>
      <x:c r="D185" t="str">
        <x:v>X90 SFIC</x:v>
      </x:c>
      <x:c r="E185" t="str">
        <x:v>F90</x:v>
      </x:c>
      <x:c r="F185" t="str">
        <x:v>F90</x:v>
      </x:c>
      <x:c r="G185" t="str">
        <x:v>78001771</x:v>
      </x:c>
      <x:c r="H185" t="str">
        <x:v>78001771 - X-90IC - F - Dormitory/Corridor (SFIC - no core)</x:v>
      </x:c>
      <x:c r="I185" t="str"/>
      <x:c r="J185" s="54"/>
      <x:c r="K185" t="str"/>
      <x:c r="L185" s="57"/>
      <x:c r="M185" s="57"/>
      <x:c r="N185" s="54" t="str">
        <x:f>IF(J185="","",J185*(1-IF(L185="",0,L185))*(1-IF(M185="",0,M185)))</x:f>
      </x:c>
      <x:c r="O185" t="str">
        <x:v>USD</x:v>
      </x:c>
      <x:c r="P185" t="str">
        <x:f>IF(J185="","UNPRICED","PRICED")</x:f>
        <x:v>UNPRICED</x:v>
      </x:c>
      <x:c r="Q185" t="str">
        <x:f>IF(OR(ISNUMBER(SEARCH("MISSING_VENDOR",R185)),ISNUMBER(SEARCH("MISSING_PART_NUMBER",R185)),ISNUMBER(SEARCH("PLACEHOLDER_PART_NUMBER",R185)),ISNUMBER(SEARCH("MISSING_REQUIRED_SPEC",R185)),ISNUMBER(SEARCH("PART_NUMBER_CONFLICT",R185)),ISNUMBER(SEARCH("SIZE_PART_MISMATCH",R185)),ISNUMBER(SEARCH("POSSIBLE_PRICE_OUTLIER",R185))),"REVIEW","ACTIVE")</x:f>
        <x:v>ACTIVE</x:v>
      </x:c>
      <x:c r="R185" t="str">
        <x:v>MISSING_PRICE</x:v>
      </x:c>
      <x:c r="S185" t="n">
        <x:v>140</x:v>
      </x:c>
    </x:row>
    <x:row r="186" ht="15" hidden="0" customHeight="1">
      <x:c r="A186" t="str">
        <x:v>OFFER-5D0C83C4DD2A</x:v>
      </x:c>
      <x:c r="B186" t="str">
        <x:v>SPEC-478FBADD4B27</x:v>
      </x:c>
      <x:c r="C186" t="str">
        <x:v>DH</x:v>
      </x:c>
      <x:c r="D186" t="str">
        <x:v>Z90 SFIC</x:v>
      </x:c>
      <x:c r="E186" t="str">
        <x:v>F90</x:v>
      </x:c>
      <x:c r="F186" t="str">
        <x:v>F90</x:v>
      </x:c>
      <x:c r="G186" t="str">
        <x:v>78001852</x:v>
      </x:c>
      <x:c r="H186" t="str">
        <x:v>78001852 - Z-90IC - F - Dormitory/Corridor (SFIC - no core)</x:v>
      </x:c>
      <x:c r="I186" t="str"/>
      <x:c r="J186" s="54" t="n">
        <x:v>290.7</x:v>
      </x:c>
      <x:c r="K186" t="str">
        <x:v>0.26</x:v>
      </x:c>
      <x:c r="L186" s="57" t="n">
        <x:v>0.26</x:v>
      </x:c>
      <x:c r="M186" s="57"/>
      <x:c r="N186" s="54" t="n">
        <x:f>IF(J186="","",J186*(1-IF(L186="",0,L186))*(1-IF(M186="",0,M186)))</x:f>
        <x:v>215.118</x:v>
      </x:c>
      <x:c r="O186" t="str">
        <x:v>USD</x:v>
      </x:c>
      <x:c r="P186" t="str">
        <x:f>IF(J186="","UNPRICED","PRICED")</x:f>
        <x:v>PRICED</x:v>
      </x:c>
      <x:c r="Q186" t="str">
        <x:f>IF(OR(ISNUMBER(SEARCH("MISSING_VENDOR",R186)),ISNUMBER(SEARCH("MISSING_PART_NUMBER",R186)),ISNUMBER(SEARCH("PLACEHOLDER_PART_NUMBER",R186)),ISNUMBER(SEARCH("MISSING_REQUIRED_SPEC",R186)),ISNUMBER(SEARCH("PART_NUMBER_CONFLICT",R186)),ISNUMBER(SEARCH("SIZE_PART_MISMATCH",R186)),ISNUMBER(SEARCH("POSSIBLE_PRICE_OUTLIER",R186))),"REVIEW","ACTIVE")</x:f>
        <x:v>ACTIVE</x:v>
      </x:c>
      <x:c r="R186" t="str"/>
      <x:c r="S186" t="n">
        <x:v>131</x:v>
      </x:c>
    </x:row>
    <x:row r="187" ht="15" hidden="0" customHeight="1">
      <x:c r="A187" t="str">
        <x:v>OFFER-7CDA65B72519</x:v>
      </x:c>
      <x:c r="B187" t="str">
        <x:v>SPEC-478FBADD4B27</x:v>
      </x:c>
      <x:c r="C187" t="str">
        <x:v>DK</x:v>
      </x:c>
      <x:c r="D187" t="str">
        <x:v>C173-J</x:v>
      </x:c>
      <x:c r="E187" t="str">
        <x:v>F90</x:v>
      </x:c>
      <x:c r="F187" t="str">
        <x:v>F90</x:v>
      </x:c>
      <x:c r="G187" t="str">
        <x:v>C173-J-LR-C-*-*-10252-134-5001-1316</x:v>
      </x:c>
      <x:c r="H187" t="str">
        <x:v>C173-J-LR-C-*-*-10252-134-5001-1316</x:v>
      </x:c>
      <x:c r="I187" t="str"/>
      <x:c r="J187" s="54" t="n">
        <x:v>921</x:v>
      </x:c>
      <x:c r="K187" t="str"/>
      <x:c r="L187" s="57"/>
      <x:c r="M187" s="57"/>
      <x:c r="N187" s="54" t="n">
        <x:f>IF(J187="","",J187*(1-IF(L187="",0,L187))*(1-IF(M187="",0,M187)))</x:f>
        <x:v>921</x:v>
      </x:c>
      <x:c r="O187" t="str">
        <x:v>USD</x:v>
      </x:c>
      <x:c r="P187" t="str">
        <x:f>IF(J187="","UNPRICED","PRICED")</x:f>
        <x:v>PRICED</x:v>
      </x:c>
      <x:c r="Q187" t="str">
        <x:f>IF(OR(ISNUMBER(SEARCH("MISSING_VENDOR",R187)),ISNUMBER(SEARCH("MISSING_PART_NUMBER",R187)),ISNUMBER(SEARCH("PLACEHOLDER_PART_NUMBER",R187)),ISNUMBER(SEARCH("MISSING_REQUIRED_SPEC",R187)),ISNUMBER(SEARCH("PART_NUMBER_CONFLICT",R187)),ISNUMBER(SEARCH("SIZE_PART_MISMATCH",R187)),ISNUMBER(SEARCH("POSSIBLE_PRICE_OUTLIER",R187))),"REVIEW","ACTIVE")</x:f>
        <x:v>ACTIVE</x:v>
      </x:c>
      <x:c r="R187" t="str"/>
      <x:c r="S187" t="n">
        <x:v>120</x:v>
      </x:c>
    </x:row>
    <x:row r="188" ht="15" hidden="0" customHeight="1">
      <x:c r="A188" t="str">
        <x:v>OFFER-1B81D083768F</x:v>
      </x:c>
      <x:c r="B188" t="str">
        <x:v>SPEC-478FBADD4B27</x:v>
      </x:c>
      <x:c r="C188" t="str">
        <x:v>PHG</x:v>
      </x:c>
      <x:c r="D188" t="str">
        <x:v>ES-ICB</x:v>
      </x:c>
      <x:c r="E188" t="str">
        <x:v>F90</x:v>
      </x:c>
      <x:c r="F188" t="str">
        <x:v>F90</x:v>
      </x:c>
      <x:c r="G188" t="str">
        <x:v>ES521CT26DICB</x:v>
      </x:c>
      <x:c r="H188" t="str">
        <x:v>ES521CT26DICB ES-CT521 - Corridor (F90) - ICB</x:v>
      </x:c>
      <x:c r="I188" t="str"/>
      <x:c r="J188" s="54" t="n">
        <x:v>121.93</x:v>
      </x:c>
      <x:c r="K188" t="str"/>
      <x:c r="L188" s="57"/>
      <x:c r="M188" s="57"/>
      <x:c r="N188" s="54" t="n">
        <x:f>IF(J188="","",J188*(1-IF(L188="",0,L188))*(1-IF(M188="",0,M188)))</x:f>
        <x:v>121.93</x:v>
      </x:c>
      <x:c r="O188" t="str">
        <x:v>USD</x:v>
      </x:c>
      <x:c r="P188" t="str">
        <x:f>IF(J188="","UNPRICED","PRICED")</x:f>
        <x:v>PRICED</x:v>
      </x:c>
      <x:c r="Q188" t="str">
        <x:f>IF(OR(ISNUMBER(SEARCH("MISSING_VENDOR",R188)),ISNUMBER(SEARCH("MISSING_PART_NUMBER",R188)),ISNUMBER(SEARCH("PLACEHOLDER_PART_NUMBER",R188)),ISNUMBER(SEARCH("MISSING_REQUIRED_SPEC",R188)),ISNUMBER(SEARCH("PART_NUMBER_CONFLICT",R188)),ISNUMBER(SEARCH("SIZE_PART_MISMATCH",R188)),ISNUMBER(SEARCH("POSSIBLE_PRICE_OUTLIER",R188))),"REVIEW","ACTIVE")</x:f>
        <x:v>ACTIVE</x:v>
      </x:c>
      <x:c r="R188" t="str"/>
      <x:c r="S188" t="n">
        <x:v>173</x:v>
      </x:c>
    </x:row>
    <x:row r="189" ht="15" hidden="0" customHeight="1">
      <x:c r="A189" t="str">
        <x:v>OFFER-FEF760E69C49</x:v>
      </x:c>
      <x:c r="B189" t="str">
        <x:v>SPEC-478FBADD4B27</x:v>
      </x:c>
      <x:c r="C189" t="str">
        <x:v>PHG</x:v>
      </x:c>
      <x:c r="D189" t="str">
        <x:v>FC-ICB</x:v>
      </x:c>
      <x:c r="E189" t="str">
        <x:v>F90</x:v>
      </x:c>
      <x:c r="F189" t="str">
        <x:v>F90</x:v>
      </x:c>
      <x:c r="G189" t="str">
        <x:v>FC521CT26DICB</x:v>
      </x:c>
      <x:c r="H189" t="str">
        <x:v>FC521CT26DICB FC-CT521 - Corridor (F90) - ICB</x:v>
      </x:c>
      <x:c r="I189" t="str"/>
      <x:c r="J189" s="54" t="n">
        <x:v>202.76</x:v>
      </x:c>
      <x:c r="K189" t="str"/>
      <x:c r="L189" s="57"/>
      <x:c r="M189" s="57"/>
      <x:c r="N189" s="54" t="n">
        <x:f>IF(J189="","",J189*(1-IF(L189="",0,L189))*(1-IF(M189="",0,M189)))</x:f>
        <x:v>202.76</x:v>
      </x:c>
      <x:c r="O189" t="str">
        <x:v>USD</x:v>
      </x:c>
      <x:c r="P189" t="str">
        <x:f>IF(J189="","UNPRICED","PRICED")</x:f>
        <x:v>PRICED</x:v>
      </x:c>
      <x:c r="Q189" t="str">
        <x:f>IF(OR(ISNUMBER(SEARCH("MISSING_VENDOR",R189)),ISNUMBER(SEARCH("MISSING_PART_NUMBER",R189)),ISNUMBER(SEARCH("PLACEHOLDER_PART_NUMBER",R189)),ISNUMBER(SEARCH("MISSING_REQUIRED_SPEC",R189)),ISNUMBER(SEARCH("PART_NUMBER_CONFLICT",R189)),ISNUMBER(SEARCH("SIZE_PART_MISMATCH",R189)),ISNUMBER(SEARCH("POSSIBLE_PRICE_OUTLIER",R189))),"REVIEW","ACTIVE")</x:f>
        <x:v>ACTIVE</x:v>
      </x:c>
      <x:c r="R189" t="str"/>
      <x:c r="S189" t="n">
        <x:v>156</x:v>
      </x:c>
    </x:row>
    <x:row r="190" ht="15" hidden="0" customHeight="1">
      <x:c r="A190" t="str">
        <x:v>OFFER-B50CC186D69F</x:v>
      </x:c>
      <x:c r="B190" t="str">
        <x:v>SPEC-FDC7690E5163</x:v>
      </x:c>
      <x:c r="C190" t="str">
        <x:v>BST</x:v>
      </x:c>
      <x:c r="D190" t="str">
        <x:v>9K</x:v>
      </x:c>
      <x:c r="E190" t="str">
        <x:v>T</x:v>
      </x:c>
      <x:c r="F190" t="str">
        <x:v>T</x:v>
      </x:c>
      <x:c r="G190" t="str">
        <x:v>9K-3-7-T-15-C3-STK-626</x:v>
      </x:c>
      <x:c r="H190" t="str">
        <x:v>9K-3-7-T-15-C3-STK-626</x:v>
      </x:c>
      <x:c r="I190" t="str"/>
      <x:c r="J190" s="54" t="n">
        <x:v>1227</x:v>
      </x:c>
      <x:c r="K190" t="str">
        <x:v>0.24</x:v>
      </x:c>
      <x:c r="L190" s="57" t="n">
        <x:v>0.24</x:v>
      </x:c>
      <x:c r="M190" s="57"/>
      <x:c r="N190" s="54" t="n">
        <x:f>IF(J190="","",J190*(1-IF(L190="",0,L190))*(1-IF(M190="",0,M190)))</x:f>
        <x:v>932.52</x:v>
      </x:c>
      <x:c r="O190" t="str">
        <x:v>USD</x:v>
      </x:c>
      <x:c r="P190" t="str">
        <x:f>IF(J190="","UNPRICED","PRICED")</x:f>
        <x:v>PRICED</x:v>
      </x:c>
      <x:c r="Q190" t="str">
        <x:f>IF(OR(ISNUMBER(SEARCH("MISSING_VENDOR",R190)),ISNUMBER(SEARCH("MISSING_PART_NUMBER",R190)),ISNUMBER(SEARCH("PLACEHOLDER_PART_NUMBER",R190)),ISNUMBER(SEARCH("MISSING_REQUIRED_SPEC",R190)),ISNUMBER(SEARCH("PART_NUMBER_CONFLICT",R190)),ISNUMBER(SEARCH("SIZE_PART_MISMATCH",R190)),ISNUMBER(SEARCH("POSSIBLE_PRICE_OUTLIER",R190))),"REVIEW","ACTIVE")</x:f>
        <x:v>ACTIVE</x:v>
      </x:c>
      <x:c r="R190" t="str"/>
      <x:c r="S190" t="n">
        <x:v>106</x:v>
      </x:c>
    </x:row>
    <x:row r="191" ht="15" hidden="0" customHeight="1">
      <x:c r="A191" t="str">
        <x:v>OFFER-00C8B0ED6B07</x:v>
      </x:c>
      <x:c r="B191" t="str">
        <x:v>SPEC-FDC7690E5163</x:v>
      </x:c>
      <x:c r="C191" t="str">
        <x:v>DH</x:v>
      </x:c>
      <x:c r="D191" t="str">
        <x:v>X90</x:v>
      </x:c>
      <x:c r="E191" t="str">
        <x:v>F90</x:v>
      </x:c>
      <x:c r="F191" t="str">
        <x:v>F90</x:v>
      </x:c>
      <x:c r="G191" t="str">
        <x:v>78001770</x:v>
      </x:c>
      <x:c r="H191" t="str">
        <x:v>78001770 - X-90 - F - Dormitory/Corridor</x:v>
      </x:c>
      <x:c r="I191" t="str"/>
      <x:c r="J191" s="54"/>
      <x:c r="K191" t="str"/>
      <x:c r="L191" s="57"/>
      <x:c r="M191" s="57"/>
      <x:c r="N191" s="54" t="str">
        <x:f>IF(J191="","",J191*(1-IF(L191="",0,L191))*(1-IF(M191="",0,M191)))</x:f>
      </x:c>
      <x:c r="O191" t="str">
        <x:v>USD</x:v>
      </x:c>
      <x:c r="P191" t="str">
        <x:f>IF(J191="","UNPRICED","PRICED")</x:f>
        <x:v>UNPRICED</x:v>
      </x:c>
      <x:c r="Q191" t="str">
        <x:f>IF(OR(ISNUMBER(SEARCH("MISSING_VENDOR",R191)),ISNUMBER(SEARCH("MISSING_PART_NUMBER",R191)),ISNUMBER(SEARCH("PLACEHOLDER_PART_NUMBER",R191)),ISNUMBER(SEARCH("MISSING_REQUIRED_SPEC",R191)),ISNUMBER(SEARCH("PART_NUMBER_CONFLICT",R191)),ISNUMBER(SEARCH("SIZE_PART_MISMATCH",R191)),ISNUMBER(SEARCH("POSSIBLE_PRICE_OUTLIER",R191))),"REVIEW","ACTIVE")</x:f>
        <x:v>ACTIVE</x:v>
      </x:c>
      <x:c r="R191" t="str">
        <x:v>MISSING_PRICE</x:v>
      </x:c>
      <x:c r="S191" t="n">
        <x:v>139</x:v>
      </x:c>
    </x:row>
    <x:row r="192" ht="15" hidden="0" customHeight="1">
      <x:c r="A192" t="str">
        <x:v>OFFER-C32131532D24</x:v>
      </x:c>
      <x:c r="B192" t="str">
        <x:v>SPEC-FDC7690E5163</x:v>
      </x:c>
      <x:c r="C192" t="str">
        <x:v>DH</x:v>
      </x:c>
      <x:c r="D192" t="str">
        <x:v>Z90</x:v>
      </x:c>
      <x:c r="E192" t="str">
        <x:v>F90</x:v>
      </x:c>
      <x:c r="F192" t="str">
        <x:v>F90</x:v>
      </x:c>
      <x:c r="G192" t="str">
        <x:v>78001851</x:v>
      </x:c>
      <x:c r="H192" t="str">
        <x:v>78001851 - Z-90 - F - Dormitory/Corridor Function</x:v>
      </x:c>
      <x:c r="I192" t="str"/>
      <x:c r="J192" s="54" t="n">
        <x:v>290.7</x:v>
      </x:c>
      <x:c r="K192" t="str">
        <x:v>0.26</x:v>
      </x:c>
      <x:c r="L192" s="57" t="n">
        <x:v>0.26</x:v>
      </x:c>
      <x:c r="M192" s="57"/>
      <x:c r="N192" s="54" t="n">
        <x:f>IF(J192="","",J192*(1-IF(L192="",0,L192))*(1-IF(M192="",0,M192)))</x:f>
        <x:v>215.118</x:v>
      </x:c>
      <x:c r="O192" t="str">
        <x:v>USD</x:v>
      </x:c>
      <x:c r="P192" t="str">
        <x:f>IF(J192="","UNPRICED","PRICED")</x:f>
        <x:v>PRICED</x:v>
      </x:c>
      <x:c r="Q192" t="str">
        <x:f>IF(OR(ISNUMBER(SEARCH("MISSING_VENDOR",R192)),ISNUMBER(SEARCH("MISSING_PART_NUMBER",R192)),ISNUMBER(SEARCH("PLACEHOLDER_PART_NUMBER",R192)),ISNUMBER(SEARCH("MISSING_REQUIRED_SPEC",R192)),ISNUMBER(SEARCH("PART_NUMBER_CONFLICT",R192)),ISNUMBER(SEARCH("SIZE_PART_MISMATCH",R192)),ISNUMBER(SEARCH("POSSIBLE_PRICE_OUTLIER",R192))),"REVIEW","ACTIVE")</x:f>
        <x:v>ACTIVE</x:v>
      </x:c>
      <x:c r="R192" t="str"/>
      <x:c r="S192" t="n">
        <x:v>130</x:v>
      </x:c>
    </x:row>
    <x:row r="193" ht="15" hidden="0" customHeight="1">
      <x:c r="A193" t="str">
        <x:v>OFFER-07B0F39118B2</x:v>
      </x:c>
      <x:c r="B193" t="str">
        <x:v>SPEC-FDC7690E5163</x:v>
      </x:c>
      <x:c r="C193" t="str">
        <x:v>DK</x:v>
      </x:c>
      <x:c r="D193" t="str">
        <x:v>C173</x:v>
      </x:c>
      <x:c r="E193" t="str">
        <x:v>F90</x:v>
      </x:c>
      <x:c r="F193" t="str">
        <x:v>F90</x:v>
      </x:c>
      <x:c r="G193" t="str">
        <x:v>C173-D-LR-C-*-*-10252-134-5001-1316</x:v>
      </x:c>
      <x:c r="H193" t="str">
        <x:v>C173-D-LR-C-*-*-10252-134-5001-1316</x:v>
      </x:c>
      <x:c r="I193" t="str"/>
      <x:c r="J193" s="54" t="n">
        <x:v>921</x:v>
      </x:c>
      <x:c r="K193" t="str"/>
      <x:c r="L193" s="57"/>
      <x:c r="M193" s="57"/>
      <x:c r="N193" s="54" t="n">
        <x:f>IF(J193="","",J193*(1-IF(L193="",0,L193))*(1-IF(M193="",0,M193)))</x:f>
        <x:v>921</x:v>
      </x:c>
      <x:c r="O193" t="str">
        <x:v>USD</x:v>
      </x:c>
      <x:c r="P193" t="str">
        <x:f>IF(J193="","UNPRICED","PRICED")</x:f>
        <x:v>PRICED</x:v>
      </x:c>
      <x:c r="Q193" t="str">
        <x:f>IF(OR(ISNUMBER(SEARCH("MISSING_VENDOR",R193)),ISNUMBER(SEARCH("MISSING_PART_NUMBER",R193)),ISNUMBER(SEARCH("PLACEHOLDER_PART_NUMBER",R193)),ISNUMBER(SEARCH("MISSING_REQUIRED_SPEC",R193)),ISNUMBER(SEARCH("PART_NUMBER_CONFLICT",R193)),ISNUMBER(SEARCH("SIZE_PART_MISMATCH",R193)),ISNUMBER(SEARCH("POSSIBLE_PRICE_OUTLIER",R193))),"REVIEW","ACTIVE")</x:f>
        <x:v>ACTIVE</x:v>
      </x:c>
      <x:c r="R193" t="str"/>
      <x:c r="S193" t="n">
        <x:v>119</x:v>
      </x:c>
    </x:row>
    <x:row r="194" ht="15" hidden="0" customHeight="1">
      <x:c r="A194" t="str">
        <x:v>OFFER-B8BB4E1C8C11</x:v>
      </x:c>
      <x:c r="B194" t="str">
        <x:v>SPEC-FDC7690E5163</x:v>
      </x:c>
      <x:c r="C194" t="str">
        <x:v>PHG</x:v>
      </x:c>
      <x:c r="D194" t="str">
        <x:v>ES</x:v>
      </x:c>
      <x:c r="E194" t="str">
        <x:v>F90</x:v>
      </x:c>
      <x:c r="F194" t="str">
        <x:v>F90</x:v>
      </x:c>
      <x:c r="G194" t="str">
        <x:v>ES521CT26D</x:v>
      </x:c>
      <x:c r="H194" t="str">
        <x:v>ES521CT26D ES-CT521 - Corridor (F90)</x:v>
      </x:c>
      <x:c r="I194" t="str"/>
      <x:c r="J194" s="54" t="n">
        <x:v>111.5</x:v>
      </x:c>
      <x:c r="K194" t="str"/>
      <x:c r="L194" s="57"/>
      <x:c r="M194" s="57"/>
      <x:c r="N194" s="54" t="n">
        <x:f>IF(J194="","",J194*(1-IF(L194="",0,L194))*(1-IF(M194="",0,M194)))</x:f>
        <x:v>111.5</x:v>
      </x:c>
      <x:c r="O194" t="str">
        <x:v>USD</x:v>
      </x:c>
      <x:c r="P194" t="str">
        <x:f>IF(J194="","UNPRICED","PRICED")</x:f>
        <x:v>PRICED</x:v>
      </x:c>
      <x:c r="Q194" t="str">
        <x:f>IF(OR(ISNUMBER(SEARCH("MISSING_VENDOR",R194)),ISNUMBER(SEARCH("MISSING_PART_NUMBER",R194)),ISNUMBER(SEARCH("PLACEHOLDER_PART_NUMBER",R194)),ISNUMBER(SEARCH("MISSING_REQUIRED_SPEC",R194)),ISNUMBER(SEARCH("PART_NUMBER_CONFLICT",R194)),ISNUMBER(SEARCH("SIZE_PART_MISMATCH",R194)),ISNUMBER(SEARCH("POSSIBLE_PRICE_OUTLIER",R194))),"REVIEW","ACTIVE")</x:f>
        <x:v>ACTIVE</x:v>
      </x:c>
      <x:c r="R194" t="str"/>
      <x:c r="S194" t="n">
        <x:v>172</x:v>
      </x:c>
    </x:row>
    <x:row r="195" ht="15" hidden="0" customHeight="1">
      <x:c r="A195" t="str">
        <x:v>OFFER-B12806FEEFE9</x:v>
      </x:c>
      <x:c r="B195" t="str">
        <x:v>SPEC-FDC7690E5163</x:v>
      </x:c>
      <x:c r="C195" t="str">
        <x:v>PHG</x:v>
      </x:c>
      <x:c r="D195" t="str">
        <x:v>FC</x:v>
      </x:c>
      <x:c r="E195" t="str">
        <x:v>F90</x:v>
      </x:c>
      <x:c r="F195" t="str">
        <x:v>F90</x:v>
      </x:c>
      <x:c r="G195" t="str">
        <x:v>FC521CT26D</x:v>
      </x:c>
      <x:c r="H195" t="str">
        <x:v>FC521CT26D FC-CT521 - Corridor (F90)</x:v>
      </x:c>
      <x:c r="I195" t="str"/>
      <x:c r="J195" s="54" t="n">
        <x:v>202.76</x:v>
      </x:c>
      <x:c r="K195" t="str"/>
      <x:c r="L195" s="57"/>
      <x:c r="M195" s="57"/>
      <x:c r="N195" s="54" t="n">
        <x:f>IF(J195="","",J195*(1-IF(L195="",0,L195))*(1-IF(M195="",0,M195)))</x:f>
        <x:v>202.76</x:v>
      </x:c>
      <x:c r="O195" t="str">
        <x:v>USD</x:v>
      </x:c>
      <x:c r="P195" t="str">
        <x:f>IF(J195="","UNPRICED","PRICED")</x:f>
        <x:v>PRICED</x:v>
      </x:c>
      <x:c r="Q195" t="str">
        <x:f>IF(OR(ISNUMBER(SEARCH("MISSING_VENDOR",R195)),ISNUMBER(SEARCH("MISSING_PART_NUMBER",R195)),ISNUMBER(SEARCH("PLACEHOLDER_PART_NUMBER",R195)),ISNUMBER(SEARCH("MISSING_REQUIRED_SPEC",R195)),ISNUMBER(SEARCH("PART_NUMBER_CONFLICT",R195)),ISNUMBER(SEARCH("SIZE_PART_MISMATCH",R195)),ISNUMBER(SEARCH("POSSIBLE_PRICE_OUTLIER",R195))),"REVIEW","ACTIVE")</x:f>
        <x:v>ACTIVE</x:v>
      </x:c>
      <x:c r="R195" t="str"/>
      <x:c r="S195" t="n">
        <x:v>155</x:v>
      </x:c>
    </x:row>
    <x:row r="196" ht="15" hidden="0" customHeight="1">
      <x:c r="A196" t="str">
        <x:v>OFFER-679DE7412EBF</x:v>
      </x:c>
      <x:c r="B196" t="str">
        <x:v>SPEC-E99F2405E5BB</x:v>
      </x:c>
      <x:c r="C196" t="str">
        <x:v>BST</x:v>
      </x:c>
      <x:c r="D196" t="str">
        <x:v>9K</x:v>
      </x:c>
      <x:c r="E196" t="str">
        <x:v>AB</x:v>
      </x:c>
      <x:c r="F196" t="str">
        <x:v>AB</x:v>
      </x:c>
      <x:c r="G196" t="str">
        <x:v>9K-3-7-AB-15-C3-STK-626 LFIC</x:v>
      </x:c>
      <x:c r="H196" t="str">
        <x:v>9K-3-7-AB-15-C3-STK-626 LFIC</x:v>
      </x:c>
      <x:c r="I196" t="str"/>
      <x:c r="J196" s="54" t="n">
        <x:v>1097</x:v>
      </x:c>
      <x:c r="K196" t="str">
        <x:v>0.24</x:v>
      </x:c>
      <x:c r="L196" s="57" t="n">
        <x:v>0.24</x:v>
      </x:c>
      <x:c r="M196" s="57"/>
      <x:c r="N196" s="54" t="n">
        <x:f>IF(J196="","",J196*(1-IF(L196="",0,L196))*(1-IF(M196="",0,M196)))</x:f>
        <x:v>833.72</x:v>
      </x:c>
      <x:c r="O196" t="str">
        <x:v>USD</x:v>
      </x:c>
      <x:c r="P196" t="str">
        <x:f>IF(J196="","UNPRICED","PRICED")</x:f>
        <x:v>PRICED</x:v>
      </x:c>
      <x:c r="Q196" t="str">
        <x:f>IF(OR(ISNUMBER(SEARCH("MISSING_VENDOR",R196)),ISNUMBER(SEARCH("MISSING_PART_NUMBER",R196)),ISNUMBER(SEARCH("PLACEHOLDER_PART_NUMBER",R196)),ISNUMBER(SEARCH("MISSING_REQUIRED_SPEC",R196)),ISNUMBER(SEARCH("PART_NUMBER_CONFLICT",R196)),ISNUMBER(SEARCH("SIZE_PART_MISMATCH",R196)),ISNUMBER(SEARCH("POSSIBLE_PRICE_OUTLIER",R196))),"REVIEW","ACTIVE")</x:f>
        <x:v>ACTIVE</x:v>
      </x:c>
      <x:c r="R196" t="str"/>
      <x:c r="S196" t="n">
        <x:v>117</x:v>
      </x:c>
    </x:row>
    <x:row r="197" ht="15" hidden="0" customHeight="1">
      <x:c r="A197" t="str">
        <x:v>OFFER-FE4BDC399484</x:v>
      </x:c>
      <x:c r="B197" t="str">
        <x:v>SPEC-95A42CF7F9AC</x:v>
      </x:c>
      <x:c r="C197" t="str">
        <x:v>PHG</x:v>
      </x:c>
      <x:c r="D197" t="str">
        <x:v>FC-EL-ICS</x:v>
      </x:c>
      <x:c r="E197" t="str">
        <x:v>F86</x:v>
      </x:c>
      <x:c r="F197" t="str">
        <x:v>F86</x:v>
      </x:c>
      <x:c r="G197" t="str">
        <x:v>FC500CT26DEUICS</x:v>
      </x:c>
      <x:c r="H197" t="str">
        <x:v>FC500CT26DEUICS FC-CT500 - Electrified - EU (Fail Secure) - ICS</x:v>
      </x:c>
      <x:c r="I197" t="str"/>
      <x:c r="J197" s="54" t="n">
        <x:v>394.99</x:v>
      </x:c>
      <x:c r="K197" t="str"/>
      <x:c r="L197" s="57"/>
      <x:c r="M197" s="57"/>
      <x:c r="N197" s="54" t="n">
        <x:f>IF(J197="","",J197*(1-IF(L197="",0,L197))*(1-IF(M197="",0,M197)))</x:f>
        <x:v>394.99</x:v>
      </x:c>
      <x:c r="O197" t="str">
        <x:v>USD</x:v>
      </x:c>
      <x:c r="P197" t="str">
        <x:f>IF(J197="","UNPRICED","PRICED")</x:f>
        <x:v>PRICED</x:v>
      </x:c>
      <x:c r="Q197" t="str">
        <x:f>IF(OR(ISNUMBER(SEARCH("MISSING_VENDOR",R197)),ISNUMBER(SEARCH("MISSING_PART_NUMBER",R197)),ISNUMBER(SEARCH("PLACEHOLDER_PART_NUMBER",R197)),ISNUMBER(SEARCH("MISSING_REQUIRED_SPEC",R197)),ISNUMBER(SEARCH("PART_NUMBER_CONFLICT",R197)),ISNUMBER(SEARCH("SIZE_PART_MISMATCH",R197)),ISNUMBER(SEARCH("POSSIBLE_PRICE_OUTLIER",R197))),"REVIEW","ACTIVE")</x:f>
        <x:v>ACTIVE</x:v>
      </x:c>
      <x:c r="R197" t="str"/>
      <x:c r="S197" t="n">
        <x:v>170</x:v>
      </x:c>
    </x:row>
    <x:row r="198" ht="15" hidden="0" customHeight="1">
      <x:c r="A198" t="str">
        <x:v>OFFER-9497C6E540A4</x:v>
      </x:c>
      <x:c r="B198" t="str">
        <x:v>SPEC-E99F2405E5BB</x:v>
      </x:c>
      <x:c r="C198" t="str">
        <x:v>PHG</x:v>
      </x:c>
      <x:c r="D198" t="str">
        <x:v>FC-ICS</x:v>
      </x:c>
      <x:c r="E198" t="str">
        <x:v>F109-82</x:v>
      </x:c>
      <x:c r="F198" t="str">
        <x:v>F109-82</x:v>
      </x:c>
      <x:c r="G198" t="str">
        <x:v>FC500CT26DICS</x:v>
      </x:c>
      <x:c r="H198" t="str">
        <x:v>FC500CT26DICS FC-CT500 - Entry (F109) - ICS</x:v>
      </x:c>
      <x:c r="I198" t="str"/>
      <x:c r="J198" s="54" t="n">
        <x:v>210.89</x:v>
      </x:c>
      <x:c r="K198" t="str"/>
      <x:c r="L198" s="57"/>
      <x:c r="M198" s="57"/>
      <x:c r="N198" s="54" t="n">
        <x:f>IF(J198="","",J198*(1-IF(L198="",0,L198))*(1-IF(M198="",0,M198)))</x:f>
        <x:v>210.89</x:v>
      </x:c>
      <x:c r="O198" t="str">
        <x:v>USD</x:v>
      </x:c>
      <x:c r="P198" t="str">
        <x:f>IF(J198="","UNPRICED","PRICED")</x:f>
        <x:v>PRICED</x:v>
      </x:c>
      <x:c r="Q198" t="str">
        <x:f>IF(OR(ISNUMBER(SEARCH("MISSING_VENDOR",R198)),ISNUMBER(SEARCH("MISSING_PART_NUMBER",R198)),ISNUMBER(SEARCH("PLACEHOLDER_PART_NUMBER",R198)),ISNUMBER(SEARCH("MISSING_REQUIRED_SPEC",R198)),ISNUMBER(SEARCH("PART_NUMBER_CONFLICT",R198)),ISNUMBER(SEARCH("SIZE_PART_MISMATCH",R198)),ISNUMBER(SEARCH("POSSIBLE_PRICE_OUTLIER",R198))),"REVIEW","ACTIVE")</x:f>
        <x:v>ACTIVE</x:v>
      </x:c>
      <x:c r="R198" t="str"/>
      <x:c r="S198" t="n">
        <x:v>166</x:v>
      </x:c>
    </x:row>
    <x:row r="199" ht="15" hidden="0" customHeight="1">
      <x:c r="A199" t="str">
        <x:v>OFFER-BA0BD7B741FF</x:v>
      </x:c>
      <x:c r="B199" t="str">
        <x:v>SPEC-1B29D52847DA</x:v>
      </x:c>
      <x:c r="C199" t="str">
        <x:v>BST</x:v>
      </x:c>
      <x:c r="D199" t="str">
        <x:v>9K</x:v>
      </x:c>
      <x:c r="E199" t="str">
        <x:v>AB</x:v>
      </x:c>
      <x:c r="F199" t="str">
        <x:v>AB</x:v>
      </x:c>
      <x:c r="G199" t="str">
        <x:v>9K-3-7-AB-15-C3-STK-626 SFIC</x:v>
      </x:c>
      <x:c r="H199" t="str">
        <x:v>9K-3-7-AB-15-C3-STK-626 SFIC</x:v>
      </x:c>
      <x:c r="I199" t="str"/>
      <x:c r="J199" s="54" t="n">
        <x:v>1097</x:v>
      </x:c>
      <x:c r="K199" t="str">
        <x:v>0.24</x:v>
      </x:c>
      <x:c r="L199" s="57" t="n">
        <x:v>0.24</x:v>
      </x:c>
      <x:c r="M199" s="57"/>
      <x:c r="N199" s="54" t="n">
        <x:f>IF(J199="","",J199*(1-IF(L199="",0,L199))*(1-IF(M199="",0,M199)))</x:f>
        <x:v>833.72</x:v>
      </x:c>
      <x:c r="O199" t="str">
        <x:v>USD</x:v>
      </x:c>
      <x:c r="P199" t="str">
        <x:f>IF(J199="","UNPRICED","PRICED")</x:f>
        <x:v>PRICED</x:v>
      </x:c>
      <x:c r="Q199" t="str">
        <x:f>IF(OR(ISNUMBER(SEARCH("MISSING_VENDOR",R199)),ISNUMBER(SEARCH("MISSING_PART_NUMBER",R199)),ISNUMBER(SEARCH("PLACEHOLDER_PART_NUMBER",R199)),ISNUMBER(SEARCH("MISSING_REQUIRED_SPEC",R199)),ISNUMBER(SEARCH("PART_NUMBER_CONFLICT",R199)),ISNUMBER(SEARCH("SIZE_PART_MISMATCH",R199)),ISNUMBER(SEARCH("POSSIBLE_PRICE_OUTLIER",R199))),"REVIEW","ACTIVE")</x:f>
        <x:v>ACTIVE</x:v>
      </x:c>
      <x:c r="R199" t="str"/>
      <x:c r="S199" t="n">
        <x:v>116</x:v>
      </x:c>
    </x:row>
    <x:row r="200" ht="15" hidden="0" customHeight="1">
      <x:c r="A200" t="str">
        <x:v>OFFER-04A72A153D2B</x:v>
      </x:c>
      <x:c r="B200" t="str">
        <x:v>SPEC-1B29D52847DA</x:v>
      </x:c>
      <x:c r="C200" t="str">
        <x:v>DH</x:v>
      </x:c>
      <x:c r="D200" t="str">
        <x:v>J-82 SFIC</x:v>
      </x:c>
      <x:c r="E200" t="str">
        <x:v>F82</x:v>
      </x:c>
      <x:c r="F200" t="str">
        <x:v>F82</x:v>
      </x:c>
      <x:c r="G200" t="str">
        <x:v>78093755</x:v>
      </x:c>
      <x:c r="H200" t="str">
        <x:v>78093755 - J-82IC - F - Entry Function (SFIC - no core)</x:v>
      </x:c>
      <x:c r="I200" t="str"/>
      <x:c r="J200" s="54"/>
      <x:c r="K200" t="str"/>
      <x:c r="L200" s="57"/>
      <x:c r="M200" s="57"/>
      <x:c r="N200" s="54" t="str">
        <x:f>IF(J200="","",J200*(1-IF(L200="",0,L200))*(1-IF(M200="",0,M200)))</x:f>
      </x:c>
      <x:c r="O200" t="str">
        <x:v>USD</x:v>
      </x:c>
      <x:c r="P200" t="str">
        <x:f>IF(J200="","UNPRICED","PRICED")</x:f>
        <x:v>UNPRICED</x:v>
      </x:c>
      <x:c r="Q200" t="str">
        <x:f>IF(OR(ISNUMBER(SEARCH("MISSING_VENDOR",R200)),ISNUMBER(SEARCH("MISSING_PART_NUMBER",R200)),ISNUMBER(SEARCH("PLACEHOLDER_PART_NUMBER",R200)),ISNUMBER(SEARCH("MISSING_REQUIRED_SPEC",R200)),ISNUMBER(SEARCH("PART_NUMBER_CONFLICT",R200)),ISNUMBER(SEARCH("SIZE_PART_MISMATCH",R200)),ISNUMBER(SEARCH("POSSIBLE_PRICE_OUTLIER",R200))),"REVIEW","ACTIVE")</x:f>
        <x:v>ACTIVE</x:v>
      </x:c>
      <x:c r="R200" t="str">
        <x:v>MISSING_PRICE</x:v>
      </x:c>
      <x:c r="S200" t="n">
        <x:v>153</x:v>
      </x:c>
    </x:row>
    <x:row r="201" ht="15" hidden="0" customHeight="1">
      <x:c r="A201" t="str">
        <x:v>OFFER-0440914A9B71</x:v>
      </x:c>
      <x:c r="B201" t="str">
        <x:v>SPEC-1B29D52847DA</x:v>
      </x:c>
      <x:c r="C201" t="str">
        <x:v>DH</x:v>
      </x:c>
      <x:c r="D201" t="str">
        <x:v>X-82 SFIC</x:v>
      </x:c>
      <x:c r="E201" t="str">
        <x:v>F82</x:v>
      </x:c>
      <x:c r="F201" t="str">
        <x:v>F82</x:v>
      </x:c>
      <x:c r="G201" t="str">
        <x:v>78001759</x:v>
      </x:c>
      <x:c r="H201" t="str">
        <x:v>78001759 - X-82IC - F - Entry (SFIC - no core)</x:v>
      </x:c>
      <x:c r="I201" t="str"/>
      <x:c r="J201" s="54"/>
      <x:c r="K201" t="str"/>
      <x:c r="L201" s="57"/>
      <x:c r="M201" s="57"/>
      <x:c r="N201" s="54" t="str">
        <x:f>IF(J201="","",J201*(1-IF(L201="",0,L201))*(1-IF(M201="",0,M201)))</x:f>
      </x:c>
      <x:c r="O201" t="str">
        <x:v>USD</x:v>
      </x:c>
      <x:c r="P201" t="str">
        <x:f>IF(J201="","UNPRICED","PRICED")</x:f>
        <x:v>UNPRICED</x:v>
      </x:c>
      <x:c r="Q201" t="str">
        <x:f>IF(OR(ISNUMBER(SEARCH("MISSING_VENDOR",R201)),ISNUMBER(SEARCH("MISSING_PART_NUMBER",R201)),ISNUMBER(SEARCH("PLACEHOLDER_PART_NUMBER",R201)),ISNUMBER(SEARCH("MISSING_REQUIRED_SPEC",R201)),ISNUMBER(SEARCH("PART_NUMBER_CONFLICT",R201)),ISNUMBER(SEARCH("SIZE_PART_MISMATCH",R201)),ISNUMBER(SEARCH("POSSIBLE_PRICE_OUTLIER",R201))),"REVIEW","ACTIVE")</x:f>
        <x:v>ACTIVE</x:v>
      </x:c>
      <x:c r="R201" t="str">
        <x:v>MISSING_PRICE</x:v>
      </x:c>
      <x:c r="S201" t="n">
        <x:v>146</x:v>
      </x:c>
    </x:row>
    <x:row r="202" ht="15" hidden="0" customHeight="1">
      <x:c r="A202" t="str">
        <x:v>OFFER-8FD8D63E79B2</x:v>
      </x:c>
      <x:c r="B202" t="str">
        <x:v>SPEC-1B29D52847DA</x:v>
      </x:c>
      <x:c r="C202" t="str">
        <x:v>DH</x:v>
      </x:c>
      <x:c r="D202" t="str">
        <x:v>Z-82 SFIC</x:v>
      </x:c>
      <x:c r="E202" t="str">
        <x:v>F82</x:v>
      </x:c>
      <x:c r="F202" t="str">
        <x:v>F82</x:v>
      </x:c>
      <x:c r="G202" t="str">
        <x:v>78001844</x:v>
      </x:c>
      <x:c r="H202" t="str">
        <x:v>78001844 - Z-82IC - F - Entry (SFIC - no core)</x:v>
      </x:c>
      <x:c r="I202" t="str"/>
      <x:c r="J202" s="54" t="n">
        <x:v>290.7</x:v>
      </x:c>
      <x:c r="K202" t="str">
        <x:v>0.26</x:v>
      </x:c>
      <x:c r="L202" s="57" t="n">
        <x:v>0.26</x:v>
      </x:c>
      <x:c r="M202" s="57"/>
      <x:c r="N202" s="54" t="n">
        <x:f>IF(J202="","",J202*(1-IF(L202="",0,L202))*(1-IF(M202="",0,M202)))</x:f>
        <x:v>215.118</x:v>
      </x:c>
      <x:c r="O202" t="str">
        <x:v>USD</x:v>
      </x:c>
      <x:c r="P202" t="str">
        <x:f>IF(J202="","UNPRICED","PRICED")</x:f>
        <x:v>PRICED</x:v>
      </x:c>
      <x:c r="Q202" t="str">
        <x:f>IF(OR(ISNUMBER(SEARCH("MISSING_VENDOR",R202)),ISNUMBER(SEARCH("MISSING_PART_NUMBER",R202)),ISNUMBER(SEARCH("PLACEHOLDER_PART_NUMBER",R202)),ISNUMBER(SEARCH("MISSING_REQUIRED_SPEC",R202)),ISNUMBER(SEARCH("PART_NUMBER_CONFLICT",R202)),ISNUMBER(SEARCH("SIZE_PART_MISMATCH",R202)),ISNUMBER(SEARCH("POSSIBLE_PRICE_OUTLIER",R202))),"REVIEW","ACTIVE")</x:f>
        <x:v>ACTIVE</x:v>
      </x:c>
      <x:c r="R202" t="str"/>
      <x:c r="S202" t="n">
        <x:v>137</x:v>
      </x:c>
    </x:row>
    <x:row r="203" ht="15" hidden="0" customHeight="1">
      <x:c r="A203" t="str">
        <x:v>OFFER-774C843A63AE</x:v>
      </x:c>
      <x:c r="B203" t="str">
        <x:v>SPEC-1B29D52847DA</x:v>
      </x:c>
      <x:c r="C203" t="str">
        <x:v>DK</x:v>
      </x:c>
      <x:c r="D203" t="str">
        <x:v>C150J</x:v>
      </x:c>
      <x:c r="E203" t="str">
        <x:v>F109-82</x:v>
      </x:c>
      <x:c r="F203" t="str">
        <x:v>F109-82</x:v>
      </x:c>
      <x:c r="G203" t="str">
        <x:v>C150-J-LR-C-*-*-10252-134-5001-1316</x:v>
      </x:c>
      <x:c r="H203" t="str">
        <x:v>C150-J-LR-C-*-*-10252-134-5001-1316</x:v>
      </x:c>
      <x:c r="I203" t="str"/>
      <x:c r="J203" s="54" t="n">
        <x:v>116.88</x:v>
      </x:c>
      <x:c r="K203" t="str"/>
      <x:c r="L203" s="57"/>
      <x:c r="M203" s="57"/>
      <x:c r="N203" s="54" t="n">
        <x:f>IF(J203="","",J203*(1-IF(L203="",0,L203))*(1-IF(M203="",0,M203)))</x:f>
        <x:v>116.88</x:v>
      </x:c>
      <x:c r="O203" t="str">
        <x:v>USD</x:v>
      </x:c>
      <x:c r="P203" t="str">
        <x:f>IF(J203="","UNPRICED","PRICED")</x:f>
        <x:v>PRICED</x:v>
      </x:c>
      <x:c r="Q203" t="str">
        <x:f>IF(OR(ISNUMBER(SEARCH("MISSING_VENDOR",R203)),ISNUMBER(SEARCH("MISSING_PART_NUMBER",R203)),ISNUMBER(SEARCH("PLACEHOLDER_PART_NUMBER",R203)),ISNUMBER(SEARCH("MISSING_REQUIRED_SPEC",R203)),ISNUMBER(SEARCH("PART_NUMBER_CONFLICT",R203)),ISNUMBER(SEARCH("SIZE_PART_MISMATCH",R203)),ISNUMBER(SEARCH("POSSIBLE_PRICE_OUTLIER",R203))),"REVIEW","ACTIVE")</x:f>
        <x:v>REVIEW</x:v>
      </x:c>
      <x:c r="R203" t="str">
        <x:v>POSSIBLE_PRICE_OUTLIER</x:v>
      </x:c>
      <x:c r="S203" t="n">
        <x:v>126</x:v>
      </x:c>
    </x:row>
    <x:row r="204" ht="15" hidden="0" customHeight="1">
      <x:c r="A204" t="str">
        <x:v>OFFER-C129260CCDE6</x:v>
      </x:c>
      <x:c r="B204" t="str">
        <x:v>SPEC-1B29D52847DA</x:v>
      </x:c>
      <x:c r="C204" t="str">
        <x:v>PHG</x:v>
      </x:c>
      <x:c r="D204" t="str">
        <x:v>ES-ICB</x:v>
      </x:c>
      <x:c r="E204" t="str">
        <x:v>F109-82</x:v>
      </x:c>
      <x:c r="F204" t="str">
        <x:v>F109-82</x:v>
      </x:c>
      <x:c r="G204" t="str">
        <x:v>ES500CT26DICB</x:v>
      </x:c>
      <x:c r="H204" t="str">
        <x:v>ES500CT26DICB ES-CT500 - Entry (F109) - ICB</x:v>
      </x:c>
      <x:c r="I204" t="str"/>
      <x:c r="J204" s="54" t="n">
        <x:v>116.88</x:v>
      </x:c>
      <x:c r="K204" t="str"/>
      <x:c r="L204" s="57"/>
      <x:c r="M204" s="57"/>
      <x:c r="N204" s="54" t="n">
        <x:f>IF(J204="","",J204*(1-IF(L204="",0,L204))*(1-IF(M204="",0,M204)))</x:f>
        <x:v>116.88</x:v>
      </x:c>
      <x:c r="O204" t="str">
        <x:v>USD</x:v>
      </x:c>
      <x:c r="P204" t="str">
        <x:f>IF(J204="","UNPRICED","PRICED")</x:f>
        <x:v>PRICED</x:v>
      </x:c>
      <x:c r="Q204" t="str">
        <x:f>IF(OR(ISNUMBER(SEARCH("MISSING_VENDOR",R204)),ISNUMBER(SEARCH("MISSING_PART_NUMBER",R204)),ISNUMBER(SEARCH("PLACEHOLDER_PART_NUMBER",R204)),ISNUMBER(SEARCH("MISSING_REQUIRED_SPEC",R204)),ISNUMBER(SEARCH("PART_NUMBER_CONFLICT",R204)),ISNUMBER(SEARCH("SIZE_PART_MISMATCH",R204)),ISNUMBER(SEARCH("POSSIBLE_PRICE_OUTLIER",R204))),"REVIEW","ACTIVE")</x:f>
        <x:v>ACTIVE</x:v>
      </x:c>
      <x:c r="R204" t="str"/>
      <x:c r="S204" t="n">
        <x:v>179</x:v>
      </x:c>
    </x:row>
    <x:row r="205" ht="15" hidden="0" customHeight="1">
      <x:c r="A205" t="str">
        <x:v>OFFER-A37D66D945EB</x:v>
      </x:c>
      <x:c r="B205" t="str">
        <x:v>SPEC-20084902F758</x:v>
      </x:c>
      <x:c r="C205" t="str">
        <x:v>PHG</x:v>
      </x:c>
      <x:c r="D205" t="str">
        <x:v>FC-EL-ICB</x:v>
      </x:c>
      <x:c r="E205" t="str">
        <x:v>F90</x:v>
      </x:c>
      <x:c r="F205" t="str">
        <x:v>F90</x:v>
      </x:c>
      <x:c r="G205" t="str">
        <x:v>FC500CT26DEUICB</x:v>
      </x:c>
      <x:c r="H205" t="str">
        <x:v>FC500CT26DEUICB FC-CT500 - Electrified - EU (Fail Secure) - ICB</x:v>
      </x:c>
      <x:c r="I205" t="str"/>
      <x:c r="J205" s="54" t="n">
        <x:v>359.08</x:v>
      </x:c>
      <x:c r="K205" t="str"/>
      <x:c r="L205" s="57"/>
      <x:c r="M205" s="57"/>
      <x:c r="N205" s="54" t="n">
        <x:f>IF(J205="","",J205*(1-IF(L205="",0,L205))*(1-IF(M205="",0,M205)))</x:f>
        <x:v>359.08</x:v>
      </x:c>
      <x:c r="O205" t="str">
        <x:v>USD</x:v>
      </x:c>
      <x:c r="P205" t="str">
        <x:f>IF(J205="","UNPRICED","PRICED")</x:f>
        <x:v>PRICED</x:v>
      </x:c>
      <x:c r="Q205" t="str">
        <x:f>IF(OR(ISNUMBER(SEARCH("MISSING_VENDOR",R205)),ISNUMBER(SEARCH("MISSING_PART_NUMBER",R205)),ISNUMBER(SEARCH("PLACEHOLDER_PART_NUMBER",R205)),ISNUMBER(SEARCH("MISSING_REQUIRED_SPEC",R205)),ISNUMBER(SEARCH("PART_NUMBER_CONFLICT",R205)),ISNUMBER(SEARCH("SIZE_PART_MISMATCH",R205)),ISNUMBER(SEARCH("POSSIBLE_PRICE_OUTLIER",R205))),"REVIEW","ACTIVE")</x:f>
        <x:v>ACTIVE</x:v>
      </x:c>
      <x:c r="R205" t="str"/>
      <x:c r="S205" t="n">
        <x:v>169</x:v>
      </x:c>
    </x:row>
    <x:row r="206" ht="15" hidden="0" customHeight="1">
      <x:c r="A206" t="str">
        <x:v>OFFER-AB3224C29961</x:v>
      </x:c>
      <x:c r="B206" t="str">
        <x:v>SPEC-1B29D52847DA</x:v>
      </x:c>
      <x:c r="C206" t="str">
        <x:v>PHG</x:v>
      </x:c>
      <x:c r="D206" t="str">
        <x:v>FC-ICB</x:v>
      </x:c>
      <x:c r="E206" t="str">
        <x:v>F109-82</x:v>
      </x:c>
      <x:c r="F206" t="str">
        <x:v>F109-82</x:v>
      </x:c>
      <x:c r="G206" t="str">
        <x:v>FC500CT26DICB</x:v>
      </x:c>
      <x:c r="H206" t="str">
        <x:v>FC500CT26DICB FC-CT500 - Entry (F109) - ICB</x:v>
      </x:c>
      <x:c r="I206" t="str"/>
      <x:c r="J206" s="54" t="n">
        <x:v>168.53</x:v>
      </x:c>
      <x:c r="K206" t="str"/>
      <x:c r="L206" s="57"/>
      <x:c r="M206" s="57"/>
      <x:c r="N206" s="54" t="n">
        <x:f>IF(J206="","",J206*(1-IF(L206="",0,L206))*(1-IF(M206="",0,M206)))</x:f>
        <x:v>168.53</x:v>
      </x:c>
      <x:c r="O206" t="str">
        <x:v>USD</x:v>
      </x:c>
      <x:c r="P206" t="str">
        <x:f>IF(J206="","UNPRICED","PRICED")</x:f>
        <x:v>PRICED</x:v>
      </x:c>
      <x:c r="Q206" t="str">
        <x:f>IF(OR(ISNUMBER(SEARCH("MISSING_VENDOR",R206)),ISNUMBER(SEARCH("MISSING_PART_NUMBER",R206)),ISNUMBER(SEARCH("PLACEHOLDER_PART_NUMBER",R206)),ISNUMBER(SEARCH("MISSING_REQUIRED_SPEC",R206)),ISNUMBER(SEARCH("PART_NUMBER_CONFLICT",R206)),ISNUMBER(SEARCH("SIZE_PART_MISMATCH",R206)),ISNUMBER(SEARCH("POSSIBLE_PRICE_OUTLIER",R206))),"REVIEW","ACTIVE")</x:f>
        <x:v>ACTIVE</x:v>
      </x:c>
      <x:c r="R206" t="str"/>
      <x:c r="S206" t="n">
        <x:v>165</x:v>
      </x:c>
    </x:row>
    <x:row r="207" ht="15" hidden="0" customHeight="1">
      <x:c r="A207" t="str">
        <x:v>OFFER-44C380FC2895</x:v>
      </x:c>
      <x:c r="B207" t="str">
        <x:v>SPEC-1B29D52847DA</x:v>
      </x:c>
      <x:c r="C207" t="str">
        <x:v>PHG</x:v>
      </x:c>
      <x:c r="D207" t="str">
        <x:v>HS-ICB</x:v>
      </x:c>
      <x:c r="E207" t="str">
        <x:v>F109-82</x:v>
      </x:c>
      <x:c r="F207" t="str">
        <x:v>F109-82</x:v>
      </x:c>
      <x:c r="G207" t="str">
        <x:v>HS500CT26DICB</x:v>
      </x:c>
      <x:c r="H207" t="str">
        <x:v>HS500CT26DICB HS-CT500 - Entry (F109) - ICB</x:v>
      </x:c>
      <x:c r="I207" t="str"/>
      <x:c r="J207" s="54" t="n">
        <x:v>100.76</x:v>
      </x:c>
      <x:c r="K207" t="str"/>
      <x:c r="L207" s="57"/>
      <x:c r="M207" s="57"/>
      <x:c r="N207" s="54" t="n">
        <x:f>IF(J207="","",J207*(1-IF(L207="",0,L207))*(1-IF(M207="",0,M207)))</x:f>
        <x:v>100.76</x:v>
      </x:c>
      <x:c r="O207" t="str">
        <x:v>USD</x:v>
      </x:c>
      <x:c r="P207" t="str">
        <x:f>IF(J207="","UNPRICED","PRICED")</x:f>
        <x:v>PRICED</x:v>
      </x:c>
      <x:c r="Q207" t="str">
        <x:f>IF(OR(ISNUMBER(SEARCH("MISSING_VENDOR",R207)),ISNUMBER(SEARCH("MISSING_PART_NUMBER",R207)),ISNUMBER(SEARCH("PLACEHOLDER_PART_NUMBER",R207)),ISNUMBER(SEARCH("MISSING_REQUIRED_SPEC",R207)),ISNUMBER(SEARCH("PART_NUMBER_CONFLICT",R207)),ISNUMBER(SEARCH("SIZE_PART_MISMATCH",R207)),ISNUMBER(SEARCH("POSSIBLE_PRICE_OUTLIER",R207))),"REVIEW","ACTIVE")</x:f>
        <x:v>ACTIVE</x:v>
      </x:c>
      <x:c r="R207" t="str"/>
      <x:c r="S207" t="n">
        <x:v>186</x:v>
      </x:c>
    </x:row>
    <x:row r="208" ht="15" hidden="0" customHeight="1">
      <x:c r="A208" t="str">
        <x:v>OFFER-B7DA3422137A</x:v>
      </x:c>
      <x:c r="B208" t="str">
        <x:v>SPEC-298651EAB3F0</x:v>
      </x:c>
      <x:c r="C208" t="str">
        <x:v>BST</x:v>
      </x:c>
      <x:c r="D208" t="str">
        <x:v>9K</x:v>
      </x:c>
      <x:c r="E208" t="str">
        <x:v>AB</x:v>
      </x:c>
      <x:c r="F208" t="str">
        <x:v>AB</x:v>
      </x:c>
      <x:c r="G208" t="str">
        <x:v>9K-3-7-AB-15-C3-STK-626</x:v>
      </x:c>
      <x:c r="H208" t="str">
        <x:v>9K-3-7-AB-15-C3-STK-626</x:v>
      </x:c>
      <x:c r="I208" t="str"/>
      <x:c r="J208" s="54" t="n">
        <x:v>1227</x:v>
      </x:c>
      <x:c r="K208" t="str">
        <x:v>0.24</x:v>
      </x:c>
      <x:c r="L208" s="57" t="n">
        <x:v>0.24</x:v>
      </x:c>
      <x:c r="M208" s="57"/>
      <x:c r="N208" s="54" t="n">
        <x:f>IF(J208="","",J208*(1-IF(L208="",0,L208))*(1-IF(M208="",0,M208)))</x:f>
        <x:v>932.52</x:v>
      </x:c>
      <x:c r="O208" t="str">
        <x:v>USD</x:v>
      </x:c>
      <x:c r="P208" t="str">
        <x:f>IF(J208="","UNPRICED","PRICED")</x:f>
        <x:v>PRICED</x:v>
      </x:c>
      <x:c r="Q208" t="str">
        <x:f>IF(OR(ISNUMBER(SEARCH("MISSING_VENDOR",R208)),ISNUMBER(SEARCH("MISSING_PART_NUMBER",R208)),ISNUMBER(SEARCH("PLACEHOLDER_PART_NUMBER",R208)),ISNUMBER(SEARCH("MISSING_REQUIRED_SPEC",R208)),ISNUMBER(SEARCH("PART_NUMBER_CONFLICT",R208)),ISNUMBER(SEARCH("SIZE_PART_MISMATCH",R208)),ISNUMBER(SEARCH("POSSIBLE_PRICE_OUTLIER",R208))),"REVIEW","ACTIVE")</x:f>
        <x:v>ACTIVE</x:v>
      </x:c>
      <x:c r="R208" t="str"/>
      <x:c r="S208" t="n">
        <x:v>115</x:v>
      </x:c>
    </x:row>
    <x:row r="209" ht="15" hidden="0" customHeight="1">
      <x:c r="A209" t="str">
        <x:v>OFFER-CE566201C1EC</x:v>
      </x:c>
      <x:c r="B209" t="str">
        <x:v>SPEC-298651EAB3F0</x:v>
      </x:c>
      <x:c r="C209" t="str">
        <x:v>DH</x:v>
      </x:c>
      <x:c r="D209" t="str">
        <x:v>J-82</x:v>
      </x:c>
      <x:c r="E209" t="str">
        <x:v>F82</x:v>
      </x:c>
      <x:c r="F209" t="str">
        <x:v>F82</x:v>
      </x:c>
      <x:c r="G209" t="str">
        <x:v>78093754</x:v>
      </x:c>
      <x:c r="H209" t="str">
        <x:v>78093754 - J-82 - F - Entry Function</x:v>
      </x:c>
      <x:c r="I209" t="str"/>
      <x:c r="J209" s="54"/>
      <x:c r="K209" t="str"/>
      <x:c r="L209" s="57"/>
      <x:c r="M209" s="57"/>
      <x:c r="N209" s="54" t="str">
        <x:f>IF(J209="","",J209*(1-IF(L209="",0,L209))*(1-IF(M209="",0,M209)))</x:f>
      </x:c>
      <x:c r="O209" t="str">
        <x:v>USD</x:v>
      </x:c>
      <x:c r="P209" t="str">
        <x:f>IF(J209="","UNPRICED","PRICED")</x:f>
        <x:v>UNPRICED</x:v>
      </x:c>
      <x:c r="Q209" t="str">
        <x:f>IF(OR(ISNUMBER(SEARCH("MISSING_VENDOR",R209)),ISNUMBER(SEARCH("MISSING_PART_NUMBER",R209)),ISNUMBER(SEARCH("PLACEHOLDER_PART_NUMBER",R209)),ISNUMBER(SEARCH("MISSING_REQUIRED_SPEC",R209)),ISNUMBER(SEARCH("PART_NUMBER_CONFLICT",R209)),ISNUMBER(SEARCH("SIZE_PART_MISMATCH",R209)),ISNUMBER(SEARCH("POSSIBLE_PRICE_OUTLIER",R209))),"REVIEW","ACTIVE")</x:f>
        <x:v>ACTIVE</x:v>
      </x:c>
      <x:c r="R209" t="str">
        <x:v>MISSING_PRICE</x:v>
      </x:c>
      <x:c r="S209" t="n">
        <x:v>152</x:v>
      </x:c>
    </x:row>
    <x:row r="210" ht="15" hidden="0" customHeight="1">
      <x:c r="A210" t="str">
        <x:v>OFFER-B1A403C8D453</x:v>
      </x:c>
      <x:c r="B210" t="str">
        <x:v>SPEC-298651EAB3F0</x:v>
      </x:c>
      <x:c r="C210" t="str">
        <x:v>DH</x:v>
      </x:c>
      <x:c r="D210" t="str">
        <x:v>X-82</x:v>
      </x:c>
      <x:c r="E210" t="str">
        <x:v>F82</x:v>
      </x:c>
      <x:c r="F210" t="str">
        <x:v>F82</x:v>
      </x:c>
      <x:c r="G210" t="str">
        <x:v>78001756</x:v>
      </x:c>
      <x:c r="H210" t="str">
        <x:v>78001756 - X-82 - F - Entry Function</x:v>
      </x:c>
      <x:c r="I210" t="str"/>
      <x:c r="J210" s="54"/>
      <x:c r="K210" t="str"/>
      <x:c r="L210" s="57"/>
      <x:c r="M210" s="57"/>
      <x:c r="N210" s="54" t="str">
        <x:f>IF(J210="","",J210*(1-IF(L210="",0,L210))*(1-IF(M210="",0,M210)))</x:f>
      </x:c>
      <x:c r="O210" t="str">
        <x:v>USD</x:v>
      </x:c>
      <x:c r="P210" t="str">
        <x:f>IF(J210="","UNPRICED","PRICED")</x:f>
        <x:v>UNPRICED</x:v>
      </x:c>
      <x:c r="Q210" t="str">
        <x:f>IF(OR(ISNUMBER(SEARCH("MISSING_VENDOR",R210)),ISNUMBER(SEARCH("MISSING_PART_NUMBER",R210)),ISNUMBER(SEARCH("PLACEHOLDER_PART_NUMBER",R210)),ISNUMBER(SEARCH("MISSING_REQUIRED_SPEC",R210)),ISNUMBER(SEARCH("PART_NUMBER_CONFLICT",R210)),ISNUMBER(SEARCH("SIZE_PART_MISMATCH",R210)),ISNUMBER(SEARCH("POSSIBLE_PRICE_OUTLIER",R210))),"REVIEW","ACTIVE")</x:f>
        <x:v>ACTIVE</x:v>
      </x:c>
      <x:c r="R210" t="str">
        <x:v>MISSING_PRICE</x:v>
      </x:c>
      <x:c r="S210" t="n">
        <x:v>145</x:v>
      </x:c>
    </x:row>
    <x:row r="211" ht="15" hidden="0" customHeight="1">
      <x:c r="A211" t="str">
        <x:v>OFFER-12499BAFD07E</x:v>
      </x:c>
      <x:c r="B211" t="str">
        <x:v>SPEC-298651EAB3F0</x:v>
      </x:c>
      <x:c r="C211" t="str">
        <x:v>DH</x:v>
      </x:c>
      <x:c r="D211" t="str">
        <x:v>Z-82</x:v>
      </x:c>
      <x:c r="E211" t="str">
        <x:v>F82</x:v>
      </x:c>
      <x:c r="F211" t="str">
        <x:v>F82</x:v>
      </x:c>
      <x:c r="G211" t="str">
        <x:v>78001843</x:v>
      </x:c>
      <x:c r="H211" t="str">
        <x:v>78001843 - Z-82 - F - Entry Function</x:v>
      </x:c>
      <x:c r="I211" t="str"/>
      <x:c r="J211" s="54" t="n">
        <x:v>290.7</x:v>
      </x:c>
      <x:c r="K211" t="str">
        <x:v>0.26</x:v>
      </x:c>
      <x:c r="L211" s="57" t="n">
        <x:v>0.26</x:v>
      </x:c>
      <x:c r="M211" s="57"/>
      <x:c r="N211" s="54" t="n">
        <x:f>IF(J211="","",J211*(1-IF(L211="",0,L211))*(1-IF(M211="",0,M211)))</x:f>
        <x:v>215.118</x:v>
      </x:c>
      <x:c r="O211" t="str">
        <x:v>USD</x:v>
      </x:c>
      <x:c r="P211" t="str">
        <x:f>IF(J211="","UNPRICED","PRICED")</x:f>
        <x:v>PRICED</x:v>
      </x:c>
      <x:c r="Q211" t="str">
        <x:f>IF(OR(ISNUMBER(SEARCH("MISSING_VENDOR",R211)),ISNUMBER(SEARCH("MISSING_PART_NUMBER",R211)),ISNUMBER(SEARCH("PLACEHOLDER_PART_NUMBER",R211)),ISNUMBER(SEARCH("MISSING_REQUIRED_SPEC",R211)),ISNUMBER(SEARCH("PART_NUMBER_CONFLICT",R211)),ISNUMBER(SEARCH("SIZE_PART_MISMATCH",R211)),ISNUMBER(SEARCH("POSSIBLE_PRICE_OUTLIER",R211))),"REVIEW","ACTIVE")</x:f>
        <x:v>ACTIVE</x:v>
      </x:c>
      <x:c r="R211" t="str"/>
      <x:c r="S211" t="n">
        <x:v>136</x:v>
      </x:c>
    </x:row>
    <x:row r="212" ht="15" hidden="0" customHeight="1">
      <x:c r="A212" t="str">
        <x:v>OFFER-CF9767EEC07F</x:v>
      </x:c>
      <x:c r="B212" t="str">
        <x:v>SPEC-298651EAB3F0</x:v>
      </x:c>
      <x:c r="C212" t="str">
        <x:v>DK</x:v>
      </x:c>
      <x:c r="D212" t="str">
        <x:v>C150</x:v>
      </x:c>
      <x:c r="E212" t="str">
        <x:v>F109-82</x:v>
      </x:c>
      <x:c r="F212" t="str">
        <x:v>F109-82</x:v>
      </x:c>
      <x:c r="G212" t="str">
        <x:v>C150-D-LR-C-*-*-10252-134-5001-1316</x:v>
      </x:c>
      <x:c r="H212" t="str">
        <x:v>C150-D-LR-C-*-*-10252-134-5001-1316</x:v>
      </x:c>
      <x:c r="I212" t="str"/>
      <x:c r="J212" s="54" t="n">
        <x:v>106.88</x:v>
      </x:c>
      <x:c r="K212" t="str"/>
      <x:c r="L212" s="57"/>
      <x:c r="M212" s="57"/>
      <x:c r="N212" s="54" t="n">
        <x:f>IF(J212="","",J212*(1-IF(L212="",0,L212))*(1-IF(M212="",0,M212)))</x:f>
        <x:v>106.88</x:v>
      </x:c>
      <x:c r="O212" t="str">
        <x:v>USD</x:v>
      </x:c>
      <x:c r="P212" t="str">
        <x:f>IF(J212="","UNPRICED","PRICED")</x:f>
        <x:v>PRICED</x:v>
      </x:c>
      <x:c r="Q212" t="str">
        <x:f>IF(OR(ISNUMBER(SEARCH("MISSING_VENDOR",R212)),ISNUMBER(SEARCH("MISSING_PART_NUMBER",R212)),ISNUMBER(SEARCH("PLACEHOLDER_PART_NUMBER",R212)),ISNUMBER(SEARCH("MISSING_REQUIRED_SPEC",R212)),ISNUMBER(SEARCH("PART_NUMBER_CONFLICT",R212)),ISNUMBER(SEARCH("SIZE_PART_MISMATCH",R212)),ISNUMBER(SEARCH("POSSIBLE_PRICE_OUTLIER",R212))),"REVIEW","ACTIVE")</x:f>
        <x:v>REVIEW</x:v>
      </x:c>
      <x:c r="R212" t="str">
        <x:v>POSSIBLE_PRICE_OUTLIER</x:v>
      </x:c>
      <x:c r="S212" t="n">
        <x:v>125</x:v>
      </x:c>
    </x:row>
    <x:row r="213" ht="15" hidden="0" customHeight="1">
      <x:c r="A213" t="str">
        <x:v>OFFER-392B449BDFDB</x:v>
      </x:c>
      <x:c r="B213" t="str">
        <x:v>SPEC-4F3533C4A796</x:v>
      </x:c>
      <x:c r="C213" t="str">
        <x:v>DK</x:v>
      </x:c>
      <x:c r="D213" t="str">
        <x:v>C180EL</x:v>
      </x:c>
      <x:c r="E213" t="str">
        <x:v>F109-82</x:v>
      </x:c>
      <x:c r="F213" t="str">
        <x:v>F109-82</x:v>
      </x:c>
      <x:c r="G213" t="str">
        <x:v>C180EL-D-LR-C-*-*-10252-134-5001-1316</x:v>
      </x:c>
      <x:c r="H213" t="str">
        <x:v>C180EL-D-LR-C-*-*-10252-134-5001-1316</x:v>
      </x:c>
      <x:c r="I213" t="str"/>
      <x:c r="J213" s="54" t="n">
        <x:v>116.88</x:v>
      </x:c>
      <x:c r="K213" t="str"/>
      <x:c r="L213" s="57"/>
      <x:c r="M213" s="57"/>
      <x:c r="N213" s="54" t="n">
        <x:f>IF(J213="","",J213*(1-IF(L213="",0,L213))*(1-IF(M213="",0,M213)))</x:f>
        <x:v>116.88</x:v>
      </x:c>
      <x:c r="O213" t="str">
        <x:v>USD</x:v>
      </x:c>
      <x:c r="P213" t="str">
        <x:f>IF(J213="","UNPRICED","PRICED")</x:f>
        <x:v>PRICED</x:v>
      </x:c>
      <x:c r="Q213" t="str">
        <x:f>IF(OR(ISNUMBER(SEARCH("MISSING_VENDOR",R213)),ISNUMBER(SEARCH("MISSING_PART_NUMBER",R213)),ISNUMBER(SEARCH("PLACEHOLDER_PART_NUMBER",R213)),ISNUMBER(SEARCH("MISSING_REQUIRED_SPEC",R213)),ISNUMBER(SEARCH("PART_NUMBER_CONFLICT",R213)),ISNUMBER(SEARCH("SIZE_PART_MISMATCH",R213)),ISNUMBER(SEARCH("POSSIBLE_PRICE_OUTLIER",R213))),"REVIEW","ACTIVE")</x:f>
        <x:v>REVIEW</x:v>
      </x:c>
      <x:c r="R213" t="str">
        <x:v>POSSIBLE_PRICE_OUTLIER</x:v>
      </x:c>
      <x:c r="S213" t="n">
        <x:v>128</x:v>
      </x:c>
    </x:row>
    <x:row r="214" ht="15" hidden="0" customHeight="1">
      <x:c r="A214" t="str">
        <x:v>OFFER-BC06A3BF9397</x:v>
      </x:c>
      <x:c r="B214" t="str">
        <x:v>SPEC-5446FAC943AB</x:v>
      </x:c>
      <x:c r="C214" t="str">
        <x:v>DK</x:v>
      </x:c>
      <x:c r="D214" t="str">
        <x:v>C180EU</x:v>
      </x:c>
      <x:c r="E214" t="str">
        <x:v>F109-82</x:v>
      </x:c>
      <x:c r="F214" t="str">
        <x:v>F109-82</x:v>
      </x:c>
      <x:c r="G214" t="str">
        <x:v>C180EU-D-LR-C-*-*-10252-134-5001-1316</x:v>
      </x:c>
      <x:c r="H214" t="str">
        <x:v>C180EU-D-LR-C-*-*-10252-134-5001-1316</x:v>
      </x:c>
      <x:c r="I214" t="str"/>
      <x:c r="J214" s="54" t="n">
        <x:v>106.88</x:v>
      </x:c>
      <x:c r="K214" t="str"/>
      <x:c r="L214" s="57"/>
      <x:c r="M214" s="57"/>
      <x:c r="N214" s="54" t="n">
        <x:f>IF(J214="","",J214*(1-IF(L214="",0,L214))*(1-IF(M214="",0,M214)))</x:f>
        <x:v>106.88</x:v>
      </x:c>
      <x:c r="O214" t="str">
        <x:v>USD</x:v>
      </x:c>
      <x:c r="P214" t="str">
        <x:f>IF(J214="","UNPRICED","PRICED")</x:f>
        <x:v>PRICED</x:v>
      </x:c>
      <x:c r="Q214" t="str">
        <x:f>IF(OR(ISNUMBER(SEARCH("MISSING_VENDOR",R214)),ISNUMBER(SEARCH("MISSING_PART_NUMBER",R214)),ISNUMBER(SEARCH("PLACEHOLDER_PART_NUMBER",R214)),ISNUMBER(SEARCH("MISSING_REQUIRED_SPEC",R214)),ISNUMBER(SEARCH("PART_NUMBER_CONFLICT",R214)),ISNUMBER(SEARCH("SIZE_PART_MISMATCH",R214)),ISNUMBER(SEARCH("POSSIBLE_PRICE_OUTLIER",R214))),"REVIEW","ACTIVE")</x:f>
        <x:v>REVIEW</x:v>
      </x:c>
      <x:c r="R214" t="str">
        <x:v>POSSIBLE_PRICE_OUTLIER</x:v>
      </x:c>
      <x:c r="S214" t="n">
        <x:v>127</x:v>
      </x:c>
    </x:row>
    <x:row r="215" ht="15" hidden="0" customHeight="1">
      <x:c r="A215" t="str">
        <x:v>OFFER-52892FE41225</x:v>
      </x:c>
      <x:c r="B215" t="str">
        <x:v>SPEC-298651EAB3F0</x:v>
      </x:c>
      <x:c r="C215" t="str">
        <x:v>PHG</x:v>
      </x:c>
      <x:c r="D215" t="str">
        <x:v>ES</x:v>
      </x:c>
      <x:c r="E215" t="str">
        <x:v>F109-82</x:v>
      </x:c>
      <x:c r="F215" t="str">
        <x:v>F109-82</x:v>
      </x:c>
      <x:c r="G215" t="str">
        <x:v>ES500CT26D</x:v>
      </x:c>
      <x:c r="H215" t="str">
        <x:v>ES500CT26D ES-CT500 - Entry (F109)</x:v>
      </x:c>
      <x:c r="I215" t="str"/>
      <x:c r="J215" s="54" t="n">
        <x:v>106.88</x:v>
      </x:c>
      <x:c r="K215" t="str"/>
      <x:c r="L215" s="57"/>
      <x:c r="M215" s="57"/>
      <x:c r="N215" s="54" t="n">
        <x:f>IF(J215="","",J215*(1-IF(L215="",0,L215))*(1-IF(M215="",0,M215)))</x:f>
        <x:v>106.88</x:v>
      </x:c>
      <x:c r="O215" t="str">
        <x:v>USD</x:v>
      </x:c>
      <x:c r="P215" t="str">
        <x:f>IF(J215="","UNPRICED","PRICED")</x:f>
        <x:v>PRICED</x:v>
      </x:c>
      <x:c r="Q215" t="str">
        <x:f>IF(OR(ISNUMBER(SEARCH("MISSING_VENDOR",R215)),ISNUMBER(SEARCH("MISSING_PART_NUMBER",R215)),ISNUMBER(SEARCH("PLACEHOLDER_PART_NUMBER",R215)),ISNUMBER(SEARCH("MISSING_REQUIRED_SPEC",R215)),ISNUMBER(SEARCH("PART_NUMBER_CONFLICT",R215)),ISNUMBER(SEARCH("SIZE_PART_MISMATCH",R215)),ISNUMBER(SEARCH("POSSIBLE_PRICE_OUTLIER",R215))),"REVIEW","ACTIVE")</x:f>
        <x:v>ACTIVE</x:v>
      </x:c>
      <x:c r="R215" t="str"/>
      <x:c r="S215" t="n">
        <x:v>178</x:v>
      </x:c>
    </x:row>
    <x:row r="216" ht="15" hidden="0" customHeight="1">
      <x:c r="A216" t="str">
        <x:v>OFFER-D062B55CD787</x:v>
      </x:c>
      <x:c r="B216" t="str">
        <x:v>SPEC-5446FAC943AB</x:v>
      </x:c>
      <x:c r="C216" t="str">
        <x:v>PHG</x:v>
      </x:c>
      <x:c r="D216" t="str">
        <x:v>FC-EL</x:v>
      </x:c>
      <x:c r="E216" t="str">
        <x:v>F90</x:v>
      </x:c>
      <x:c r="F216" t="str">
        <x:v>F90</x:v>
      </x:c>
      <x:c r="G216" t="str">
        <x:v>FC500CT26DEU</x:v>
      </x:c>
      <x:c r="H216" t="str">
        <x:v>FC500CT26DEU FC-CT500 - Electrified - EU (Fail Secure)</x:v>
      </x:c>
      <x:c r="I216" t="str"/>
      <x:c r="J216" s="54" t="n">
        <x:v>359.08</x:v>
      </x:c>
      <x:c r="K216" t="str"/>
      <x:c r="L216" s="57"/>
      <x:c r="M216" s="57"/>
      <x:c r="N216" s="54" t="n">
        <x:f>IF(J216="","",J216*(1-IF(L216="",0,L216))*(1-IF(M216="",0,M216)))</x:f>
        <x:v>359.08</x:v>
      </x:c>
      <x:c r="O216" t="str">
        <x:v>USD</x:v>
      </x:c>
      <x:c r="P216" t="str">
        <x:f>IF(J216="","UNPRICED","PRICED")</x:f>
        <x:v>PRICED</x:v>
      </x:c>
      <x:c r="Q216" t="str">
        <x:f>IF(OR(ISNUMBER(SEARCH("MISSING_VENDOR",R216)),ISNUMBER(SEARCH("MISSING_PART_NUMBER",R216)),ISNUMBER(SEARCH("PLACEHOLDER_PART_NUMBER",R216)),ISNUMBER(SEARCH("MISSING_REQUIRED_SPEC",R216)),ISNUMBER(SEARCH("PART_NUMBER_CONFLICT",R216)),ISNUMBER(SEARCH("SIZE_PART_MISMATCH",R216)),ISNUMBER(SEARCH("POSSIBLE_PRICE_OUTLIER",R216))),"REVIEW","ACTIVE")</x:f>
        <x:v>ACTIVE</x:v>
      </x:c>
      <x:c r="R216" t="str"/>
      <x:c r="S216" t="n">
        <x:v>168</x:v>
      </x:c>
    </x:row>
    <x:row r="217" ht="15" hidden="0" customHeight="1">
      <x:c r="A217" t="str">
        <x:v>OFFER-30E3B9C65E78</x:v>
      </x:c>
      <x:c r="B217" t="str">
        <x:v>SPEC-298651EAB3F0</x:v>
      </x:c>
      <x:c r="C217" t="str">
        <x:v>PHG</x:v>
      </x:c>
      <x:c r="D217" t="str">
        <x:v>FC</x:v>
      </x:c>
      <x:c r="E217" t="str">
        <x:v>F109-82</x:v>
      </x:c>
      <x:c r="F217" t="str">
        <x:v>F109-82</x:v>
      </x:c>
      <x:c r="G217" t="str">
        <x:v>FC500CT26D</x:v>
      </x:c>
      <x:c r="H217" t="str">
        <x:v>FC500CT26D FC-CT500 - Entry (F109)</x:v>
      </x:c>
      <x:c r="I217" t="str"/>
      <x:c r="J217" s="54" t="n">
        <x:v>168.53</x:v>
      </x:c>
      <x:c r="K217" t="str"/>
      <x:c r="L217" s="57"/>
      <x:c r="M217" s="57"/>
      <x:c r="N217" s="54" t="n">
        <x:f>IF(J217="","",J217*(1-IF(L217="",0,L217))*(1-IF(M217="",0,M217)))</x:f>
        <x:v>168.53</x:v>
      </x:c>
      <x:c r="O217" t="str">
        <x:v>USD</x:v>
      </x:c>
      <x:c r="P217" t="str">
        <x:f>IF(J217="","UNPRICED","PRICED")</x:f>
        <x:v>PRICED</x:v>
      </x:c>
      <x:c r="Q217" t="str">
        <x:f>IF(OR(ISNUMBER(SEARCH("MISSING_VENDOR",R217)),ISNUMBER(SEARCH("MISSING_PART_NUMBER",R217)),ISNUMBER(SEARCH("PLACEHOLDER_PART_NUMBER",R217)),ISNUMBER(SEARCH("MISSING_REQUIRED_SPEC",R217)),ISNUMBER(SEARCH("PART_NUMBER_CONFLICT",R217)),ISNUMBER(SEARCH("SIZE_PART_MISMATCH",R217)),ISNUMBER(SEARCH("POSSIBLE_PRICE_OUTLIER",R217))),"REVIEW","ACTIVE")</x:f>
        <x:v>ACTIVE</x:v>
      </x:c>
      <x:c r="R217" t="str"/>
      <x:c r="S217" t="n">
        <x:v>164</x:v>
      </x:c>
    </x:row>
    <x:row r="218" ht="15" hidden="0" customHeight="1">
      <x:c r="A218" t="str">
        <x:v>OFFER-162EB5CD493C</x:v>
      </x:c>
      <x:c r="B218" t="str">
        <x:v>SPEC-298651EAB3F0</x:v>
      </x:c>
      <x:c r="C218" t="str">
        <x:v>PHG</x:v>
      </x:c>
      <x:c r="D218" t="str">
        <x:v>HS</x:v>
      </x:c>
      <x:c r="E218" t="str">
        <x:v>F109-82</x:v>
      </x:c>
      <x:c r="F218" t="str">
        <x:v>F109-82</x:v>
      </x:c>
      <x:c r="G218" t="str">
        <x:v>HS500CT26D</x:v>
      </x:c>
      <x:c r="H218" t="str">
        <x:v>HS500CT26D HS-CT500 - Entry (F109)</x:v>
      </x:c>
      <x:c r="I218" t="str"/>
      <x:c r="J218" s="54" t="n">
        <x:v>89.27</x:v>
      </x:c>
      <x:c r="K218" t="str"/>
      <x:c r="L218" s="57"/>
      <x:c r="M218" s="57"/>
      <x:c r="N218" s="54" t="n">
        <x:f>IF(J218="","",J218*(1-IF(L218="",0,L218))*(1-IF(M218="",0,M218)))</x:f>
        <x:v>89.27</x:v>
      </x:c>
      <x:c r="O218" t="str">
        <x:v>USD</x:v>
      </x:c>
      <x:c r="P218" t="str">
        <x:f>IF(J218="","UNPRICED","PRICED")</x:f>
        <x:v>PRICED</x:v>
      </x:c>
      <x:c r="Q218" t="str">
        <x:f>IF(OR(ISNUMBER(SEARCH("MISSING_VENDOR",R218)),ISNUMBER(SEARCH("MISSING_PART_NUMBER",R218)),ISNUMBER(SEARCH("PLACEHOLDER_PART_NUMBER",R218)),ISNUMBER(SEARCH("MISSING_REQUIRED_SPEC",R218)),ISNUMBER(SEARCH("PART_NUMBER_CONFLICT",R218)),ISNUMBER(SEARCH("SIZE_PART_MISMATCH",R218)),ISNUMBER(SEARCH("POSSIBLE_PRICE_OUTLIER",R218))),"REVIEW","ACTIVE")</x:f>
        <x:v>ACTIVE</x:v>
      </x:c>
      <x:c r="R218" t="str"/>
      <x:c r="S218" t="n">
        <x:v>185</x:v>
      </x:c>
    </x:row>
    <x:row r="219" ht="15" hidden="0" customHeight="1">
      <x:c r="A219" t="str">
        <x:v>OFFER-0E233393FCAC</x:v>
      </x:c>
      <x:c r="B219" t="str">
        <x:v>SPEC-3B800FDF68F4</x:v>
      </x:c>
      <x:c r="C219" t="str">
        <x:v>BST</x:v>
      </x:c>
      <x:c r="D219" t="str">
        <x:v>9K</x:v>
      </x:c>
      <x:c r="E219" t="str">
        <x:v>D</x:v>
      </x:c>
      <x:c r="F219" t="str">
        <x:v>D</x:v>
      </x:c>
      <x:c r="G219" t="str">
        <x:v>9K-3-7-D-15-C3-STK-626 LFIC</x:v>
      </x:c>
      <x:c r="H219" t="str">
        <x:v>9K-3-7-D-15-C3-STK-626 LFIC</x:v>
      </x:c>
      <x:c r="I219" t="str"/>
      <x:c r="J219" s="54" t="n">
        <x:v>1097</x:v>
      </x:c>
      <x:c r="K219" t="str">
        <x:v>0.24</x:v>
      </x:c>
      <x:c r="L219" s="57" t="n">
        <x:v>0.24</x:v>
      </x:c>
      <x:c r="M219" s="57"/>
      <x:c r="N219" s="54" t="n">
        <x:f>IF(J219="","",J219*(1-IF(L219="",0,L219))*(1-IF(M219="",0,M219)))</x:f>
        <x:v>833.72</x:v>
      </x:c>
      <x:c r="O219" t="str">
        <x:v>USD</x:v>
      </x:c>
      <x:c r="P219" t="str">
        <x:f>IF(J219="","UNPRICED","PRICED")</x:f>
        <x:v>PRICED</x:v>
      </x:c>
      <x:c r="Q219" t="str">
        <x:f>IF(OR(ISNUMBER(SEARCH("MISSING_VENDOR",R219)),ISNUMBER(SEARCH("MISSING_PART_NUMBER",R219)),ISNUMBER(SEARCH("PLACEHOLDER_PART_NUMBER",R219)),ISNUMBER(SEARCH("MISSING_REQUIRED_SPEC",R219)),ISNUMBER(SEARCH("PART_NUMBER_CONFLICT",R219)),ISNUMBER(SEARCH("SIZE_PART_MISMATCH",R219)),ISNUMBER(SEARCH("POSSIBLE_PRICE_OUTLIER",R219))),"REVIEW","ACTIVE")</x:f>
        <x:v>ACTIVE</x:v>
      </x:c>
      <x:c r="R219" t="str"/>
      <x:c r="S219" t="n">
        <x:v>111</x:v>
      </x:c>
    </x:row>
    <x:row r="220" ht="15" hidden="0" customHeight="1">
      <x:c r="A220" t="str">
        <x:v>OFFER-BCD1ED5C9716</x:v>
      </x:c>
      <x:c r="B220" t="str">
        <x:v>SPEC-3B800FDF68F4</x:v>
      </x:c>
      <x:c r="C220" t="str">
        <x:v>PHG</x:v>
      </x:c>
      <x:c r="D220" t="str">
        <x:v>FC-ICS</x:v>
      </x:c>
      <x:c r="E220" t="str">
        <x:v>F86</x:v>
      </x:c>
      <x:c r="F220" t="str">
        <x:v>F86</x:v>
      </x:c>
      <x:c r="G220" t="str">
        <x:v>FC504CT26DICS</x:v>
      </x:c>
      <x:c r="H220" t="str">
        <x:v>FC504CT26DICS FC-CT504 - Storeroom (F86) - ICS</x:v>
      </x:c>
      <x:c r="I220" t="str"/>
      <x:c r="J220" s="54" t="n">
        <x:v>210.89</x:v>
      </x:c>
      <x:c r="K220" t="str"/>
      <x:c r="L220" s="57"/>
      <x:c r="M220" s="57"/>
      <x:c r="N220" s="54" t="n">
        <x:f>IF(J220="","",J220*(1-IF(L220="",0,L220))*(1-IF(M220="",0,M220)))</x:f>
        <x:v>210.89</x:v>
      </x:c>
      <x:c r="O220" t="str">
        <x:v>USD</x:v>
      </x:c>
      <x:c r="P220" t="str">
        <x:f>IF(J220="","UNPRICED","PRICED")</x:f>
        <x:v>PRICED</x:v>
      </x:c>
      <x:c r="Q220" t="str">
        <x:f>IF(OR(ISNUMBER(SEARCH("MISSING_VENDOR",R220)),ISNUMBER(SEARCH("MISSING_PART_NUMBER",R220)),ISNUMBER(SEARCH("PLACEHOLDER_PART_NUMBER",R220)),ISNUMBER(SEARCH("MISSING_REQUIRED_SPEC",R220)),ISNUMBER(SEARCH("PART_NUMBER_CONFLICT",R220)),ISNUMBER(SEARCH("SIZE_PART_MISMATCH",R220)),ISNUMBER(SEARCH("POSSIBLE_PRICE_OUTLIER",R220))),"REVIEW","ACTIVE")</x:f>
        <x:v>ACTIVE</x:v>
      </x:c>
      <x:c r="R220" t="str"/>
      <x:c r="S220" t="n">
        <x:v>160</x:v>
      </x:c>
    </x:row>
    <x:row r="221" ht="15" hidden="0" customHeight="1">
      <x:c r="A221" t="str">
        <x:v>OFFER-C1639CDE094E</x:v>
      </x:c>
      <x:c r="B221" t="str">
        <x:v>SPEC-3AA63A49680F</x:v>
      </x:c>
      <x:c r="C221" t="str">
        <x:v>BST</x:v>
      </x:c>
      <x:c r="D221" t="str">
        <x:v>9K</x:v>
      </x:c>
      <x:c r="E221" t="str">
        <x:v>D</x:v>
      </x:c>
      <x:c r="F221" t="str">
        <x:v>D</x:v>
      </x:c>
      <x:c r="G221" t="str">
        <x:v>9K-3-7-D-15-C3-STK-626 SFIC</x:v>
      </x:c>
      <x:c r="H221" t="str">
        <x:v>9K-3-7-D-15-C3-STK-626 SFIC</x:v>
      </x:c>
      <x:c r="I221" t="str"/>
      <x:c r="J221" s="54" t="n">
        <x:v>1097</x:v>
      </x:c>
      <x:c r="K221" t="str">
        <x:v>0.24</x:v>
      </x:c>
      <x:c r="L221" s="57" t="n">
        <x:v>0.24</x:v>
      </x:c>
      <x:c r="M221" s="57"/>
      <x:c r="N221" s="54" t="n">
        <x:f>IF(J221="","",J221*(1-IF(L221="",0,L221))*(1-IF(M221="",0,M221)))</x:f>
        <x:v>833.72</x:v>
      </x:c>
      <x:c r="O221" t="str">
        <x:v>USD</x:v>
      </x:c>
      <x:c r="P221" t="str">
        <x:f>IF(J221="","UNPRICED","PRICED")</x:f>
        <x:v>PRICED</x:v>
      </x:c>
      <x:c r="Q221" t="str">
        <x:f>IF(OR(ISNUMBER(SEARCH("MISSING_VENDOR",R221)),ISNUMBER(SEARCH("MISSING_PART_NUMBER",R221)),ISNUMBER(SEARCH("PLACEHOLDER_PART_NUMBER",R221)),ISNUMBER(SEARCH("MISSING_REQUIRED_SPEC",R221)),ISNUMBER(SEARCH("PART_NUMBER_CONFLICT",R221)),ISNUMBER(SEARCH("SIZE_PART_MISMATCH",R221)),ISNUMBER(SEARCH("POSSIBLE_PRICE_OUTLIER",R221))),"REVIEW","ACTIVE")</x:f>
        <x:v>ACTIVE</x:v>
      </x:c>
      <x:c r="R221" t="str"/>
      <x:c r="S221" t="n">
        <x:v>110</x:v>
      </x:c>
    </x:row>
    <x:row r="222" ht="15" hidden="0" customHeight="1">
      <x:c r="A222" t="str">
        <x:v>OFFER-968E1816DDAC</x:v>
      </x:c>
      <x:c r="B222" t="str">
        <x:v>SPEC-3AA63A49680F</x:v>
      </x:c>
      <x:c r="C222" t="str">
        <x:v>DH</x:v>
      </x:c>
      <x:c r="D222" t="str">
        <x:v>J-86 SFIC</x:v>
      </x:c>
      <x:c r="E222" t="str">
        <x:v>F86</x:v>
      </x:c>
      <x:c r="F222" t="str">
        <x:v>F86</x:v>
      </x:c>
      <x:c r="G222" t="str">
        <x:v>78093759</x:v>
      </x:c>
      <x:c r="H222" t="str">
        <x:v>78093759 - J-86IC - F - Storeroom Function (SFIC - no core)</x:v>
      </x:c>
      <x:c r="I222" t="str"/>
      <x:c r="J222" s="54"/>
      <x:c r="K222" t="str"/>
      <x:c r="L222" s="57"/>
      <x:c r="M222" s="57"/>
      <x:c r="N222" s="54" t="str">
        <x:f>IF(J222="","",J222*(1-IF(L222="",0,L222))*(1-IF(M222="",0,M222)))</x:f>
      </x:c>
      <x:c r="O222" t="str">
        <x:v>USD</x:v>
      </x:c>
      <x:c r="P222" t="str">
        <x:f>IF(J222="","UNPRICED","PRICED")</x:f>
        <x:v>UNPRICED</x:v>
      </x:c>
      <x:c r="Q222" t="str">
        <x:f>IF(OR(ISNUMBER(SEARCH("MISSING_VENDOR",R222)),ISNUMBER(SEARCH("MISSING_PART_NUMBER",R222)),ISNUMBER(SEARCH("PLACEHOLDER_PART_NUMBER",R222)),ISNUMBER(SEARCH("MISSING_REQUIRED_SPEC",R222)),ISNUMBER(SEARCH("PART_NUMBER_CONFLICT",R222)),ISNUMBER(SEARCH("SIZE_PART_MISMATCH",R222)),ISNUMBER(SEARCH("POSSIBLE_PRICE_OUTLIER",R222))),"REVIEW","ACTIVE")</x:f>
        <x:v>ACTIVE</x:v>
      </x:c>
      <x:c r="R222" t="str">
        <x:v>MISSING_PRICE</x:v>
      </x:c>
      <x:c r="S222" t="n">
        <x:v>149</x:v>
      </x:c>
    </x:row>
    <x:row r="223" ht="15" hidden="0" customHeight="1">
      <x:c r="A223" t="str">
        <x:v>OFFER-D001B5E1EE01</x:v>
      </x:c>
      <x:c r="B223" t="str">
        <x:v>SPEC-3AA63A49680F</x:v>
      </x:c>
      <x:c r="C223" t="str">
        <x:v>DH</x:v>
      </x:c>
      <x:c r="D223" t="str">
        <x:v>X-86 SFIC</x:v>
      </x:c>
      <x:c r="E223" t="str">
        <x:v>F86</x:v>
      </x:c>
      <x:c r="F223" t="str">
        <x:v>F86</x:v>
      </x:c>
      <x:c r="G223" t="str">
        <x:v>78001767</x:v>
      </x:c>
      <x:c r="H223" t="str">
        <x:v>78001767 - X-86IC - F - Storeroom (SFIC - no core)</x:v>
      </x:c>
      <x:c r="I223" t="str"/>
      <x:c r="J223" s="54"/>
      <x:c r="K223" t="str"/>
      <x:c r="L223" s="57"/>
      <x:c r="M223" s="57"/>
      <x:c r="N223" s="54" t="str">
        <x:f>IF(J223="","",J223*(1-IF(L223="",0,L223))*(1-IF(M223="",0,M223)))</x:f>
      </x:c>
      <x:c r="O223" t="str">
        <x:v>USD</x:v>
      </x:c>
      <x:c r="P223" t="str">
        <x:f>IF(J223="","UNPRICED","PRICED")</x:f>
        <x:v>UNPRICED</x:v>
      </x:c>
      <x:c r="Q223" t="str">
        <x:f>IF(OR(ISNUMBER(SEARCH("MISSING_VENDOR",R223)),ISNUMBER(SEARCH("MISSING_PART_NUMBER",R223)),ISNUMBER(SEARCH("PLACEHOLDER_PART_NUMBER",R223)),ISNUMBER(SEARCH("MISSING_REQUIRED_SPEC",R223)),ISNUMBER(SEARCH("PART_NUMBER_CONFLICT",R223)),ISNUMBER(SEARCH("SIZE_PART_MISMATCH",R223)),ISNUMBER(SEARCH("POSSIBLE_PRICE_OUTLIER",R223))),"REVIEW","ACTIVE")</x:f>
        <x:v>ACTIVE</x:v>
      </x:c>
      <x:c r="R223" t="str">
        <x:v>MISSING_PRICE</x:v>
      </x:c>
      <x:c r="S223" t="n">
        <x:v>142</x:v>
      </x:c>
    </x:row>
    <x:row r="224" ht="15" hidden="0" customHeight="1">
      <x:c r="A224" t="str">
        <x:v>OFFER-E6D06E0AA358</x:v>
      </x:c>
      <x:c r="B224" t="str">
        <x:v>SPEC-3AA63A49680F</x:v>
      </x:c>
      <x:c r="C224" t="str">
        <x:v>DH</x:v>
      </x:c>
      <x:c r="D224" t="str">
        <x:v>Z-86 SFIC</x:v>
      </x:c>
      <x:c r="E224" t="str">
        <x:v>F86</x:v>
      </x:c>
      <x:c r="F224" t="str">
        <x:v>F86</x:v>
      </x:c>
      <x:c r="G224" t="str">
        <x:v>78001848</x:v>
      </x:c>
      <x:c r="H224" t="str">
        <x:v>78001848 - Z-86IC - F - Storeroom (SFIC - no core)</x:v>
      </x:c>
      <x:c r="I224" t="str"/>
      <x:c r="J224" s="54" t="n">
        <x:v>290.7</x:v>
      </x:c>
      <x:c r="K224" t="str">
        <x:v>0.26</x:v>
      </x:c>
      <x:c r="L224" s="57" t="n">
        <x:v>0.26</x:v>
      </x:c>
      <x:c r="M224" s="57"/>
      <x:c r="N224" s="54" t="n">
        <x:f>IF(J224="","",J224*(1-IF(L224="",0,L224))*(1-IF(M224="",0,M224)))</x:f>
        <x:v>215.118</x:v>
      </x:c>
      <x:c r="O224" t="str">
        <x:v>USD</x:v>
      </x:c>
      <x:c r="P224" t="str">
        <x:f>IF(J224="","UNPRICED","PRICED")</x:f>
        <x:v>PRICED</x:v>
      </x:c>
      <x:c r="Q224" t="str">
        <x:f>IF(OR(ISNUMBER(SEARCH("MISSING_VENDOR",R224)),ISNUMBER(SEARCH("MISSING_PART_NUMBER",R224)),ISNUMBER(SEARCH("PLACEHOLDER_PART_NUMBER",R224)),ISNUMBER(SEARCH("MISSING_REQUIRED_SPEC",R224)),ISNUMBER(SEARCH("PART_NUMBER_CONFLICT",R224)),ISNUMBER(SEARCH("SIZE_PART_MISMATCH",R224)),ISNUMBER(SEARCH("POSSIBLE_PRICE_OUTLIER",R224))),"REVIEW","ACTIVE")</x:f>
        <x:v>ACTIVE</x:v>
      </x:c>
      <x:c r="R224" t="str"/>
      <x:c r="S224" t="n">
        <x:v>133</x:v>
      </x:c>
    </x:row>
    <x:row r="225" ht="15" hidden="0" customHeight="1">
      <x:c r="A225" t="str">
        <x:v>OFFER-3F26F8BAACC9</x:v>
      </x:c>
      <x:c r="B225" t="str">
        <x:v>SPEC-3AA63A49680F</x:v>
      </x:c>
      <x:c r="C225" t="str">
        <x:v>DK</x:v>
      </x:c>
      <x:c r="D225" t="str">
        <x:v>C180J</x:v>
      </x:c>
      <x:c r="E225" t="str">
        <x:v>F86</x:v>
      </x:c>
      <x:c r="F225" t="str">
        <x:v>F86</x:v>
      </x:c>
      <x:c r="G225" t="str">
        <x:v>C180-J-LR-C-*-*-10252-134-5001-1316</x:v>
      </x:c>
      <x:c r="H225" t="str">
        <x:v>C180-J-LR-C-*-*-10252-134-5001-1316</x:v>
      </x:c>
      <x:c r="I225" t="str"/>
      <x:c r="J225" s="54" t="n">
        <x:v>893</x:v>
      </x:c>
      <x:c r="K225" t="str"/>
      <x:c r="L225" s="57"/>
      <x:c r="M225" s="57"/>
      <x:c r="N225" s="54" t="n">
        <x:f>IF(J225="","",J225*(1-IF(L225="",0,L225))*(1-IF(M225="",0,M225)))</x:f>
        <x:v>893</x:v>
      </x:c>
      <x:c r="O225" t="str">
        <x:v>USD</x:v>
      </x:c>
      <x:c r="P225" t="str">
        <x:f>IF(J225="","UNPRICED","PRICED")</x:f>
        <x:v>PRICED</x:v>
      </x:c>
      <x:c r="Q225" t="str">
        <x:f>IF(OR(ISNUMBER(SEARCH("MISSING_VENDOR",R225)),ISNUMBER(SEARCH("MISSING_PART_NUMBER",R225)),ISNUMBER(SEARCH("PLACEHOLDER_PART_NUMBER",R225)),ISNUMBER(SEARCH("MISSING_REQUIRED_SPEC",R225)),ISNUMBER(SEARCH("PART_NUMBER_CONFLICT",R225)),ISNUMBER(SEARCH("SIZE_PART_MISMATCH",R225)),ISNUMBER(SEARCH("POSSIBLE_PRICE_OUTLIER",R225))),"REVIEW","ACTIVE")</x:f>
        <x:v>ACTIVE</x:v>
      </x:c>
      <x:c r="R225" t="str"/>
      <x:c r="S225" t="n">
        <x:v>122</x:v>
      </x:c>
    </x:row>
    <x:row r="226" ht="15" hidden="0" customHeight="1">
      <x:c r="A226" t="str">
        <x:v>OFFER-411843109B33</x:v>
      </x:c>
      <x:c r="B226" t="str">
        <x:v>SPEC-3AA63A49680F</x:v>
      </x:c>
      <x:c r="C226" t="str">
        <x:v>PHG</x:v>
      </x:c>
      <x:c r="D226" t="str">
        <x:v>ES-ICB</x:v>
      </x:c>
      <x:c r="E226" t="str">
        <x:v>F86</x:v>
      </x:c>
      <x:c r="F226" t="str">
        <x:v>F86</x:v>
      </x:c>
      <x:c r="G226" t="str">
        <x:v>ES504CT26DICB</x:v>
      </x:c>
      <x:c r="H226" t="str">
        <x:v>ES504CT26DICB ES-CT504 - Storeroom (F86) - ICB</x:v>
      </x:c>
      <x:c r="I226" t="str"/>
      <x:c r="J226" s="54" t="n">
        <x:v>116.88</x:v>
      </x:c>
      <x:c r="K226" t="str"/>
      <x:c r="L226" s="57"/>
      <x:c r="M226" s="57"/>
      <x:c r="N226" s="54" t="n">
        <x:f>IF(J226="","",J226*(1-IF(L226="",0,L226))*(1-IF(M226="",0,M226)))</x:f>
        <x:v>116.88</x:v>
      </x:c>
      <x:c r="O226" t="str">
        <x:v>USD</x:v>
      </x:c>
      <x:c r="P226" t="str">
        <x:f>IF(J226="","UNPRICED","PRICED")</x:f>
        <x:v>PRICED</x:v>
      </x:c>
      <x:c r="Q226" t="str">
        <x:f>IF(OR(ISNUMBER(SEARCH("MISSING_VENDOR",R226)),ISNUMBER(SEARCH("MISSING_PART_NUMBER",R226)),ISNUMBER(SEARCH("PLACEHOLDER_PART_NUMBER",R226)),ISNUMBER(SEARCH("MISSING_REQUIRED_SPEC",R226)),ISNUMBER(SEARCH("PART_NUMBER_CONFLICT",R226)),ISNUMBER(SEARCH("SIZE_PART_MISMATCH",R226)),ISNUMBER(SEARCH("POSSIBLE_PRICE_OUTLIER",R226))),"REVIEW","ACTIVE")</x:f>
        <x:v>ACTIVE</x:v>
      </x:c>
      <x:c r="R226" t="str"/>
      <x:c r="S226" t="n">
        <x:v>175</x:v>
      </x:c>
    </x:row>
    <x:row r="227" ht="15" hidden="0" customHeight="1">
      <x:c r="A227" t="str">
        <x:v>OFFER-5CB8EB38AAD5</x:v>
      </x:c>
      <x:c r="B227" t="str">
        <x:v>SPEC-3AA63A49680F</x:v>
      </x:c>
      <x:c r="C227" t="str">
        <x:v>PHG</x:v>
      </x:c>
      <x:c r="D227" t="str">
        <x:v>FC-ICB</x:v>
      </x:c>
      <x:c r="E227" t="str">
        <x:v>F86</x:v>
      </x:c>
      <x:c r="F227" t="str">
        <x:v>F86</x:v>
      </x:c>
      <x:c r="G227" t="str">
        <x:v>FC504CT26DICB</x:v>
      </x:c>
      <x:c r="H227" t="str">
        <x:v>FC504CT26DICB FC-CT504 - Storeroom (F86) - ICB</x:v>
      </x:c>
      <x:c r="I227" t="str"/>
      <x:c r="J227" s="54" t="n">
        <x:v>168.53</x:v>
      </x:c>
      <x:c r="K227" t="str"/>
      <x:c r="L227" s="57"/>
      <x:c r="M227" s="57"/>
      <x:c r="N227" s="54" t="n">
        <x:f>IF(J227="","",J227*(1-IF(L227="",0,L227))*(1-IF(M227="",0,M227)))</x:f>
        <x:v>168.53</x:v>
      </x:c>
      <x:c r="O227" t="str">
        <x:v>USD</x:v>
      </x:c>
      <x:c r="P227" t="str">
        <x:f>IF(J227="","UNPRICED","PRICED")</x:f>
        <x:v>PRICED</x:v>
      </x:c>
      <x:c r="Q227" t="str">
        <x:f>IF(OR(ISNUMBER(SEARCH("MISSING_VENDOR",R227)),ISNUMBER(SEARCH("MISSING_PART_NUMBER",R227)),ISNUMBER(SEARCH("PLACEHOLDER_PART_NUMBER",R227)),ISNUMBER(SEARCH("MISSING_REQUIRED_SPEC",R227)),ISNUMBER(SEARCH("PART_NUMBER_CONFLICT",R227)),ISNUMBER(SEARCH("SIZE_PART_MISMATCH",R227)),ISNUMBER(SEARCH("POSSIBLE_PRICE_OUTLIER",R227))),"REVIEW","ACTIVE")</x:f>
        <x:v>ACTIVE</x:v>
      </x:c>
      <x:c r="R227" t="str"/>
      <x:c r="S227" t="n">
        <x:v>159</x:v>
      </x:c>
    </x:row>
    <x:row r="228" ht="15" hidden="0" customHeight="1">
      <x:c r="A228" t="str">
        <x:v>OFFER-27D202E3520B</x:v>
      </x:c>
      <x:c r="B228" t="str">
        <x:v>SPEC-3AA63A49680F</x:v>
      </x:c>
      <x:c r="C228" t="str">
        <x:v>PHG</x:v>
      </x:c>
      <x:c r="D228" t="str">
        <x:v>HS-ICB</x:v>
      </x:c>
      <x:c r="E228" t="str">
        <x:v>F86</x:v>
      </x:c>
      <x:c r="F228" t="str">
        <x:v>F86</x:v>
      </x:c>
      <x:c r="G228" t="str">
        <x:v>HS504CT26DICB</x:v>
      </x:c>
      <x:c r="H228" t="str">
        <x:v>HS504CT26DICB HS-CT504 - Storeroom (F86) - ICB</x:v>
      </x:c>
      <x:c r="I228" t="str"/>
      <x:c r="J228" s="54" t="n">
        <x:v>100.76</x:v>
      </x:c>
      <x:c r="K228" t="str"/>
      <x:c r="L228" s="57"/>
      <x:c r="M228" s="57"/>
      <x:c r="N228" s="54" t="n">
        <x:f>IF(J228="","",J228*(1-IF(L228="",0,L228))*(1-IF(M228="",0,M228)))</x:f>
        <x:v>100.76</x:v>
      </x:c>
      <x:c r="O228" t="str">
        <x:v>USD</x:v>
      </x:c>
      <x:c r="P228" t="str">
        <x:f>IF(J228="","UNPRICED","PRICED")</x:f>
        <x:v>PRICED</x:v>
      </x:c>
      <x:c r="Q228" t="str">
        <x:f>IF(OR(ISNUMBER(SEARCH("MISSING_VENDOR",R228)),ISNUMBER(SEARCH("MISSING_PART_NUMBER",R228)),ISNUMBER(SEARCH("PLACEHOLDER_PART_NUMBER",R228)),ISNUMBER(SEARCH("MISSING_REQUIRED_SPEC",R228)),ISNUMBER(SEARCH("PART_NUMBER_CONFLICT",R228)),ISNUMBER(SEARCH("SIZE_PART_MISMATCH",R228)),ISNUMBER(SEARCH("POSSIBLE_PRICE_OUTLIER",R228))),"REVIEW","ACTIVE")</x:f>
        <x:v>ACTIVE</x:v>
      </x:c>
      <x:c r="R228" t="str"/>
      <x:c r="S228" t="n">
        <x:v>182</x:v>
      </x:c>
    </x:row>
    <x:row r="229" ht="15" hidden="0" customHeight="1">
      <x:c r="A229" t="str">
        <x:v>OFFER-D18A8BAA70C6</x:v>
      </x:c>
      <x:c r="B229" t="str">
        <x:v>SPEC-882618A3F0C9</x:v>
      </x:c>
      <x:c r="C229" t="str">
        <x:v>BST</x:v>
      </x:c>
      <x:c r="D229" t="str">
        <x:v>9K</x:v>
      </x:c>
      <x:c r="E229" t="str">
        <x:v>D</x:v>
      </x:c>
      <x:c r="F229" t="str">
        <x:v>D</x:v>
      </x:c>
      <x:c r="G229" t="str">
        <x:v>9K-3-7-D-15-C3-STK-626</x:v>
      </x:c>
      <x:c r="H229" t="str">
        <x:v>9K-3-7-D-15-C3-STK-626</x:v>
      </x:c>
      <x:c r="I229" t="str"/>
      <x:c r="J229" s="54" t="n">
        <x:v>1227</x:v>
      </x:c>
      <x:c r="K229" t="str">
        <x:v>0.24</x:v>
      </x:c>
      <x:c r="L229" s="57" t="n">
        <x:v>0.24</x:v>
      </x:c>
      <x:c r="M229" s="57"/>
      <x:c r="N229" s="54" t="n">
        <x:f>IF(J229="","",J229*(1-IF(L229="",0,L229))*(1-IF(M229="",0,M229)))</x:f>
        <x:v>932.52</x:v>
      </x:c>
      <x:c r="O229" t="str">
        <x:v>USD</x:v>
      </x:c>
      <x:c r="P229" t="str">
        <x:f>IF(J229="","UNPRICED","PRICED")</x:f>
        <x:v>PRICED</x:v>
      </x:c>
      <x:c r="Q229" t="str">
        <x:f>IF(OR(ISNUMBER(SEARCH("MISSING_VENDOR",R229)),ISNUMBER(SEARCH("MISSING_PART_NUMBER",R229)),ISNUMBER(SEARCH("PLACEHOLDER_PART_NUMBER",R229)),ISNUMBER(SEARCH("MISSING_REQUIRED_SPEC",R229)),ISNUMBER(SEARCH("PART_NUMBER_CONFLICT",R229)),ISNUMBER(SEARCH("SIZE_PART_MISMATCH",R229)),ISNUMBER(SEARCH("POSSIBLE_PRICE_OUTLIER",R229))),"REVIEW","ACTIVE")</x:f>
        <x:v>ACTIVE</x:v>
      </x:c>
      <x:c r="R229" t="str"/>
      <x:c r="S229" t="n">
        <x:v>109</x:v>
      </x:c>
    </x:row>
    <x:row r="230" ht="15" hidden="0" customHeight="1">
      <x:c r="A230" t="str">
        <x:v>OFFER-BB10EC9F3FC2</x:v>
      </x:c>
      <x:c r="B230" t="str">
        <x:v>SPEC-882618A3F0C9</x:v>
      </x:c>
      <x:c r="C230" t="str">
        <x:v>DH</x:v>
      </x:c>
      <x:c r="D230" t="str">
        <x:v>J-86</x:v>
      </x:c>
      <x:c r="E230" t="str">
        <x:v>F86</x:v>
      </x:c>
      <x:c r="F230" t="str">
        <x:v>F86</x:v>
      </x:c>
      <x:c r="G230" t="str">
        <x:v>78093758</x:v>
      </x:c>
      <x:c r="H230" t="str">
        <x:v>78093758 - J-86 - F - Storeroom Function</x:v>
      </x:c>
      <x:c r="I230" t="str"/>
      <x:c r="J230" s="54"/>
      <x:c r="K230" t="str"/>
      <x:c r="L230" s="57"/>
      <x:c r="M230" s="57"/>
      <x:c r="N230" s="54" t="str">
        <x:f>IF(J230="","",J230*(1-IF(L230="",0,L230))*(1-IF(M230="",0,M230)))</x:f>
      </x:c>
      <x:c r="O230" t="str">
        <x:v>USD</x:v>
      </x:c>
      <x:c r="P230" t="str">
        <x:f>IF(J230="","UNPRICED","PRICED")</x:f>
        <x:v>UNPRICED</x:v>
      </x:c>
      <x:c r="Q230" t="str">
        <x:f>IF(OR(ISNUMBER(SEARCH("MISSING_VENDOR",R230)),ISNUMBER(SEARCH("MISSING_PART_NUMBER",R230)),ISNUMBER(SEARCH("PLACEHOLDER_PART_NUMBER",R230)),ISNUMBER(SEARCH("MISSING_REQUIRED_SPEC",R230)),ISNUMBER(SEARCH("PART_NUMBER_CONFLICT",R230)),ISNUMBER(SEARCH("SIZE_PART_MISMATCH",R230)),ISNUMBER(SEARCH("POSSIBLE_PRICE_OUTLIER",R230))),"REVIEW","ACTIVE")</x:f>
        <x:v>ACTIVE</x:v>
      </x:c>
      <x:c r="R230" t="str">
        <x:v>MISSING_PRICE</x:v>
      </x:c>
      <x:c r="S230" t="n">
        <x:v>148</x:v>
      </x:c>
    </x:row>
    <x:row r="231" ht="15" hidden="0" customHeight="1">
      <x:c r="A231" t="str">
        <x:v>OFFER-29650C600D8F</x:v>
      </x:c>
      <x:c r="B231" t="str">
        <x:v>SPEC-882618A3F0C9</x:v>
      </x:c>
      <x:c r="C231" t="str">
        <x:v>DH</x:v>
      </x:c>
      <x:c r="D231" t="str">
        <x:v>X-86</x:v>
      </x:c>
      <x:c r="E231" t="str">
        <x:v>F86</x:v>
      </x:c>
      <x:c r="F231" t="str">
        <x:v>F86</x:v>
      </x:c>
      <x:c r="G231" t="str">
        <x:v>78001764</x:v>
      </x:c>
      <x:c r="H231" t="str">
        <x:v>78001764 - X-86 - F - Storeroom Function</x:v>
      </x:c>
      <x:c r="I231" t="str"/>
      <x:c r="J231" s="54"/>
      <x:c r="K231" t="str"/>
      <x:c r="L231" s="57"/>
      <x:c r="M231" s="57"/>
      <x:c r="N231" s="54" t="str">
        <x:f>IF(J231="","",J231*(1-IF(L231="",0,L231))*(1-IF(M231="",0,M231)))</x:f>
      </x:c>
      <x:c r="O231" t="str">
        <x:v>USD</x:v>
      </x:c>
      <x:c r="P231" t="str">
        <x:f>IF(J231="","UNPRICED","PRICED")</x:f>
        <x:v>UNPRICED</x:v>
      </x:c>
      <x:c r="Q231" t="str">
        <x:f>IF(OR(ISNUMBER(SEARCH("MISSING_VENDOR",R231)),ISNUMBER(SEARCH("MISSING_PART_NUMBER",R231)),ISNUMBER(SEARCH("PLACEHOLDER_PART_NUMBER",R231)),ISNUMBER(SEARCH("MISSING_REQUIRED_SPEC",R231)),ISNUMBER(SEARCH("PART_NUMBER_CONFLICT",R231)),ISNUMBER(SEARCH("SIZE_PART_MISMATCH",R231)),ISNUMBER(SEARCH("POSSIBLE_PRICE_OUTLIER",R231))),"REVIEW","ACTIVE")</x:f>
        <x:v>ACTIVE</x:v>
      </x:c>
      <x:c r="R231" t="str">
        <x:v>MISSING_PRICE</x:v>
      </x:c>
      <x:c r="S231" t="n">
        <x:v>141</x:v>
      </x:c>
    </x:row>
    <x:row r="232" ht="15" hidden="0" customHeight="1">
      <x:c r="A232" t="str">
        <x:v>OFFER-5E45E9F23946</x:v>
      </x:c>
      <x:c r="B232" t="str">
        <x:v>SPEC-882618A3F0C9</x:v>
      </x:c>
      <x:c r="C232" t="str">
        <x:v>DH</x:v>
      </x:c>
      <x:c r="D232" t="str">
        <x:v>Z-86</x:v>
      </x:c>
      <x:c r="E232" t="str">
        <x:v>F86</x:v>
      </x:c>
      <x:c r="F232" t="str">
        <x:v>F86</x:v>
      </x:c>
      <x:c r="G232" t="str">
        <x:v>78001847</x:v>
      </x:c>
      <x:c r="H232" t="str">
        <x:v>78001847 - Z-86 - F - Storeroom Function</x:v>
      </x:c>
      <x:c r="I232" t="str"/>
      <x:c r="J232" s="54" t="n">
        <x:v>290.7</x:v>
      </x:c>
      <x:c r="K232" t="str">
        <x:v>0.26</x:v>
      </x:c>
      <x:c r="L232" s="57" t="n">
        <x:v>0.26</x:v>
      </x:c>
      <x:c r="M232" s="57"/>
      <x:c r="N232" s="54" t="n">
        <x:f>IF(J232="","",J232*(1-IF(L232="",0,L232))*(1-IF(M232="",0,M232)))</x:f>
        <x:v>215.118</x:v>
      </x:c>
      <x:c r="O232" t="str">
        <x:v>USD</x:v>
      </x:c>
      <x:c r="P232" t="str">
        <x:f>IF(J232="","UNPRICED","PRICED")</x:f>
        <x:v>PRICED</x:v>
      </x:c>
      <x:c r="Q232" t="str">
        <x:f>IF(OR(ISNUMBER(SEARCH("MISSING_VENDOR",R232)),ISNUMBER(SEARCH("MISSING_PART_NUMBER",R232)),ISNUMBER(SEARCH("PLACEHOLDER_PART_NUMBER",R232)),ISNUMBER(SEARCH("MISSING_REQUIRED_SPEC",R232)),ISNUMBER(SEARCH("PART_NUMBER_CONFLICT",R232)),ISNUMBER(SEARCH("SIZE_PART_MISMATCH",R232)),ISNUMBER(SEARCH("POSSIBLE_PRICE_OUTLIER",R232))),"REVIEW","ACTIVE")</x:f>
        <x:v>ACTIVE</x:v>
      </x:c>
      <x:c r="R232" t="str"/>
      <x:c r="S232" t="n">
        <x:v>132</x:v>
      </x:c>
    </x:row>
    <x:row r="233" ht="15" hidden="0" customHeight="1">
      <x:c r="A233" t="str">
        <x:v>OFFER-09C1F036F3FE</x:v>
      </x:c>
      <x:c r="B233" t="str">
        <x:v>SPEC-882618A3F0C9</x:v>
      </x:c>
      <x:c r="C233" t="str">
        <x:v>DK</x:v>
      </x:c>
      <x:c r="D233" t="str">
        <x:v>C180J</x:v>
      </x:c>
      <x:c r="E233" t="str">
        <x:v>F86</x:v>
      </x:c>
      <x:c r="F233" t="str">
        <x:v>F86</x:v>
      </x:c>
      <x:c r="G233" t="str">
        <x:v>C180-D-LR-C-*-*-10252-134-5001-1316</x:v>
      </x:c>
      <x:c r="H233" t="str">
        <x:v>C180-D-LR-C-*-*-10252-134-5001-1316</x:v>
      </x:c>
      <x:c r="I233" t="str"/>
      <x:c r="J233" s="54" t="n">
        <x:v>893</x:v>
      </x:c>
      <x:c r="K233" t="str"/>
      <x:c r="L233" s="57"/>
      <x:c r="M233" s="57"/>
      <x:c r="N233" s="54" t="n">
        <x:f>IF(J233="","",J233*(1-IF(L233="",0,L233))*(1-IF(M233="",0,M233)))</x:f>
        <x:v>893</x:v>
      </x:c>
      <x:c r="O233" t="str">
        <x:v>USD</x:v>
      </x:c>
      <x:c r="P233" t="str">
        <x:f>IF(J233="","UNPRICED","PRICED")</x:f>
        <x:v>PRICED</x:v>
      </x:c>
      <x:c r="Q233" t="str">
        <x:f>IF(OR(ISNUMBER(SEARCH("MISSING_VENDOR",R233)),ISNUMBER(SEARCH("MISSING_PART_NUMBER",R233)),ISNUMBER(SEARCH("PLACEHOLDER_PART_NUMBER",R233)),ISNUMBER(SEARCH("MISSING_REQUIRED_SPEC",R233)),ISNUMBER(SEARCH("PART_NUMBER_CONFLICT",R233)),ISNUMBER(SEARCH("SIZE_PART_MISMATCH",R233)),ISNUMBER(SEARCH("POSSIBLE_PRICE_OUTLIER",R233))),"REVIEW","ACTIVE")</x:f>
        <x:v>ACTIVE</x:v>
      </x:c>
      <x:c r="R233" t="str"/>
      <x:c r="S233" t="n">
        <x:v>121</x:v>
      </x:c>
    </x:row>
    <x:row r="234" ht="15" hidden="0" customHeight="1">
      <x:c r="A234" t="str">
        <x:v>OFFER-C7070ACC9200</x:v>
      </x:c>
      <x:c r="B234" t="str">
        <x:v>SPEC-882618A3F0C9</x:v>
      </x:c>
      <x:c r="C234" t="str">
        <x:v>PHG</x:v>
      </x:c>
      <x:c r="D234" t="str">
        <x:v>ES</x:v>
      </x:c>
      <x:c r="E234" t="str">
        <x:v>F86</x:v>
      </x:c>
      <x:c r="F234" t="str">
        <x:v>F86</x:v>
      </x:c>
      <x:c r="G234" t="str">
        <x:v>ES504CT26D</x:v>
      </x:c>
      <x:c r="H234" t="str">
        <x:v>ES504CT26D ES-CT504 - Storeroom (F86)</x:v>
      </x:c>
      <x:c r="I234" t="str"/>
      <x:c r="J234" s="54" t="n">
        <x:v>106.68</x:v>
      </x:c>
      <x:c r="K234" t="str"/>
      <x:c r="L234" s="57"/>
      <x:c r="M234" s="57"/>
      <x:c r="N234" s="54" t="n">
        <x:f>IF(J234="","",J234*(1-IF(L234="",0,L234))*(1-IF(M234="",0,M234)))</x:f>
        <x:v>106.68</x:v>
      </x:c>
      <x:c r="O234" t="str">
        <x:v>USD</x:v>
      </x:c>
      <x:c r="P234" t="str">
        <x:f>IF(J234="","UNPRICED","PRICED")</x:f>
        <x:v>PRICED</x:v>
      </x:c>
      <x:c r="Q234" t="str">
        <x:f>IF(OR(ISNUMBER(SEARCH("MISSING_VENDOR",R234)),ISNUMBER(SEARCH("MISSING_PART_NUMBER",R234)),ISNUMBER(SEARCH("PLACEHOLDER_PART_NUMBER",R234)),ISNUMBER(SEARCH("MISSING_REQUIRED_SPEC",R234)),ISNUMBER(SEARCH("PART_NUMBER_CONFLICT",R234)),ISNUMBER(SEARCH("SIZE_PART_MISMATCH",R234)),ISNUMBER(SEARCH("POSSIBLE_PRICE_OUTLIER",R234))),"REVIEW","ACTIVE")</x:f>
        <x:v>ACTIVE</x:v>
      </x:c>
      <x:c r="R234" t="str"/>
      <x:c r="S234" t="n">
        <x:v>174</x:v>
      </x:c>
    </x:row>
    <x:row r="235" ht="15" hidden="0" customHeight="1">
      <x:c r="A235" t="str">
        <x:v>OFFER-E2BCB89ECD67</x:v>
      </x:c>
      <x:c r="B235" t="str">
        <x:v>SPEC-882618A3F0C9</x:v>
      </x:c>
      <x:c r="C235" t="str">
        <x:v>PHG</x:v>
      </x:c>
      <x:c r="D235" t="str">
        <x:v>FC</x:v>
      </x:c>
      <x:c r="E235" t="str">
        <x:v>F86</x:v>
      </x:c>
      <x:c r="F235" t="str">
        <x:v>F86</x:v>
      </x:c>
      <x:c r="G235" t="str">
        <x:v>FC504CT26D</x:v>
      </x:c>
      <x:c r="H235" t="str">
        <x:v>FC504CT26D FC-CT504 - Storeroom (F86)</x:v>
      </x:c>
      <x:c r="I235" t="str"/>
      <x:c r="J235" s="54" t="n">
        <x:v>168.53</x:v>
      </x:c>
      <x:c r="K235" t="str"/>
      <x:c r="L235" s="57"/>
      <x:c r="M235" s="57"/>
      <x:c r="N235" s="54" t="n">
        <x:f>IF(J235="","",J235*(1-IF(L235="",0,L235))*(1-IF(M235="",0,M235)))</x:f>
        <x:v>168.53</x:v>
      </x:c>
      <x:c r="O235" t="str">
        <x:v>USD</x:v>
      </x:c>
      <x:c r="P235" t="str">
        <x:f>IF(J235="","UNPRICED","PRICED")</x:f>
        <x:v>PRICED</x:v>
      </x:c>
      <x:c r="Q235" t="str">
        <x:f>IF(OR(ISNUMBER(SEARCH("MISSING_VENDOR",R235)),ISNUMBER(SEARCH("MISSING_PART_NUMBER",R235)),ISNUMBER(SEARCH("PLACEHOLDER_PART_NUMBER",R235)),ISNUMBER(SEARCH("MISSING_REQUIRED_SPEC",R235)),ISNUMBER(SEARCH("PART_NUMBER_CONFLICT",R235)),ISNUMBER(SEARCH("SIZE_PART_MISMATCH",R235)),ISNUMBER(SEARCH("POSSIBLE_PRICE_OUTLIER",R235))),"REVIEW","ACTIVE")</x:f>
        <x:v>ACTIVE</x:v>
      </x:c>
      <x:c r="R235" t="str"/>
      <x:c r="S235" t="n">
        <x:v>158</x:v>
      </x:c>
    </x:row>
    <x:row r="236" ht="15" hidden="0" customHeight="1">
      <x:c r="A236" t="str">
        <x:v>OFFER-AB7E9DF0BD9A</x:v>
      </x:c>
      <x:c r="B236" t="str">
        <x:v>SPEC-882618A3F0C9</x:v>
      </x:c>
      <x:c r="C236" t="str">
        <x:v>PHG</x:v>
      </x:c>
      <x:c r="D236" t="str">
        <x:v>HS</x:v>
      </x:c>
      <x:c r="E236" t="str">
        <x:v>F86</x:v>
      </x:c>
      <x:c r="F236" t="str">
        <x:v>F86</x:v>
      </x:c>
      <x:c r="G236" t="str">
        <x:v>HS504CT26D</x:v>
      </x:c>
      <x:c r="H236" t="str">
        <x:v>HS504CT26D HS-CT504 - Storeroom (F86)</x:v>
      </x:c>
      <x:c r="I236" t="str"/>
      <x:c r="J236" s="54" t="n">
        <x:v>89.27</x:v>
      </x:c>
      <x:c r="K236" t="str"/>
      <x:c r="L236" s="57"/>
      <x:c r="M236" s="57"/>
      <x:c r="N236" s="54" t="n">
        <x:f>IF(J236="","",J236*(1-IF(L236="",0,L236))*(1-IF(M236="",0,M236)))</x:f>
        <x:v>89.27</x:v>
      </x:c>
      <x:c r="O236" t="str">
        <x:v>USD</x:v>
      </x:c>
      <x:c r="P236" t="str">
        <x:f>IF(J236="","UNPRICED","PRICED")</x:f>
        <x:v>PRICED</x:v>
      </x:c>
      <x:c r="Q236" t="str">
        <x:f>IF(OR(ISNUMBER(SEARCH("MISSING_VENDOR",R236)),ISNUMBER(SEARCH("MISSING_PART_NUMBER",R236)),ISNUMBER(SEARCH("PLACEHOLDER_PART_NUMBER",R236)),ISNUMBER(SEARCH("MISSING_REQUIRED_SPEC",R236)),ISNUMBER(SEARCH("PART_NUMBER_CONFLICT",R236)),ISNUMBER(SEARCH("SIZE_PART_MISMATCH",R236)),ISNUMBER(SEARCH("POSSIBLE_PRICE_OUTLIER",R236))),"REVIEW","ACTIVE")</x:f>
        <x:v>ACTIVE</x:v>
      </x:c>
      <x:c r="R236" t="str"/>
      <x:c r="S236" t="n">
        <x:v>181</x:v>
      </x:c>
    </x:row>
    <x:row r="237" ht="15" hidden="0" customHeight="1">
      <x:c r="A237" t="str">
        <x:v>OFFER-E0C8F557F087</x:v>
      </x:c>
      <x:c r="B237" t="str">
        <x:v>SPEC-E1BC0AC27D6E</x:v>
      </x:c>
      <x:c r="C237" t="str">
        <x:v>DH</x:v>
      </x:c>
      <x:c r="D237" t="str"/>
      <x:c r="E237" t="str"/>
      <x:c r="F237" t="str"/>
      <x:c r="G237" t="str"/>
      <x:c r="H237" t="str"/>
      <x:c r="I237" t="str"/>
      <x:c r="J237" s="54"/>
      <x:c r="K237" t="str"/>
      <x:c r="L237" s="57"/>
      <x:c r="M237" s="57"/>
      <x:c r="N237" s="54" t="str">
        <x:f>IF(J237="","",J237*(1-IF(L237="",0,L237))*(1-IF(M237="",0,M237)))</x:f>
      </x:c>
      <x:c r="O237" t="str">
        <x:v>USD</x:v>
      </x:c>
      <x:c r="P237" t="str">
        <x:f>IF(J237="","UNPRICED","PRICED")</x:f>
        <x:v>UNPRICED</x:v>
      </x:c>
      <x:c r="Q237" t="str">
        <x:f>IF(OR(ISNUMBER(SEARCH("MISSING_VENDOR",R237)),ISNUMBER(SEARCH("MISSING_PART_NUMBER",R237)),ISNUMBER(SEARCH("PLACEHOLDER_PART_NUMBER",R237)),ISNUMBER(SEARCH("MISSING_REQUIRED_SPEC",R237)),ISNUMBER(SEARCH("PART_NUMBER_CONFLICT",R237)),ISNUMBER(SEARCH("SIZE_PART_MISMATCH",R237)),ISNUMBER(SEARCH("POSSIBLE_PRICE_OUTLIER",R237))),"REVIEW","ACTIVE")</x:f>
        <x:v>REVIEW</x:v>
      </x:c>
      <x:c r="R237" t="str">
        <x:v>MISSING_PRICE; MISSING_PART_NUMBER</x:v>
      </x:c>
      <x:c r="S237" t="n">
        <x:v>194</x:v>
      </x:c>
    </x:row>
    <x:row r="238" ht="15" hidden="0" customHeight="1">
      <x:c r="A238" t="str">
        <x:v>OFFER-0D78AFA6972C</x:v>
      </x:c>
      <x:c r="B238" t="str">
        <x:v>SPEC-4729E3036CB9</x:v>
      </x:c>
      <x:c r="C238" t="str">
        <x:v>BST</x:v>
      </x:c>
      <x:c r="D238" t="str"/>
      <x:c r="E238" t="str"/>
      <x:c r="F238" t="str"/>
      <x:c r="G238" t="str"/>
      <x:c r="H238" t="str"/>
      <x:c r="I238" t="str"/>
      <x:c r="J238" s="54"/>
      <x:c r="K238" t="str"/>
      <x:c r="L238" s="57"/>
      <x:c r="M238" s="57"/>
      <x:c r="N238" s="54" t="str">
        <x:f>IF(J238="","",J238*(1-IF(L238="",0,L238))*(1-IF(M238="",0,M238)))</x:f>
      </x:c>
      <x:c r="O238" t="str">
        <x:v>USD</x:v>
      </x:c>
      <x:c r="P238" t="str">
        <x:f>IF(J238="","UNPRICED","PRICED")</x:f>
        <x:v>UNPRICED</x:v>
      </x:c>
      <x:c r="Q238" t="str">
        <x:f>IF(OR(ISNUMBER(SEARCH("MISSING_VENDOR",R238)),ISNUMBER(SEARCH("MISSING_PART_NUMBER",R238)),ISNUMBER(SEARCH("PLACEHOLDER_PART_NUMBER",R238)),ISNUMBER(SEARCH("MISSING_REQUIRED_SPEC",R238)),ISNUMBER(SEARCH("PART_NUMBER_CONFLICT",R238)),ISNUMBER(SEARCH("SIZE_PART_MISMATCH",R238)),ISNUMBER(SEARCH("POSSIBLE_PRICE_OUTLIER",R238))),"REVIEW","ACTIVE")</x:f>
        <x:v>REVIEW</x:v>
      </x:c>
      <x:c r="R238" t="str">
        <x:v>MISSING_PRICE; MISSING_PART_NUMBER</x:v>
      </x:c>
      <x:c r="S238" t="n">
        <x:v>192</x:v>
      </x:c>
    </x:row>
    <x:row r="239" ht="15" hidden="0" customHeight="1">
      <x:c r="A239" t="str">
        <x:v>OFFER-EE0C01FAF1AA</x:v>
      </x:c>
      <x:c r="B239" t="str">
        <x:v>SPEC-71EA9B147D8B</x:v>
      </x:c>
      <x:c r="C239" t="str">
        <x:v>PHG</x:v>
      </x:c>
      <x:c r="D239" t="str">
        <x:v>MEW NO BOLT</x:v>
      </x:c>
      <x:c r="E239" t="str"/>
      <x:c r="F239" t="str"/>
      <x:c r="G239" t="str">
        <x:v>MEW705CT26D</x:v>
      </x:c>
      <x:c r="H239" t="str">
        <x:v>MEW705CT26D</x:v>
      </x:c>
      <x:c r="I239" t="str"/>
      <x:c r="J239" s="54"/>
      <x:c r="K239" t="str"/>
      <x:c r="L239" s="57"/>
      <x:c r="M239" s="57"/>
      <x:c r="N239" s="54" t="str">
        <x:f>IF(J239="","",J239*(1-IF(L239="",0,L239))*(1-IF(M239="",0,M239)))</x:f>
      </x:c>
      <x:c r="O239" t="str">
        <x:v>USD</x:v>
      </x:c>
      <x:c r="P239" t="str">
        <x:f>IF(J239="","UNPRICED","PRICED")</x:f>
        <x:v>UNPRICED</x:v>
      </x:c>
      <x:c r="Q239" t="str">
        <x:f>IF(OR(ISNUMBER(SEARCH("MISSING_VENDOR",R239)),ISNUMBER(SEARCH("MISSING_PART_NUMBER",R239)),ISNUMBER(SEARCH("PLACEHOLDER_PART_NUMBER",R239)),ISNUMBER(SEARCH("MISSING_REQUIRED_SPEC",R239)),ISNUMBER(SEARCH("PART_NUMBER_CONFLICT",R239)),ISNUMBER(SEARCH("SIZE_PART_MISMATCH",R239)),ISNUMBER(SEARCH("POSSIBLE_PRICE_OUTLIER",R239))),"REVIEW","ACTIVE")</x:f>
        <x:v>ACTIVE</x:v>
      </x:c>
      <x:c r="R239" t="str">
        <x:v>MISSING_PRICE</x:v>
      </x:c>
      <x:c r="S239" t="n">
        <x:v>196</x:v>
      </x:c>
    </x:row>
    <x:row r="240" ht="15" hidden="0" customHeight="1">
      <x:c r="A240" t="str">
        <x:v>OFFER-902A6592B544</x:v>
      </x:c>
      <x:c r="B240" t="str">
        <x:v>SPEC-AA2D21F78E1A</x:v>
      </x:c>
      <x:c r="C240" t="str">
        <x:v>PHG</x:v>
      </x:c>
      <x:c r="D240" t="str">
        <x:v>MEW W BOLT</x:v>
      </x:c>
      <x:c r="E240" t="str"/>
      <x:c r="F240" t="str"/>
      <x:c r="G240" t="str">
        <x:v>MEW713CT26D</x:v>
      </x:c>
      <x:c r="H240" t="str">
        <x:v>MEW713CT26D</x:v>
      </x:c>
      <x:c r="I240" t="str"/>
      <x:c r="J240" s="54"/>
      <x:c r="K240" t="str"/>
      <x:c r="L240" s="57"/>
      <x:c r="M240" s="57"/>
      <x:c r="N240" s="54" t="str">
        <x:f>IF(J240="","",J240*(1-IF(L240="",0,L240))*(1-IF(M240="",0,M240)))</x:f>
      </x:c>
      <x:c r="O240" t="str">
        <x:v>USD</x:v>
      </x:c>
      <x:c r="P240" t="str">
        <x:f>IF(J240="","UNPRICED","PRICED")</x:f>
        <x:v>UNPRICED</x:v>
      </x:c>
      <x:c r="Q240" t="str">
        <x:f>IF(OR(ISNUMBER(SEARCH("MISSING_VENDOR",R240)),ISNUMBER(SEARCH("MISSING_PART_NUMBER",R240)),ISNUMBER(SEARCH("PLACEHOLDER_PART_NUMBER",R240)),ISNUMBER(SEARCH("MISSING_REQUIRED_SPEC",R240)),ISNUMBER(SEARCH("PART_NUMBER_CONFLICT",R240)),ISNUMBER(SEARCH("SIZE_PART_MISMATCH",R240)),ISNUMBER(SEARCH("POSSIBLE_PRICE_OUTLIER",R240))),"REVIEW","ACTIVE")</x:f>
        <x:v>ACTIVE</x:v>
      </x:c>
      <x:c r="R240" t="str">
        <x:v>MISSING_PRICE</x:v>
      </x:c>
      <x:c r="S240" t="n">
        <x:v>198</x:v>
      </x:c>
    </x:row>
    <x:row r="241" ht="15" hidden="0" customHeight="1">
      <x:c r="A241" t="str">
        <x:v>OFFER-B6E25609C579</x:v>
      </x:c>
      <x:c r="B241" t="str">
        <x:v>SPEC-E66729F39E6C</x:v>
      </x:c>
      <x:c r="C241" t="str">
        <x:v>DK</x:v>
      </x:c>
      <x:c r="D241" t="str"/>
      <x:c r="E241" t="str"/>
      <x:c r="F241" t="str"/>
      <x:c r="G241" t="str"/>
      <x:c r="H241" t="str"/>
      <x:c r="I241" t="str"/>
      <x:c r="J241" s="54"/>
      <x:c r="K241" t="str"/>
      <x:c r="L241" s="57"/>
      <x:c r="M241" s="57"/>
      <x:c r="N241" s="54" t="str">
        <x:f>IF(J241="","",J241*(1-IF(L241="",0,L241))*(1-IF(M241="",0,M241)))</x:f>
      </x:c>
      <x:c r="O241" t="str">
        <x:v>USD</x:v>
      </x:c>
      <x:c r="P241" t="str">
        <x:f>IF(J241="","UNPRICED","PRICED")</x:f>
        <x:v>UNPRICED</x:v>
      </x:c>
      <x:c r="Q241" t="str">
        <x:f>IF(OR(ISNUMBER(SEARCH("MISSING_VENDOR",R241)),ISNUMBER(SEARCH("MISSING_PART_NUMBER",R241)),ISNUMBER(SEARCH("PLACEHOLDER_PART_NUMBER",R241)),ISNUMBER(SEARCH("MISSING_REQUIRED_SPEC",R241)),ISNUMBER(SEARCH("PART_NUMBER_CONFLICT",R241)),ISNUMBER(SEARCH("SIZE_PART_MISMATCH",R241)),ISNUMBER(SEARCH("POSSIBLE_PRICE_OUTLIER",R241))),"REVIEW","ACTIVE")</x:f>
        <x:v>REVIEW</x:v>
      </x:c>
      <x:c r="R241" t="str">
        <x:v>MISSING_PRICE; MISSING_PART_NUMBER</x:v>
      </x:c>
      <x:c r="S241" t="n">
        <x:v>191</x:v>
      </x:c>
    </x:row>
    <x:row r="242" ht="15" hidden="0" customHeight="1">
      <x:c r="A242" t="str">
        <x:v>OFFER-5F9AD40AA0A1</x:v>
      </x:c>
      <x:c r="B242" t="str">
        <x:v>SPEC-E036640F0FCE</x:v>
      </x:c>
      <x:c r="C242" t="str">
        <x:v>DK</x:v>
      </x:c>
      <x:c r="D242" t="str"/>
      <x:c r="E242" t="str"/>
      <x:c r="F242" t="str"/>
      <x:c r="G242" t="str"/>
      <x:c r="H242" t="str"/>
      <x:c r="I242" t="str"/>
      <x:c r="J242" s="54"/>
      <x:c r="K242" t="str"/>
      <x:c r="L242" s="57"/>
      <x:c r="M242" s="57"/>
      <x:c r="N242" s="54" t="str">
        <x:f>IF(J242="","",J242*(1-IF(L242="",0,L242))*(1-IF(M242="",0,M242)))</x:f>
      </x:c>
      <x:c r="O242" t="str">
        <x:v>USD</x:v>
      </x:c>
      <x:c r="P242" t="str">
        <x:f>IF(J242="","UNPRICED","PRICED")</x:f>
        <x:v>UNPRICED</x:v>
      </x:c>
      <x:c r="Q242" t="str">
        <x:f>IF(OR(ISNUMBER(SEARCH("MISSING_VENDOR",R242)),ISNUMBER(SEARCH("MISSING_PART_NUMBER",R242)),ISNUMBER(SEARCH("PLACEHOLDER_PART_NUMBER",R242)),ISNUMBER(SEARCH("MISSING_REQUIRED_SPEC",R242)),ISNUMBER(SEARCH("PART_NUMBER_CONFLICT",R242)),ISNUMBER(SEARCH("SIZE_PART_MISMATCH",R242)),ISNUMBER(SEARCH("POSSIBLE_PRICE_OUTLIER",R242))),"REVIEW","ACTIVE")</x:f>
        <x:v>REVIEW</x:v>
      </x:c>
      <x:c r="R242" t="str">
        <x:v>MISSING_PRICE; MISSING_PART_NUMBER</x:v>
      </x:c>
      <x:c r="S242" t="n">
        <x:v>190</x:v>
      </x:c>
    </x:row>
    <x:row r="243" ht="15" hidden="0" customHeight="1">
      <x:c r="A243" t="str">
        <x:v>OFFER-51DE0707BC24</x:v>
      </x:c>
      <x:c r="B243" t="str">
        <x:v>SPEC-01558E77D141</x:v>
      </x:c>
      <x:c r="C243" t="str">
        <x:v>PHG</x:v>
      </x:c>
      <x:c r="D243" t="str">
        <x:v>MEW NO BOLT</x:v>
      </x:c>
      <x:c r="E243" t="str"/>
      <x:c r="F243" t="str"/>
      <x:c r="G243" t="str">
        <x:v>MEW707CT26D</x:v>
      </x:c>
      <x:c r="H243" t="str">
        <x:v>MEW707CT26D</x:v>
      </x:c>
      <x:c r="I243" t="str"/>
      <x:c r="J243" s="54"/>
      <x:c r="K243" t="str"/>
      <x:c r="L243" s="57"/>
      <x:c r="M243" s="57"/>
      <x:c r="N243" s="54" t="str">
        <x:f>IF(J243="","",J243*(1-IF(L243="",0,L243))*(1-IF(M243="",0,M243)))</x:f>
      </x:c>
      <x:c r="O243" t="str">
        <x:v>USD</x:v>
      </x:c>
      <x:c r="P243" t="str">
        <x:f>IF(J243="","UNPRICED","PRICED")</x:f>
        <x:v>UNPRICED</x:v>
      </x:c>
      <x:c r="Q243" t="str">
        <x:f>IF(OR(ISNUMBER(SEARCH("MISSING_VENDOR",R243)),ISNUMBER(SEARCH("MISSING_PART_NUMBER",R243)),ISNUMBER(SEARCH("PLACEHOLDER_PART_NUMBER",R243)),ISNUMBER(SEARCH("MISSING_REQUIRED_SPEC",R243)),ISNUMBER(SEARCH("PART_NUMBER_CONFLICT",R243)),ISNUMBER(SEARCH("SIZE_PART_MISMATCH",R243)),ISNUMBER(SEARCH("POSSIBLE_PRICE_OUTLIER",R243))),"REVIEW","ACTIVE")</x:f>
        <x:v>ACTIVE</x:v>
      </x:c>
      <x:c r="R243" t="str">
        <x:v>MISSING_PRICE</x:v>
      </x:c>
      <x:c r="S243" t="n">
        <x:v>197</x:v>
      </x:c>
    </x:row>
    <x:row r="244" ht="15" hidden="0" customHeight="1">
      <x:c r="A244" t="str">
        <x:v>OFFER-1EA4A266EC28</x:v>
      </x:c>
      <x:c r="B244" t="str">
        <x:v>SPEC-01558E77D141</x:v>
      </x:c>
      <x:c r="C244" t="str">
        <x:v>PHG</x:v>
      </x:c>
      <x:c r="D244" t="str">
        <x:v>MEW W BOLT</x:v>
      </x:c>
      <x:c r="E244" t="str"/>
      <x:c r="F244" t="str"/>
      <x:c r="G244" t="str">
        <x:v>MEW765CT26D</x:v>
      </x:c>
      <x:c r="H244" t="str">
        <x:v>MEW765CT26D</x:v>
      </x:c>
      <x:c r="I244" t="str"/>
      <x:c r="J244" s="54"/>
      <x:c r="K244" t="str"/>
      <x:c r="L244" s="57"/>
      <x:c r="M244" s="57"/>
      <x:c r="N244" s="54" t="str">
        <x:f>IF(J244="","",J244*(1-IF(L244="",0,L244))*(1-IF(M244="",0,M244)))</x:f>
      </x:c>
      <x:c r="O244" t="str">
        <x:v>USD</x:v>
      </x:c>
      <x:c r="P244" t="str">
        <x:f>IF(J244="","UNPRICED","PRICED")</x:f>
        <x:v>UNPRICED</x:v>
      </x:c>
      <x:c r="Q244" t="str">
        <x:f>IF(OR(ISNUMBER(SEARCH("MISSING_VENDOR",R244)),ISNUMBER(SEARCH("MISSING_PART_NUMBER",R244)),ISNUMBER(SEARCH("PLACEHOLDER_PART_NUMBER",R244)),ISNUMBER(SEARCH("MISSING_REQUIRED_SPEC",R244)),ISNUMBER(SEARCH("PART_NUMBER_CONFLICT",R244)),ISNUMBER(SEARCH("SIZE_PART_MISMATCH",R244)),ISNUMBER(SEARCH("POSSIBLE_PRICE_OUTLIER",R244))),"REVIEW","ACTIVE")</x:f>
        <x:v>ACTIVE</x:v>
      </x:c>
      <x:c r="R244" t="str">
        <x:v>MISSING_PRICE</x:v>
      </x:c>
      <x:c r="S244" t="n">
        <x:v>199</x:v>
      </x:c>
    </x:row>
    <x:row r="245" ht="15" hidden="0" customHeight="1">
      <x:c r="A245" t="str">
        <x:v>OFFER-7B1D57249CFE</x:v>
      </x:c>
      <x:c r="B245" t="str">
        <x:v>SPEC-15FDCC55AD13</x:v>
      </x:c>
      <x:c r="C245" t="str">
        <x:v>DK</x:v>
      </x:c>
      <x:c r="D245" t="str"/>
      <x:c r="E245" t="str"/>
      <x:c r="F245" t="str"/>
      <x:c r="G245" t="str">
        <x:v>M1-980-D-LR-M-*-HAND-134-5006-114</x:v>
      </x:c>
      <x:c r="H245" t="str">
        <x:v>M1-980-D-LR-M-*-HAND-134-5006-114</x:v>
      </x:c>
      <x:c r="I245" t="str"/>
      <x:c r="J245" s="54"/>
      <x:c r="K245" t="str"/>
      <x:c r="L245" s="57"/>
      <x:c r="M245" s="57"/>
      <x:c r="N245" s="54" t="str">
        <x:f>IF(J245="","",J245*(1-IF(L245="",0,L245))*(1-IF(M245="",0,M245)))</x:f>
      </x:c>
      <x:c r="O245" t="str">
        <x:v>USD</x:v>
      </x:c>
      <x:c r="P245" t="str">
        <x:f>IF(J245="","UNPRICED","PRICED")</x:f>
        <x:v>UNPRICED</x:v>
      </x:c>
      <x:c r="Q245" t="str">
        <x:f>IF(OR(ISNUMBER(SEARCH("MISSING_VENDOR",R245)),ISNUMBER(SEARCH("MISSING_PART_NUMBER",R245)),ISNUMBER(SEARCH("PLACEHOLDER_PART_NUMBER",R245)),ISNUMBER(SEARCH("MISSING_REQUIRED_SPEC",R245)),ISNUMBER(SEARCH("PART_NUMBER_CONFLICT",R245)),ISNUMBER(SEARCH("SIZE_PART_MISMATCH",R245)),ISNUMBER(SEARCH("POSSIBLE_PRICE_OUTLIER",R245))),"REVIEW","ACTIVE")</x:f>
        <x:v>ACTIVE</x:v>
      </x:c>
      <x:c r="R245" t="str">
        <x:v>MISSING_PRICE</x:v>
      </x:c>
      <x:c r="S245" t="n">
        <x:v>189</x:v>
      </x:c>
    </x:row>
    <x:row r="246" ht="15" hidden="0" customHeight="1">
      <x:c r="A246" t="str">
        <x:v>OFFER-F1993619AC19</x:v>
      </x:c>
      <x:c r="B246" t="str">
        <x:v>SPEC-DCF3F116451F</x:v>
      </x:c>
      <x:c r="C246" t="str">
        <x:v>PHG</x:v>
      </x:c>
      <x:c r="D246" t="str">
        <x:v>HELM ESC TRIM-900ICS</x:v>
      </x:c>
      <x:c r="E246" t="str">
        <x:v>HELM 9 SERIES TRIM (9800)</x:v>
      </x:c>
      <x:c r="F246" t="str"/>
      <x:c r="G246" t="str">
        <x:v>HELM900CT32DICS</x:v>
      </x:c>
      <x:c r="H246" t="str">
        <x:v>HELM900CT32DICS</x:v>
      </x:c>
      <x:c r="I246" t="str"/>
      <x:c r="J246" s="54" t="n">
        <x:v>274.07</x:v>
      </x:c>
      <x:c r="K246" t="str"/>
      <x:c r="L246" s="57"/>
      <x:c r="M246" s="57"/>
      <x:c r="N246" s="54" t="n">
        <x:f>IF(J246="","",J246*(1-IF(L246="",0,L246))*(1-IF(M246="",0,M246)))</x:f>
        <x:v>274.07</x:v>
      </x:c>
      <x:c r="O246" t="str">
        <x:v>USD</x:v>
      </x:c>
      <x:c r="P246" t="str">
        <x:f>IF(J246="","UNPRICED","PRICED")</x:f>
        <x:v>PRICED</x:v>
      </x:c>
      <x:c r="Q246" t="str">
        <x:f>IF(OR(ISNUMBER(SEARCH("MISSING_VENDOR",R246)),ISNUMBER(SEARCH("MISSING_PART_NUMBER",R246)),ISNUMBER(SEARCH("PLACEHOLDER_PART_NUMBER",R246)),ISNUMBER(SEARCH("MISSING_REQUIRED_SPEC",R246)),ISNUMBER(SEARCH("PART_NUMBER_CONFLICT",R246)),ISNUMBER(SEARCH("SIZE_PART_MISMATCH",R246)),ISNUMBER(SEARCH("POSSIBLE_PRICE_OUTLIER",R246))),"REVIEW","ACTIVE")</x:f>
        <x:v>ACTIVE</x:v>
      </x:c>
      <x:c r="R246" t="str"/>
      <x:c r="S246" t="n">
        <x:v>214</x:v>
      </x:c>
    </x:row>
    <x:row r="247" ht="15" hidden="0" customHeight="1">
      <x:c r="A247" t="str">
        <x:v>OFFER-BAE79280D435</x:v>
      </x:c>
      <x:c r="B247" t="str">
        <x:v>SPEC-A6EFC30CD655</x:v>
      </x:c>
      <x:c r="C247" t="str">
        <x:v>PHG</x:v>
      </x:c>
      <x:c r="D247" t="str">
        <x:v>HELM ESC TRIM-900ICB</x:v>
      </x:c>
      <x:c r="E247" t="str">
        <x:v>HELM 9 SERIES TRIM (9800)</x:v>
      </x:c>
      <x:c r="F247" t="str"/>
      <x:c r="G247" t="str">
        <x:v>HELM900CT32DICB</x:v>
      </x:c>
      <x:c r="H247" t="str">
        <x:v>HELM900CT32DICB</x:v>
      </x:c>
      <x:c r="I247" t="str"/>
      <x:c r="J247" s="54" t="n">
        <x:v>274.7</x:v>
      </x:c>
      <x:c r="K247" t="str"/>
      <x:c r="L247" s="57"/>
      <x:c r="M247" s="57"/>
      <x:c r="N247" s="54" t="n">
        <x:f>IF(J247="","",J247*(1-IF(L247="",0,L247))*(1-IF(M247="",0,M247)))</x:f>
        <x:v>274.7</x:v>
      </x:c>
      <x:c r="O247" t="str">
        <x:v>USD</x:v>
      </x:c>
      <x:c r="P247" t="str">
        <x:f>IF(J247="","UNPRICED","PRICED")</x:f>
        <x:v>PRICED</x:v>
      </x:c>
      <x:c r="Q247" t="str">
        <x:f>IF(OR(ISNUMBER(SEARCH("MISSING_VENDOR",R247)),ISNUMBER(SEARCH("MISSING_PART_NUMBER",R247)),ISNUMBER(SEARCH("PLACEHOLDER_PART_NUMBER",R247)),ISNUMBER(SEARCH("MISSING_REQUIRED_SPEC",R247)),ISNUMBER(SEARCH("PART_NUMBER_CONFLICT",R247)),ISNUMBER(SEARCH("SIZE_PART_MISMATCH",R247)),ISNUMBER(SEARCH("POSSIBLE_PRICE_OUTLIER",R247))),"REVIEW","ACTIVE")</x:f>
        <x:v>ACTIVE</x:v>
      </x:c>
      <x:c r="R247" t="str"/>
      <x:c r="S247" t="n">
        <x:v>213</x:v>
      </x:c>
    </x:row>
    <x:row r="248" ht="15" hidden="0" customHeight="1">
      <x:c r="A248" t="str">
        <x:v>OFFER-75A5F9B6DF14</x:v>
      </x:c>
      <x:c r="B248" t="str">
        <x:v>SPEC-99F287537EEF</x:v>
      </x:c>
      <x:c r="C248" t="str">
        <x:v>PHG</x:v>
      </x:c>
      <x:c r="D248" t="str">
        <x:v>HELM ESC TRIM-900</x:v>
      </x:c>
      <x:c r="E248" t="str">
        <x:v>HELM 9 SERIES TRIM (9800)</x:v>
      </x:c>
      <x:c r="F248" t="str"/>
      <x:c r="G248" t="str">
        <x:v>HELM900CT32D</x:v>
      </x:c>
      <x:c r="H248" t="str">
        <x:v>HELM900CT32D</x:v>
      </x:c>
      <x:c r="I248" t="str"/>
      <x:c r="J248" s="54" t="n">
        <x:v>236.97</x:v>
      </x:c>
      <x:c r="K248" t="str"/>
      <x:c r="L248" s="57"/>
      <x:c r="M248" s="57"/>
      <x:c r="N248" s="54" t="n">
        <x:f>IF(J248="","",J248*(1-IF(L248="",0,L248))*(1-IF(M248="",0,M248)))</x:f>
        <x:v>236.97</x:v>
      </x:c>
      <x:c r="O248" t="str">
        <x:v>USD</x:v>
      </x:c>
      <x:c r="P248" t="str">
        <x:f>IF(J248="","UNPRICED","PRICED")</x:f>
        <x:v>PRICED</x:v>
      </x:c>
      <x:c r="Q248" t="str">
        <x:f>IF(OR(ISNUMBER(SEARCH("MISSING_VENDOR",R248)),ISNUMBER(SEARCH("MISSING_PART_NUMBER",R248)),ISNUMBER(SEARCH("PLACEHOLDER_PART_NUMBER",R248)),ISNUMBER(SEARCH("MISSING_REQUIRED_SPEC",R248)),ISNUMBER(SEARCH("PART_NUMBER_CONFLICT",R248)),ISNUMBER(SEARCH("SIZE_PART_MISMATCH",R248)),ISNUMBER(SEARCH("POSSIBLE_PRICE_OUTLIER",R248))),"REVIEW","ACTIVE")</x:f>
        <x:v>ACTIVE</x:v>
      </x:c>
      <x:c r="R248" t="str"/>
      <x:c r="S248" t="n">
        <x:v>212</x:v>
      </x:c>
    </x:row>
    <x:row r="249" ht="15" hidden="0" customHeight="1">
      <x:c r="A249" t="str">
        <x:v>OFFER-4093B9D7572F</x:v>
      </x:c>
      <x:c r="B249" t="str">
        <x:v>SPEC-AC12875358E2</x:v>
      </x:c>
      <x:c r="C249" t="str">
        <x:v>PHG</x:v>
      </x:c>
      <x:c r="D249" t="str">
        <x:v>HELM ESC TRIM-904ICS</x:v>
      </x:c>
      <x:c r="E249" t="str">
        <x:v>HELM 9 SERIES TRIM (9800)</x:v>
      </x:c>
      <x:c r="F249" t="str"/>
      <x:c r="G249" t="str">
        <x:v>HELM904CT32DICS</x:v>
      </x:c>
      <x:c r="H249" t="str">
        <x:v>HELM904CT32DICS</x:v>
      </x:c>
      <x:c r="I249" t="str"/>
      <x:c r="J249" s="54" t="n">
        <x:v>274.7</x:v>
      </x:c>
      <x:c r="K249" t="str"/>
      <x:c r="L249" s="57"/>
      <x:c r="M249" s="57"/>
      <x:c r="N249" s="54" t="n">
        <x:f>IF(J249="","",J249*(1-IF(L249="",0,L249))*(1-IF(M249="",0,M249)))</x:f>
        <x:v>274.7</x:v>
      </x:c>
      <x:c r="O249" t="str">
        <x:v>USD</x:v>
      </x:c>
      <x:c r="P249" t="str">
        <x:f>IF(J249="","UNPRICED","PRICED")</x:f>
        <x:v>PRICED</x:v>
      </x:c>
      <x:c r="Q249" t="str">
        <x:f>IF(OR(ISNUMBER(SEARCH("MISSING_VENDOR",R249)),ISNUMBER(SEARCH("MISSING_PART_NUMBER",R249)),ISNUMBER(SEARCH("PLACEHOLDER_PART_NUMBER",R249)),ISNUMBER(SEARCH("MISSING_REQUIRED_SPEC",R249)),ISNUMBER(SEARCH("PART_NUMBER_CONFLICT",R249)),ISNUMBER(SEARCH("SIZE_PART_MISMATCH",R249)),ISNUMBER(SEARCH("POSSIBLE_PRICE_OUTLIER",R249))),"REVIEW","ACTIVE")</x:f>
        <x:v>ACTIVE</x:v>
      </x:c>
      <x:c r="R249" t="str"/>
      <x:c r="S249" t="n">
        <x:v>217</x:v>
      </x:c>
    </x:row>
    <x:row r="250" ht="15" hidden="0" customHeight="1">
      <x:c r="A250" t="str">
        <x:v>OFFER-FDD6E1288DCF</x:v>
      </x:c>
      <x:c r="B250" t="str">
        <x:v>SPEC-259D7AD04F0B</x:v>
      </x:c>
      <x:c r="C250" t="str">
        <x:v>PHG</x:v>
      </x:c>
      <x:c r="D250" t="str">
        <x:v>HELM ESC TRIM-904ICB</x:v>
      </x:c>
      <x:c r="E250" t="str">
        <x:v>HELM 9 SERIES TRIM (9800)</x:v>
      </x:c>
      <x:c r="F250" t="str"/>
      <x:c r="G250" t="str">
        <x:v>HELM904CT32DICB</x:v>
      </x:c>
      <x:c r="H250" t="str">
        <x:v>HELM904CT32DICB</x:v>
      </x:c>
      <x:c r="I250" t="str"/>
      <x:c r="J250" s="54" t="n">
        <x:v>274.7</x:v>
      </x:c>
      <x:c r="K250" t="str"/>
      <x:c r="L250" s="57"/>
      <x:c r="M250" s="57"/>
      <x:c r="N250" s="54" t="n">
        <x:f>IF(J250="","",J250*(1-IF(L250="",0,L250))*(1-IF(M250="",0,M250)))</x:f>
        <x:v>274.7</x:v>
      </x:c>
      <x:c r="O250" t="str">
        <x:v>USD</x:v>
      </x:c>
      <x:c r="P250" t="str">
        <x:f>IF(J250="","UNPRICED","PRICED")</x:f>
        <x:v>PRICED</x:v>
      </x:c>
      <x:c r="Q250" t="str">
        <x:f>IF(OR(ISNUMBER(SEARCH("MISSING_VENDOR",R250)),ISNUMBER(SEARCH("MISSING_PART_NUMBER",R250)),ISNUMBER(SEARCH("PLACEHOLDER_PART_NUMBER",R250)),ISNUMBER(SEARCH("MISSING_REQUIRED_SPEC",R250)),ISNUMBER(SEARCH("PART_NUMBER_CONFLICT",R250)),ISNUMBER(SEARCH("SIZE_PART_MISMATCH",R250)),ISNUMBER(SEARCH("POSSIBLE_PRICE_OUTLIER",R250))),"REVIEW","ACTIVE")</x:f>
        <x:v>ACTIVE</x:v>
      </x:c>
      <x:c r="R250" t="str"/>
      <x:c r="S250" t="n">
        <x:v>216</x:v>
      </x:c>
    </x:row>
    <x:row r="251" ht="15" hidden="0" customHeight="1">
      <x:c r="A251" t="str">
        <x:v>OFFER-CD8DCB5D4EBB</x:v>
      </x:c>
      <x:c r="B251" t="str">
        <x:v>SPEC-E47F09380872</x:v>
      </x:c>
      <x:c r="C251" t="str">
        <x:v>PHG</x:v>
      </x:c>
      <x:c r="D251" t="str">
        <x:v>HELM ESC TRIM-904</x:v>
      </x:c>
      <x:c r="E251" t="str">
        <x:v>HELM 9 SERIES TRIM (9800)</x:v>
      </x:c>
      <x:c r="F251" t="str"/>
      <x:c r="G251" t="str">
        <x:v>HELM904CT32D</x:v>
      </x:c>
      <x:c r="H251" t="str">
        <x:v>HELM904CT32D</x:v>
      </x:c>
      <x:c r="I251" t="str"/>
      <x:c r="J251" s="54" t="n">
        <x:v>236.97</x:v>
      </x:c>
      <x:c r="K251" t="str"/>
      <x:c r="L251" s="57"/>
      <x:c r="M251" s="57"/>
      <x:c r="N251" s="54" t="n">
        <x:f>IF(J251="","",J251*(1-IF(L251="",0,L251))*(1-IF(M251="",0,M251)))</x:f>
        <x:v>236.97</x:v>
      </x:c>
      <x:c r="O251" t="str">
        <x:v>USD</x:v>
      </x:c>
      <x:c r="P251" t="str">
        <x:f>IF(J251="","UNPRICED","PRICED")</x:f>
        <x:v>PRICED</x:v>
      </x:c>
      <x:c r="Q251" t="str">
        <x:f>IF(OR(ISNUMBER(SEARCH("MISSING_VENDOR",R251)),ISNUMBER(SEARCH("MISSING_PART_NUMBER",R251)),ISNUMBER(SEARCH("PLACEHOLDER_PART_NUMBER",R251)),ISNUMBER(SEARCH("MISSING_REQUIRED_SPEC",R251)),ISNUMBER(SEARCH("PART_NUMBER_CONFLICT",R251)),ISNUMBER(SEARCH("SIZE_PART_MISMATCH",R251)),ISNUMBER(SEARCH("POSSIBLE_PRICE_OUTLIER",R251))),"REVIEW","ACTIVE")</x:f>
        <x:v>ACTIVE</x:v>
      </x:c>
      <x:c r="R251" t="str"/>
      <x:c r="S251" t="n">
        <x:v>215</x:v>
      </x:c>
    </x:row>
    <x:row r="252" ht="15" hidden="0" customHeight="1">
      <x:c r="A252" t="str">
        <x:v>OFFER-4D36966A02F2</x:v>
      </x:c>
      <x:c r="B252" t="str">
        <x:v>SPEC-1EEF3EEC4A24</x:v>
      </x:c>
      <x:c r="C252" t="str">
        <x:v>DH</x:v>
      </x:c>
      <x:c r="D252" t="str">
        <x:v>ESC LVR TRIM SFIC 1.375 CYL</x:v>
      </x:c>
      <x:c r="E252" t="str">
        <x:v>LD-08 SFIC</x:v>
      </x:c>
      <x:c r="F252" t="str"/>
      <x:c r="G252" t="str">
        <x:v>78000659</x:v>
      </x:c>
      <x:c r="H252" t="str">
        <x:v>78000659 - LE-08IC Flat Entry Lever Escutcheon (includes 1 3/8" SFIC Housing+2 shims)</x:v>
      </x:c>
      <x:c r="I252" t="str"/>
      <x:c r="J252" s="54" t="n">
        <x:v>251.55</x:v>
      </x:c>
      <x:c r="K252" t="str"/>
      <x:c r="L252" s="57"/>
      <x:c r="M252" s="57"/>
      <x:c r="N252" s="54" t="n">
        <x:f>IF(J252="","",J252*(1-IF(L252="",0,L252))*(1-IF(M252="",0,M252)))</x:f>
        <x:v>251.55</x:v>
      </x:c>
      <x:c r="O252" t="str">
        <x:v>USD</x:v>
      </x:c>
      <x:c r="P252" t="str">
        <x:f>IF(J252="","UNPRICED","PRICED")</x:f>
        <x:v>PRICED</x:v>
      </x:c>
      <x:c r="Q252" t="str">
        <x:f>IF(OR(ISNUMBER(SEARCH("MISSING_VENDOR",R252)),ISNUMBER(SEARCH("MISSING_PART_NUMBER",R252)),ISNUMBER(SEARCH("PLACEHOLDER_PART_NUMBER",R252)),ISNUMBER(SEARCH("MISSING_REQUIRED_SPEC",R252)),ISNUMBER(SEARCH("PART_NUMBER_CONFLICT",R252)),ISNUMBER(SEARCH("SIZE_PART_MISMATCH",R252)),ISNUMBER(SEARCH("POSSIBLE_PRICE_OUTLIER",R252))),"REVIEW","ACTIVE")</x:f>
        <x:v>ACTIVE</x:v>
      </x:c>
      <x:c r="R252" t="str"/>
      <x:c r="S252" t="n">
        <x:v>299</x:v>
      </x:c>
    </x:row>
    <x:row r="253" ht="15" hidden="0" customHeight="1">
      <x:c r="A253" t="str">
        <x:v>OFFER-3215AE13B3C7</x:v>
      </x:c>
      <x:c r="B253" t="str">
        <x:v>SPEC-69C6410D5BA4</x:v>
      </x:c>
      <x:c r="C253" t="str">
        <x:v>DH</x:v>
      </x:c>
      <x:c r="D253" t="str">
        <x:v>ESC LVR TRIM 1.125 M CYL</x:v>
      </x:c>
      <x:c r="E253" t="str">
        <x:v>LE-08</x:v>
      </x:c>
      <x:c r="F253" t="str"/>
      <x:c r="G253" t="str">
        <x:v>78002459</x:v>
      </x:c>
      <x:c r="H253" t="str">
        <x:v>78002459 - LE-08 Flat Entry Lever Escutcheon (includes 1 1/8" Mort Cyl.)</x:v>
      </x:c>
      <x:c r="I253" t="str"/>
      <x:c r="J253" s="54" t="n">
        <x:v>251.55</x:v>
      </x:c>
      <x:c r="K253" t="str"/>
      <x:c r="L253" s="57"/>
      <x:c r="M253" s="57"/>
      <x:c r="N253" s="54" t="n">
        <x:f>IF(J253="","",J253*(1-IF(L253="",0,L253))*(1-IF(M253="",0,M253)))</x:f>
        <x:v>251.55</x:v>
      </x:c>
      <x:c r="O253" t="str">
        <x:v>USD</x:v>
      </x:c>
      <x:c r="P253" t="str">
        <x:f>IF(J253="","UNPRICED","PRICED")</x:f>
        <x:v>PRICED</x:v>
      </x:c>
      <x:c r="Q253" t="str">
        <x:f>IF(OR(ISNUMBER(SEARCH("MISSING_VENDOR",R253)),ISNUMBER(SEARCH("MISSING_PART_NUMBER",R253)),ISNUMBER(SEARCH("PLACEHOLDER_PART_NUMBER",R253)),ISNUMBER(SEARCH("MISSING_REQUIRED_SPEC",R253)),ISNUMBER(SEARCH("PART_NUMBER_CONFLICT",R253)),ISNUMBER(SEARCH("SIZE_PART_MISMATCH",R253)),ISNUMBER(SEARCH("POSSIBLE_PRICE_OUTLIER",R253))),"REVIEW","ACTIVE")</x:f>
        <x:v>ACTIVE</x:v>
      </x:c>
      <x:c r="R253" t="str"/>
      <x:c r="S253" t="n">
        <x:v>298</x:v>
      </x:c>
    </x:row>
    <x:row r="254" ht="15" hidden="0" customHeight="1">
      <x:c r="A254" t="str">
        <x:v>OFFER-8A903449DD9C</x:v>
      </x:c>
      <x:c r="B254" t="str">
        <x:v>SPEC-5A6D704C5CA6</x:v>
      </x:c>
      <x:c r="C254" t="str">
        <x:v>PHG</x:v>
      </x:c>
      <x:c r="D254" t="str">
        <x:v>HETL9 ESC TRIM-900ICS</x:v>
      </x:c>
      <x:c r="E254" t="str">
        <x:v>HETL9 9 SERIES TRIM (9500)</x:v>
      </x:c>
      <x:c r="F254" t="str"/>
      <x:c r="G254" t="str">
        <x:v>HETL900CT32DICS</x:v>
      </x:c>
      <x:c r="H254" t="str">
        <x:v>HETL900CT32DICS</x:v>
      </x:c>
      <x:c r="I254" t="str"/>
      <x:c r="J254" s="54" t="n">
        <x:v>252.36</x:v>
      </x:c>
      <x:c r="K254" t="str"/>
      <x:c r="L254" s="57"/>
      <x:c r="M254" s="57"/>
      <x:c r="N254" s="54" t="n">
        <x:f>IF(J254="","",J254*(1-IF(L254="",0,L254))*(1-IF(M254="",0,M254)))</x:f>
        <x:v>252.36</x:v>
      </x:c>
      <x:c r="O254" t="str">
        <x:v>USD</x:v>
      </x:c>
      <x:c r="P254" t="str">
        <x:f>IF(J254="","UNPRICED","PRICED")</x:f>
        <x:v>PRICED</x:v>
      </x:c>
      <x:c r="Q254" t="str">
        <x:f>IF(OR(ISNUMBER(SEARCH("MISSING_VENDOR",R254)),ISNUMBER(SEARCH("MISSING_PART_NUMBER",R254)),ISNUMBER(SEARCH("PLACEHOLDER_PART_NUMBER",R254)),ISNUMBER(SEARCH("MISSING_REQUIRED_SPEC",R254)),ISNUMBER(SEARCH("PART_NUMBER_CONFLICT",R254)),ISNUMBER(SEARCH("SIZE_PART_MISMATCH",R254)),ISNUMBER(SEARCH("POSSIBLE_PRICE_OUTLIER",R254))),"REVIEW","ACTIVE")</x:f>
        <x:v>ACTIVE</x:v>
      </x:c>
      <x:c r="R254" t="str"/>
      <x:c r="S254" t="n">
        <x:v>312</x:v>
      </x:c>
    </x:row>
    <x:row r="255" ht="15" hidden="0" customHeight="1">
      <x:c r="A255" t="str">
        <x:v>OFFER-0A4D39C37BCA</x:v>
      </x:c>
      <x:c r="B255" t="str">
        <x:v>SPEC-B535D0CC63C5</x:v>
      </x:c>
      <x:c r="C255" t="str">
        <x:v>PHG</x:v>
      </x:c>
      <x:c r="D255" t="str">
        <x:v>HETL9 ESC TRIM-900ICB</x:v>
      </x:c>
      <x:c r="E255" t="str">
        <x:v>HETL9 9 SERIES TRIM (9500)</x:v>
      </x:c>
      <x:c r="F255" t="str"/>
      <x:c r="G255" t="str">
        <x:v>HETL900CT32DICB</x:v>
      </x:c>
      <x:c r="H255" t="str">
        <x:v>HETL900CT32DICB</x:v>
      </x:c>
      <x:c r="I255" t="str"/>
      <x:c r="J255" s="54" t="n">
        <x:v>252.36</x:v>
      </x:c>
      <x:c r="K255" t="str"/>
      <x:c r="L255" s="57"/>
      <x:c r="M255" s="57"/>
      <x:c r="N255" s="54" t="n">
        <x:f>IF(J255="","",J255*(1-IF(L255="",0,L255))*(1-IF(M255="",0,M255)))</x:f>
        <x:v>252.36</x:v>
      </x:c>
      <x:c r="O255" t="str">
        <x:v>USD</x:v>
      </x:c>
      <x:c r="P255" t="str">
        <x:f>IF(J255="","UNPRICED","PRICED")</x:f>
        <x:v>PRICED</x:v>
      </x:c>
      <x:c r="Q255" t="str">
        <x:f>IF(OR(ISNUMBER(SEARCH("MISSING_VENDOR",R255)),ISNUMBER(SEARCH("MISSING_PART_NUMBER",R255)),ISNUMBER(SEARCH("PLACEHOLDER_PART_NUMBER",R255)),ISNUMBER(SEARCH("MISSING_REQUIRED_SPEC",R255)),ISNUMBER(SEARCH("PART_NUMBER_CONFLICT",R255)),ISNUMBER(SEARCH("SIZE_PART_MISMATCH",R255)),ISNUMBER(SEARCH("POSSIBLE_PRICE_OUTLIER",R255))),"REVIEW","ACTIVE")</x:f>
        <x:v>ACTIVE</x:v>
      </x:c>
      <x:c r="R255" t="str"/>
      <x:c r="S255" t="n">
        <x:v>311</x:v>
      </x:c>
    </x:row>
    <x:row r="256" ht="15" hidden="0" customHeight="1">
      <x:c r="A256" t="str">
        <x:v>OFFER-14E56D35C06D</x:v>
      </x:c>
      <x:c r="B256" t="str">
        <x:v>SPEC-4E095B175796</x:v>
      </x:c>
      <x:c r="C256" t="str">
        <x:v>PHG</x:v>
      </x:c>
      <x:c r="D256" t="str">
        <x:v>HETL9 ESC TRIM-900</x:v>
      </x:c>
      <x:c r="E256" t="str">
        <x:v>HETL9 9 SERIES TRIM (9500)</x:v>
      </x:c>
      <x:c r="F256" t="str"/>
      <x:c r="G256" t="str">
        <x:v>HETL900CT32D</x:v>
      </x:c>
      <x:c r="H256" t="str">
        <x:v>HETL900CT32D</x:v>
      </x:c>
      <x:c r="I256" t="str"/>
      <x:c r="J256" s="54" t="n">
        <x:v>214.63</x:v>
      </x:c>
      <x:c r="K256" t="str"/>
      <x:c r="L256" s="57"/>
      <x:c r="M256" s="57"/>
      <x:c r="N256" s="54" t="n">
        <x:f>IF(J256="","",J256*(1-IF(L256="",0,L256))*(1-IF(M256="",0,M256)))</x:f>
        <x:v>214.63</x:v>
      </x:c>
      <x:c r="O256" t="str">
        <x:v>USD</x:v>
      </x:c>
      <x:c r="P256" t="str">
        <x:f>IF(J256="","UNPRICED","PRICED")</x:f>
        <x:v>PRICED</x:v>
      </x:c>
      <x:c r="Q256" t="str">
        <x:f>IF(OR(ISNUMBER(SEARCH("MISSING_VENDOR",R256)),ISNUMBER(SEARCH("MISSING_PART_NUMBER",R256)),ISNUMBER(SEARCH("PLACEHOLDER_PART_NUMBER",R256)),ISNUMBER(SEARCH("MISSING_REQUIRED_SPEC",R256)),ISNUMBER(SEARCH("PART_NUMBER_CONFLICT",R256)),ISNUMBER(SEARCH("SIZE_PART_MISMATCH",R256)),ISNUMBER(SEARCH("POSSIBLE_PRICE_OUTLIER",R256))),"REVIEW","ACTIVE")</x:f>
        <x:v>ACTIVE</x:v>
      </x:c>
      <x:c r="R256" t="str"/>
      <x:c r="S256" t="n">
        <x:v>310</x:v>
      </x:c>
    </x:row>
    <x:row r="257" ht="15" hidden="0" customHeight="1">
      <x:c r="A257" t="str">
        <x:v>OFFER-F73DDD4409FD</x:v>
      </x:c>
      <x:c r="B257" t="str">
        <x:v>SPEC-180E7CB1C30C</x:v>
      </x:c>
      <x:c r="C257" t="str">
        <x:v>PHG</x:v>
      </x:c>
      <x:c r="D257" t="str">
        <x:v>HETL9 ESC TRIM-904ICS</x:v>
      </x:c>
      <x:c r="E257" t="str">
        <x:v>HETL9 9 SERIES TRIM (9500)</x:v>
      </x:c>
      <x:c r="F257" t="str"/>
      <x:c r="G257" t="str">
        <x:v>HETL904CT32DICS</x:v>
      </x:c>
      <x:c r="H257" t="str">
        <x:v>HETL904CT32DICS</x:v>
      </x:c>
      <x:c r="I257" t="str"/>
      <x:c r="J257" s="54" t="n">
        <x:v>252.36</x:v>
      </x:c>
      <x:c r="K257" t="str"/>
      <x:c r="L257" s="57"/>
      <x:c r="M257" s="57"/>
      <x:c r="N257" s="54" t="n">
        <x:f>IF(J257="","",J257*(1-IF(L257="",0,L257))*(1-IF(M257="",0,M257)))</x:f>
        <x:v>252.36</x:v>
      </x:c>
      <x:c r="O257" t="str">
        <x:v>USD</x:v>
      </x:c>
      <x:c r="P257" t="str">
        <x:f>IF(J257="","UNPRICED","PRICED")</x:f>
        <x:v>PRICED</x:v>
      </x:c>
      <x:c r="Q257" t="str">
        <x:f>IF(OR(ISNUMBER(SEARCH("MISSING_VENDOR",R257)),ISNUMBER(SEARCH("MISSING_PART_NUMBER",R257)),ISNUMBER(SEARCH("PLACEHOLDER_PART_NUMBER",R257)),ISNUMBER(SEARCH("MISSING_REQUIRED_SPEC",R257)),ISNUMBER(SEARCH("PART_NUMBER_CONFLICT",R257)),ISNUMBER(SEARCH("SIZE_PART_MISMATCH",R257)),ISNUMBER(SEARCH("POSSIBLE_PRICE_OUTLIER",R257))),"REVIEW","ACTIVE")</x:f>
        <x:v>ACTIVE</x:v>
      </x:c>
      <x:c r="R257" t="str"/>
      <x:c r="S257" t="n">
        <x:v>316</x:v>
      </x:c>
    </x:row>
    <x:row r="258" ht="15" hidden="0" customHeight="1">
      <x:c r="A258" t="str">
        <x:v>OFFER-AACCC6687A52</x:v>
      </x:c>
      <x:c r="B258" t="str">
        <x:v>SPEC-BF25F8629A9D</x:v>
      </x:c>
      <x:c r="C258" t="str">
        <x:v>PHG</x:v>
      </x:c>
      <x:c r="D258" t="str">
        <x:v>HETL9 ESC TRIM-904ICB</x:v>
      </x:c>
      <x:c r="E258" t="str">
        <x:v>HETL9 9 SERIES TRIM (9500)</x:v>
      </x:c>
      <x:c r="F258" t="str"/>
      <x:c r="G258" t="str">
        <x:v>HETL904CT32DICB</x:v>
      </x:c>
      <x:c r="H258" t="str">
        <x:v>HETL904CT32DICB</x:v>
      </x:c>
      <x:c r="I258" t="str"/>
      <x:c r="J258" s="54" t="n">
        <x:v>252.36</x:v>
      </x:c>
      <x:c r="K258" t="str"/>
      <x:c r="L258" s="57"/>
      <x:c r="M258" s="57"/>
      <x:c r="N258" s="54" t="n">
        <x:f>IF(J258="","",J258*(1-IF(L258="",0,L258))*(1-IF(M258="",0,M258)))</x:f>
        <x:v>252.36</x:v>
      </x:c>
      <x:c r="O258" t="str">
        <x:v>USD</x:v>
      </x:c>
      <x:c r="P258" t="str">
        <x:f>IF(J258="","UNPRICED","PRICED")</x:f>
        <x:v>PRICED</x:v>
      </x:c>
      <x:c r="Q258" t="str">
        <x:f>IF(OR(ISNUMBER(SEARCH("MISSING_VENDOR",R258)),ISNUMBER(SEARCH("MISSING_PART_NUMBER",R258)),ISNUMBER(SEARCH("PLACEHOLDER_PART_NUMBER",R258)),ISNUMBER(SEARCH("MISSING_REQUIRED_SPEC",R258)),ISNUMBER(SEARCH("PART_NUMBER_CONFLICT",R258)),ISNUMBER(SEARCH("SIZE_PART_MISMATCH",R258)),ISNUMBER(SEARCH("POSSIBLE_PRICE_OUTLIER",R258))),"REVIEW","ACTIVE")</x:f>
        <x:v>ACTIVE</x:v>
      </x:c>
      <x:c r="R258" t="str"/>
      <x:c r="S258" t="n">
        <x:v>315</x:v>
      </x:c>
    </x:row>
    <x:row r="259" ht="15" hidden="0" customHeight="1">
      <x:c r="A259" t="str">
        <x:v>OFFER-88F895FF90ED</x:v>
      </x:c>
      <x:c r="B259" t="str">
        <x:v>SPEC-C953AC09EC93</x:v>
      </x:c>
      <x:c r="C259" t="str">
        <x:v>PHG</x:v>
      </x:c>
      <x:c r="D259" t="str">
        <x:v>HETL9 ESC TRIM-904</x:v>
      </x:c>
      <x:c r="E259" t="str">
        <x:v>HETL9 9 SERIES TRIM (9500)</x:v>
      </x:c>
      <x:c r="F259" t="str"/>
      <x:c r="G259" t="str">
        <x:v>HETL904CT32D</x:v>
      </x:c>
      <x:c r="H259" t="str">
        <x:v>HETL904CT32D</x:v>
      </x:c>
      <x:c r="I259" t="str"/>
      <x:c r="J259" s="54" t="n">
        <x:v>214.63</x:v>
      </x:c>
      <x:c r="K259" t="str"/>
      <x:c r="L259" s="57"/>
      <x:c r="M259" s="57"/>
      <x:c r="N259" s="54" t="n">
        <x:f>IF(J259="","",J259*(1-IF(L259="",0,L259))*(1-IF(M259="",0,M259)))</x:f>
        <x:v>214.63</x:v>
      </x:c>
      <x:c r="O259" t="str">
        <x:v>USD</x:v>
      </x:c>
      <x:c r="P259" t="str">
        <x:f>IF(J259="","UNPRICED","PRICED")</x:f>
        <x:v>PRICED</x:v>
      </x:c>
      <x:c r="Q259" t="str">
        <x:f>IF(OR(ISNUMBER(SEARCH("MISSING_VENDOR",R259)),ISNUMBER(SEARCH("MISSING_PART_NUMBER",R259)),ISNUMBER(SEARCH("PLACEHOLDER_PART_NUMBER",R259)),ISNUMBER(SEARCH("MISSING_REQUIRED_SPEC",R259)),ISNUMBER(SEARCH("PART_NUMBER_CONFLICT",R259)),ISNUMBER(SEARCH("SIZE_PART_MISMATCH",R259)),ISNUMBER(SEARCH("POSSIBLE_PRICE_OUTLIER",R259))),"REVIEW","ACTIVE")</x:f>
        <x:v>ACTIVE</x:v>
      </x:c>
      <x:c r="R259" t="str"/>
      <x:c r="S259" t="n">
        <x:v>314</x:v>
      </x:c>
    </x:row>
    <x:row r="260" ht="15" hidden="0" customHeight="1">
      <x:c r="A260" t="str">
        <x:v>OFFER-BC9E35D62890</x:v>
      </x:c>
      <x:c r="B260" t="str">
        <x:v>SPEC-F4E577ACE7BA</x:v>
      </x:c>
      <x:c r="C260" t="str">
        <x:v>DK</x:v>
      </x:c>
      <x:c r="D260" t="str">
        <x:v>ESC LEVER</x:v>
      </x:c>
      <x:c r="E260" t="str">
        <x:v>YR08MC</x:v>
      </x:c>
      <x:c r="F260" t="str"/>
      <x:c r="G260" t="str"/>
      <x:c r="H260" t="str"/>
      <x:c r="I260" t="str"/>
      <x:c r="J260" s="54" t="n">
        <x:v>1219</x:v>
      </x:c>
      <x:c r="K260" t="str"/>
      <x:c r="L260" s="57"/>
      <x:c r="M260" s="57"/>
      <x:c r="N260" s="54" t="n">
        <x:f>IF(J260="","",J260*(1-IF(L260="",0,L260))*(1-IF(M260="",0,M260)))</x:f>
        <x:v>1219</x:v>
      </x:c>
      <x:c r="O260" t="str">
        <x:v>USD</x:v>
      </x:c>
      <x:c r="P260" t="str">
        <x:f>IF(J260="","UNPRICED","PRICED")</x:f>
        <x:v>PRICED</x:v>
      </x:c>
      <x:c r="Q260" t="str">
        <x:f>IF(OR(ISNUMBER(SEARCH("MISSING_VENDOR",R260)),ISNUMBER(SEARCH("MISSING_PART_NUMBER",R260)),ISNUMBER(SEARCH("PLACEHOLDER_PART_NUMBER",R260)),ISNUMBER(SEARCH("MISSING_REQUIRED_SPEC",R260)),ISNUMBER(SEARCH("PART_NUMBER_CONFLICT",R260)),ISNUMBER(SEARCH("SIZE_PART_MISMATCH",R260)),ISNUMBER(SEARCH("POSSIBLE_PRICE_OUTLIER",R260))),"REVIEW","ACTIVE")</x:f>
        <x:v>REVIEW</x:v>
      </x:c>
      <x:c r="R260" t="str">
        <x:v>MISSING_PART_NUMBER</x:v>
      </x:c>
      <x:c r="S260" t="n">
        <x:v>233</x:v>
      </x:c>
    </x:row>
    <x:row r="261" ht="15" hidden="0" customHeight="1">
      <x:c r="A261" t="str">
        <x:v>OFFER-999BB845B6D3</x:v>
      </x:c>
      <x:c r="B261" t="str">
        <x:v>SPEC-AFD3426908DC</x:v>
      </x:c>
      <x:c r="C261" t="str">
        <x:v>DK</x:v>
      </x:c>
      <x:c r="D261" t="str">
        <x:v>ESC LEVER</x:v>
      </x:c>
      <x:c r="E261" t="str">
        <x:v>YR08M</x:v>
      </x:c>
      <x:c r="F261" t="str"/>
      <x:c r="G261" t="str"/>
      <x:c r="H261" t="str"/>
      <x:c r="I261" t="str"/>
      <x:c r="J261" s="54" t="n">
        <x:v>857</x:v>
      </x:c>
      <x:c r="K261" t="str"/>
      <x:c r="L261" s="57"/>
      <x:c r="M261" s="57"/>
      <x:c r="N261" s="54" t="n">
        <x:f>IF(J261="","",J261*(1-IF(L261="",0,L261))*(1-IF(M261="",0,M261)))</x:f>
        <x:v>857</x:v>
      </x:c>
      <x:c r="O261" t="str">
        <x:v>USD</x:v>
      </x:c>
      <x:c r="P261" t="str">
        <x:f>IF(J261="","UNPRICED","PRICED")</x:f>
        <x:v>PRICED</x:v>
      </x:c>
      <x:c r="Q261" t="str">
        <x:f>IF(OR(ISNUMBER(SEARCH("MISSING_VENDOR",R261)),ISNUMBER(SEARCH("MISSING_PART_NUMBER",R261)),ISNUMBER(SEARCH("PLACEHOLDER_PART_NUMBER",R261)),ISNUMBER(SEARCH("MISSING_REQUIRED_SPEC",R261)),ISNUMBER(SEARCH("PART_NUMBER_CONFLICT",R261)),ISNUMBER(SEARCH("SIZE_PART_MISMATCH",R261)),ISNUMBER(SEARCH("POSSIBLE_PRICE_OUTLIER",R261))),"REVIEW","ACTIVE")</x:f>
        <x:v>REVIEW</x:v>
      </x:c>
      <x:c r="R261" t="str">
        <x:v>MISSING_PART_NUMBER</x:v>
      </x:c>
      <x:c r="S261" t="n">
        <x:v>232</x:v>
      </x:c>
    </x:row>
    <x:row r="262" ht="15" hidden="0" customHeight="1">
      <x:c r="A262" t="str">
        <x:v>OFFER-5389E6055E2D</x:v>
      </x:c>
      <x:c r="B262" t="str">
        <x:v>SPEC-AFD3426908DC</x:v>
      </x:c>
      <x:c r="C262" t="str">
        <x:v>PHI</x:v>
      </x:c>
      <x:c r="D262" t="str">
        <x:v>ESC LEVER</x:v>
      </x:c>
      <x:c r="E262" t="str">
        <x:v>M4908A</x:v>
      </x:c>
      <x:c r="F262" t="str"/>
      <x:c r="G262" t="str"/>
      <x:c r="H262" t="str"/>
      <x:c r="I262" t="str"/>
      <x:c r="J262" s="54" t="n">
        <x:v>1250</x:v>
      </x:c>
      <x:c r="K262" t="str"/>
      <x:c r="L262" s="57"/>
      <x:c r="M262" s="57"/>
      <x:c r="N262" s="54" t="n">
        <x:f>IF(J262="","",J262*(1-IF(L262="",0,L262))*(1-IF(M262="",0,M262)))</x:f>
        <x:v>1250</x:v>
      </x:c>
      <x:c r="O262" t="str">
        <x:v>USD</x:v>
      </x:c>
      <x:c r="P262" t="str">
        <x:f>IF(J262="","UNPRICED","PRICED")</x:f>
        <x:v>PRICED</x:v>
      </x:c>
      <x:c r="Q262" t="str">
        <x:f>IF(OR(ISNUMBER(SEARCH("MISSING_VENDOR",R262)),ISNUMBER(SEARCH("MISSING_PART_NUMBER",R262)),ISNUMBER(SEARCH("PLACEHOLDER_PART_NUMBER",R262)),ISNUMBER(SEARCH("MISSING_REQUIRED_SPEC",R262)),ISNUMBER(SEARCH("PART_NUMBER_CONFLICT",R262)),ISNUMBER(SEARCH("SIZE_PART_MISMATCH",R262)),ISNUMBER(SEARCH("POSSIBLE_PRICE_OUTLIER",R262))),"REVIEW","ACTIVE")</x:f>
        <x:v>REVIEW</x:v>
      </x:c>
      <x:c r="R262" t="str">
        <x:v>MISSING_PART_NUMBER</x:v>
      </x:c>
      <x:c r="S262" t="n">
        <x:v>249</x:v>
      </x:c>
    </x:row>
    <x:row r="263" ht="15" hidden="0" customHeight="1">
      <x:c r="A263" t="str">
        <x:v>OFFER-E2269AD6A283</x:v>
      </x:c>
      <x:c r="B263" t="str">
        <x:v>SPEC-809A92977C48</x:v>
      </x:c>
      <x:c r="C263" t="str">
        <x:v>DK</x:v>
      </x:c>
      <x:c r="D263" t="str">
        <x:v>ESC LEVER</x:v>
      </x:c>
      <x:c r="E263" t="str">
        <x:v>YR03M: NIGHT LATCH</x:v>
      </x:c>
      <x:c r="F263" t="str"/>
      <x:c r="G263" t="str"/>
      <x:c r="H263" t="str"/>
      <x:c r="I263" t="str"/>
      <x:c r="J263" s="54" t="n">
        <x:v>733</x:v>
      </x:c>
      <x:c r="K263" t="str"/>
      <x:c r="L263" s="57"/>
      <x:c r="M263" s="57"/>
      <x:c r="N263" s="54" t="n">
        <x:f>IF(J263="","",J263*(1-IF(L263="",0,L263))*(1-IF(M263="",0,M263)))</x:f>
        <x:v>733</x:v>
      </x:c>
      <x:c r="O263" t="str">
        <x:v>USD</x:v>
      </x:c>
      <x:c r="P263" t="str">
        <x:f>IF(J263="","UNPRICED","PRICED")</x:f>
        <x:v>PRICED</x:v>
      </x:c>
      <x:c r="Q263" t="str">
        <x:f>IF(OR(ISNUMBER(SEARCH("MISSING_VENDOR",R263)),ISNUMBER(SEARCH("MISSING_PART_NUMBER",R263)),ISNUMBER(SEARCH("PLACEHOLDER_PART_NUMBER",R263)),ISNUMBER(SEARCH("MISSING_REQUIRED_SPEC",R263)),ISNUMBER(SEARCH("PART_NUMBER_CONFLICT",R263)),ISNUMBER(SEARCH("SIZE_PART_MISMATCH",R263)),ISNUMBER(SEARCH("POSSIBLE_PRICE_OUTLIER",R263))),"REVIEW","ACTIVE")</x:f>
        <x:v>REVIEW</x:v>
      </x:c>
      <x:c r="R263" t="str">
        <x:v>MISSING_PART_NUMBER</x:v>
      </x:c>
      <x:c r="S263" t="n">
        <x:v>234</x:v>
      </x:c>
    </x:row>
    <x:row r="264" ht="15" hidden="0" customHeight="1">
      <x:c r="A264" t="str">
        <x:v>OFFER-C67E39244F9C</x:v>
      </x:c>
      <x:c r="B264" t="str">
        <x:v>SPEC-809A92977C48</x:v>
      </x:c>
      <x:c r="C264" t="str">
        <x:v>PHI</x:v>
      </x:c>
      <x:c r="D264" t="str">
        <x:v>ESC LEVER</x:v>
      </x:c>
      <x:c r="E264" t="str">
        <x:v>M4903A</x:v>
      </x:c>
      <x:c r="F264" t="str"/>
      <x:c r="G264" t="str"/>
      <x:c r="H264" t="str"/>
      <x:c r="I264" t="str"/>
      <x:c r="J264" s="54" t="n">
        <x:v>1250</x:v>
      </x:c>
      <x:c r="K264" t="str"/>
      <x:c r="L264" s="57"/>
      <x:c r="M264" s="57"/>
      <x:c r="N264" s="54" t="n">
        <x:f>IF(J264="","",J264*(1-IF(L264="",0,L264))*(1-IF(M264="",0,M264)))</x:f>
        <x:v>1250</x:v>
      </x:c>
      <x:c r="O264" t="str">
        <x:v>USD</x:v>
      </x:c>
      <x:c r="P264" t="str">
        <x:f>IF(J264="","UNPRICED","PRICED")</x:f>
        <x:v>PRICED</x:v>
      </x:c>
      <x:c r="Q264" t="str">
        <x:f>IF(OR(ISNUMBER(SEARCH("MISSING_VENDOR",R264)),ISNUMBER(SEARCH("MISSING_PART_NUMBER",R264)),ISNUMBER(SEARCH("PLACEHOLDER_PART_NUMBER",R264)),ISNUMBER(SEARCH("MISSING_REQUIRED_SPEC",R264)),ISNUMBER(SEARCH("PART_NUMBER_CONFLICT",R264)),ISNUMBER(SEARCH("SIZE_PART_MISMATCH",R264)),ISNUMBER(SEARCH("POSSIBLE_PRICE_OUTLIER",R264))),"REVIEW","ACTIVE")</x:f>
        <x:v>REVIEW</x:v>
      </x:c>
      <x:c r="R264" t="str">
        <x:v>MISSING_PART_NUMBER</x:v>
      </x:c>
      <x:c r="S264" t="n">
        <x:v>248</x:v>
      </x:c>
    </x:row>
    <x:row r="265" ht="15" hidden="0" customHeight="1">
      <x:c r="A265" t="str">
        <x:v>OFFER-D2E05996EFE9</x:v>
      </x:c>
      <x:c r="B265" t="str">
        <x:v>SPEC-3433EE87D2B9</x:v>
      </x:c>
      <x:c r="C265" t="str">
        <x:v>DK</x:v>
      </x:c>
      <x:c r="D265" t="str">
        <x:v>ESC LEVER</x:v>
      </x:c>
      <x:c r="E265" t="str">
        <x:v>YR08C</x:v>
      </x:c>
      <x:c r="F265" t="str"/>
      <x:c r="G265" t="str"/>
      <x:c r="H265" t="str"/>
      <x:c r="I265" t="str"/>
      <x:c r="J265" s="54" t="n">
        <x:v>1219</x:v>
      </x:c>
      <x:c r="K265" t="str"/>
      <x:c r="L265" s="57"/>
      <x:c r="M265" s="57"/>
      <x:c r="N265" s="54" t="n">
        <x:f>IF(J265="","",J265*(1-IF(L265="",0,L265))*(1-IF(M265="",0,M265)))</x:f>
        <x:v>1219</x:v>
      </x:c>
      <x:c r="O265" t="str">
        <x:v>USD</x:v>
      </x:c>
      <x:c r="P265" t="str">
        <x:f>IF(J265="","UNPRICED","PRICED")</x:f>
        <x:v>PRICED</x:v>
      </x:c>
      <x:c r="Q265" t="str">
        <x:f>IF(OR(ISNUMBER(SEARCH("MISSING_VENDOR",R265)),ISNUMBER(SEARCH("MISSING_PART_NUMBER",R265)),ISNUMBER(SEARCH("PLACEHOLDER_PART_NUMBER",R265)),ISNUMBER(SEARCH("MISSING_REQUIRED_SPEC",R265)),ISNUMBER(SEARCH("PART_NUMBER_CONFLICT",R265)),ISNUMBER(SEARCH("SIZE_PART_MISMATCH",R265)),ISNUMBER(SEARCH("POSSIBLE_PRICE_OUTLIER",R265))),"REVIEW","ACTIVE")</x:f>
        <x:v>REVIEW</x:v>
      </x:c>
      <x:c r="R265" t="str">
        <x:v>MISSING_PART_NUMBER</x:v>
      </x:c>
      <x:c r="S265" t="n">
        <x:v>330</x:v>
      </x:c>
    </x:row>
    <x:row r="266" ht="15" hidden="0" customHeight="1">
      <x:c r="A266" t="str">
        <x:v>OFFER-5F469931A036</x:v>
      </x:c>
      <x:c r="B266" t="str">
        <x:v>SPEC-17E12F75ACF6</x:v>
      </x:c>
      <x:c r="C266" t="str">
        <x:v>DK</x:v>
      </x:c>
      <x:c r="D266" t="str">
        <x:v>ESC LEVER</x:v>
      </x:c>
      <x:c r="E266" t="str">
        <x:v>YR08</x:v>
      </x:c>
      <x:c r="F266" t="str"/>
      <x:c r="G266" t="str"/>
      <x:c r="H266" t="str"/>
      <x:c r="I266" t="str"/>
      <x:c r="J266" s="54" t="n">
        <x:v>857</x:v>
      </x:c>
      <x:c r="K266" t="str"/>
      <x:c r="L266" s="57"/>
      <x:c r="M266" s="57"/>
      <x:c r="N266" s="54" t="n">
        <x:f>IF(J266="","",J266*(1-IF(L266="",0,L266))*(1-IF(M266="",0,M266)))</x:f>
        <x:v>857</x:v>
      </x:c>
      <x:c r="O266" t="str">
        <x:v>USD</x:v>
      </x:c>
      <x:c r="P266" t="str">
        <x:f>IF(J266="","UNPRICED","PRICED")</x:f>
        <x:v>PRICED</x:v>
      </x:c>
      <x:c r="Q266" t="str">
        <x:f>IF(OR(ISNUMBER(SEARCH("MISSING_VENDOR",R266)),ISNUMBER(SEARCH("MISSING_PART_NUMBER",R266)),ISNUMBER(SEARCH("PLACEHOLDER_PART_NUMBER",R266)),ISNUMBER(SEARCH("MISSING_REQUIRED_SPEC",R266)),ISNUMBER(SEARCH("PART_NUMBER_CONFLICT",R266)),ISNUMBER(SEARCH("SIZE_PART_MISMATCH",R266)),ISNUMBER(SEARCH("POSSIBLE_PRICE_OUTLIER",R266))),"REVIEW","ACTIVE")</x:f>
        <x:v>REVIEW</x:v>
      </x:c>
      <x:c r="R266" t="str">
        <x:v>MISSING_PART_NUMBER</x:v>
      </x:c>
      <x:c r="S266" t="n">
        <x:v>329</x:v>
      </x:c>
    </x:row>
    <x:row r="267" ht="15" hidden="0" customHeight="1">
      <x:c r="A267" t="str">
        <x:v>OFFER-881263F3275E</x:v>
      </x:c>
      <x:c r="B267" t="str">
        <x:v>SPEC-17E12F75ACF6</x:v>
      </x:c>
      <x:c r="C267" t="str">
        <x:v>PHI</x:v>
      </x:c>
      <x:c r="D267" t="str">
        <x:v>ESC LEVER</x:v>
      </x:c>
      <x:c r="E267" t="str">
        <x:v>4908A</x:v>
      </x:c>
      <x:c r="F267" t="str"/>
      <x:c r="G267" t="str"/>
      <x:c r="H267" t="str"/>
      <x:c r="I267" t="str"/>
      <x:c r="J267" s="54" t="n">
        <x:v>1250</x:v>
      </x:c>
      <x:c r="K267" t="str"/>
      <x:c r="L267" s="57"/>
      <x:c r="M267" s="57"/>
      <x:c r="N267" s="54" t="n">
        <x:f>IF(J267="","",J267*(1-IF(L267="",0,L267))*(1-IF(M267="",0,M267)))</x:f>
        <x:v>1250</x:v>
      </x:c>
      <x:c r="O267" t="str">
        <x:v>USD</x:v>
      </x:c>
      <x:c r="P267" t="str">
        <x:f>IF(J267="","UNPRICED","PRICED")</x:f>
        <x:v>PRICED</x:v>
      </x:c>
      <x:c r="Q267" t="str">
        <x:f>IF(OR(ISNUMBER(SEARCH("MISSING_VENDOR",R267)),ISNUMBER(SEARCH("MISSING_PART_NUMBER",R267)),ISNUMBER(SEARCH("PLACEHOLDER_PART_NUMBER",R267)),ISNUMBER(SEARCH("MISSING_REQUIRED_SPEC",R267)),ISNUMBER(SEARCH("PART_NUMBER_CONFLICT",R267)),ISNUMBER(SEARCH("SIZE_PART_MISMATCH",R267)),ISNUMBER(SEARCH("POSSIBLE_PRICE_OUTLIER",R267))),"REVIEW","ACTIVE")</x:f>
        <x:v>REVIEW</x:v>
      </x:c>
      <x:c r="R267" t="str">
        <x:v>MISSING_PART_NUMBER</x:v>
      </x:c>
      <x:c r="S267" t="n">
        <x:v>346</x:v>
      </x:c>
    </x:row>
    <x:row r="268" ht="15" hidden="0" customHeight="1">
      <x:c r="A268" t="str">
        <x:v>OFFER-44440FEDE09D</x:v>
      </x:c>
      <x:c r="B268" t="str">
        <x:v>SPEC-895F5591D942</x:v>
      </x:c>
      <x:c r="C268" t="str">
        <x:v>DK</x:v>
      </x:c>
      <x:c r="D268" t="str">
        <x:v>ESC LEVER</x:v>
      </x:c>
      <x:c r="E268" t="str">
        <x:v>YR03: NIGHT LATCH</x:v>
      </x:c>
      <x:c r="F268" t="str"/>
      <x:c r="G268" t="str"/>
      <x:c r="H268" t="str"/>
      <x:c r="I268" t="str"/>
      <x:c r="J268" s="54" t="n">
        <x:v>733</x:v>
      </x:c>
      <x:c r="K268" t="str"/>
      <x:c r="L268" s="57"/>
      <x:c r="M268" s="57"/>
      <x:c r="N268" s="54" t="n">
        <x:f>IF(J268="","",J268*(1-IF(L268="",0,L268))*(1-IF(M268="",0,M268)))</x:f>
        <x:v>733</x:v>
      </x:c>
      <x:c r="O268" t="str">
        <x:v>USD</x:v>
      </x:c>
      <x:c r="P268" t="str">
        <x:f>IF(J268="","UNPRICED","PRICED")</x:f>
        <x:v>PRICED</x:v>
      </x:c>
      <x:c r="Q268" t="str">
        <x:f>IF(OR(ISNUMBER(SEARCH("MISSING_VENDOR",R268)),ISNUMBER(SEARCH("MISSING_PART_NUMBER",R268)),ISNUMBER(SEARCH("PLACEHOLDER_PART_NUMBER",R268)),ISNUMBER(SEARCH("MISSING_REQUIRED_SPEC",R268)),ISNUMBER(SEARCH("PART_NUMBER_CONFLICT",R268)),ISNUMBER(SEARCH("SIZE_PART_MISMATCH",R268)),ISNUMBER(SEARCH("POSSIBLE_PRICE_OUTLIER",R268))),"REVIEW","ACTIVE")</x:f>
        <x:v>REVIEW</x:v>
      </x:c>
      <x:c r="R268" t="str">
        <x:v>MISSING_PART_NUMBER</x:v>
      </x:c>
      <x:c r="S268" t="n">
        <x:v>331</x:v>
      </x:c>
    </x:row>
    <x:row r="269" ht="15" hidden="0" customHeight="1">
      <x:c r="A269" t="str">
        <x:v>OFFER-6C522B2394D3</x:v>
      </x:c>
      <x:c r="B269" t="str">
        <x:v>SPEC-895F5591D942</x:v>
      </x:c>
      <x:c r="C269" t="str">
        <x:v>PHI</x:v>
      </x:c>
      <x:c r="D269" t="str">
        <x:v>ESC LEVER</x:v>
      </x:c>
      <x:c r="E269" t="str">
        <x:v>4903A</x:v>
      </x:c>
      <x:c r="F269" t="str"/>
      <x:c r="G269" t="str"/>
      <x:c r="H269" t="str"/>
      <x:c r="I269" t="str"/>
      <x:c r="J269" s="54" t="n">
        <x:v>1250</x:v>
      </x:c>
      <x:c r="K269" t="str"/>
      <x:c r="L269" s="57"/>
      <x:c r="M269" s="57"/>
      <x:c r="N269" s="54" t="n">
        <x:f>IF(J269="","",J269*(1-IF(L269="",0,L269))*(1-IF(M269="",0,M269)))</x:f>
        <x:v>1250</x:v>
      </x:c>
      <x:c r="O269" t="str">
        <x:v>USD</x:v>
      </x:c>
      <x:c r="P269" t="str">
        <x:f>IF(J269="","UNPRICED","PRICED")</x:f>
        <x:v>PRICED</x:v>
      </x:c>
      <x:c r="Q269" t="str">
        <x:f>IF(OR(ISNUMBER(SEARCH("MISSING_VENDOR",R269)),ISNUMBER(SEARCH("MISSING_PART_NUMBER",R269)),ISNUMBER(SEARCH("PLACEHOLDER_PART_NUMBER",R269)),ISNUMBER(SEARCH("MISSING_REQUIRED_SPEC",R269)),ISNUMBER(SEARCH("PART_NUMBER_CONFLICT",R269)),ISNUMBER(SEARCH("SIZE_PART_MISMATCH",R269)),ISNUMBER(SEARCH("POSSIBLE_PRICE_OUTLIER",R269))),"REVIEW","ACTIVE")</x:f>
        <x:v>REVIEW</x:v>
      </x:c>
      <x:c r="R269" t="str">
        <x:v>MISSING_PART_NUMBER</x:v>
      </x:c>
      <x:c r="S269" t="n">
        <x:v>345</x:v>
      </x:c>
    </x:row>
    <x:row r="270" ht="15" hidden="0" customHeight="1">
      <x:c r="A270" t="str">
        <x:v>OFFER-09513B79A176</x:v>
      </x:c>
      <x:c r="B270" t="str">
        <x:v>SPEC-AAC9EDB8AAE5</x:v>
      </x:c>
      <x:c r="C270" t="str">
        <x:v>DK</x:v>
      </x:c>
      <x:c r="D270" t="str">
        <x:v>PULL TRIM CYLINDER</x:v>
      </x:c>
      <x:c r="E270" t="str">
        <x:v>PRT03M</x:v>
      </x:c>
      <x:c r="F270" t="str"/>
      <x:c r="G270" t="str"/>
      <x:c r="H270" t="str"/>
      <x:c r="I270" t="str"/>
      <x:c r="J270" s="54" t="n">
        <x:v>467</x:v>
      </x:c>
      <x:c r="K270" t="str"/>
      <x:c r="L270" s="57"/>
      <x:c r="M270" s="57"/>
      <x:c r="N270" s="54" t="n">
        <x:f>IF(J270="","",J270*(1-IF(L270="",0,L270))*(1-IF(M270="",0,M270)))</x:f>
        <x:v>467</x:v>
      </x:c>
      <x:c r="O270" t="str">
        <x:v>USD</x:v>
      </x:c>
      <x:c r="P270" t="str">
        <x:f>IF(J270="","UNPRICED","PRICED")</x:f>
        <x:v>PRICED</x:v>
      </x:c>
      <x:c r="Q270" t="str">
        <x:f>IF(OR(ISNUMBER(SEARCH("MISSING_VENDOR",R270)),ISNUMBER(SEARCH("MISSING_PART_NUMBER",R270)),ISNUMBER(SEARCH("PLACEHOLDER_PART_NUMBER",R270)),ISNUMBER(SEARCH("MISSING_REQUIRED_SPEC",R270)),ISNUMBER(SEARCH("PART_NUMBER_CONFLICT",R270)),ISNUMBER(SEARCH("SIZE_PART_MISMATCH",R270)),ISNUMBER(SEARCH("POSSIBLE_PRICE_OUTLIER",R270))),"REVIEW","ACTIVE")</x:f>
        <x:v>REVIEW</x:v>
      </x:c>
      <x:c r="R270" t="str">
        <x:v>MISSING_PART_NUMBER</x:v>
      </x:c>
      <x:c r="S270" t="n">
        <x:v>237</x:v>
      </x:c>
    </x:row>
    <x:row r="271" ht="15" hidden="0" customHeight="1">
      <x:c r="A271" t="str">
        <x:v>OFFER-481DE3A545B7</x:v>
      </x:c>
      <x:c r="B271" t="str">
        <x:v>SPEC-AAC9EDB8AAE5</x:v>
      </x:c>
      <x:c r="C271" t="str">
        <x:v>PHI</x:v>
      </x:c>
      <x:c r="D271" t="str">
        <x:v>PULL TRIM CYLINDER</x:v>
      </x:c>
      <x:c r="E271" t="str">
        <x:v>1703A</x:v>
      </x:c>
      <x:c r="F271" t="str"/>
      <x:c r="G271" t="str"/>
      <x:c r="H271" t="str"/>
      <x:c r="I271" t="str"/>
      <x:c r="J271" s="54" t="n">
        <x:v>1000</x:v>
      </x:c>
      <x:c r="K271" t="str"/>
      <x:c r="L271" s="57"/>
      <x:c r="M271" s="57"/>
      <x:c r="N271" s="54" t="n">
        <x:f>IF(J271="","",J271*(1-IF(L271="",0,L271))*(1-IF(M271="",0,M271)))</x:f>
        <x:v>1000</x:v>
      </x:c>
      <x:c r="O271" t="str">
        <x:v>USD</x:v>
      </x:c>
      <x:c r="P271" t="str">
        <x:f>IF(J271="","UNPRICED","PRICED")</x:f>
        <x:v>PRICED</x:v>
      </x:c>
      <x:c r="Q271" t="str">
        <x:f>IF(OR(ISNUMBER(SEARCH("MISSING_VENDOR",R271)),ISNUMBER(SEARCH("MISSING_PART_NUMBER",R271)),ISNUMBER(SEARCH("PLACEHOLDER_PART_NUMBER",R271)),ISNUMBER(SEARCH("MISSING_REQUIRED_SPEC",R271)),ISNUMBER(SEARCH("PART_NUMBER_CONFLICT",R271)),ISNUMBER(SEARCH("SIZE_PART_MISMATCH",R271)),ISNUMBER(SEARCH("POSSIBLE_PRICE_OUTLIER",R271))),"REVIEW","ACTIVE")</x:f>
        <x:v>REVIEW</x:v>
      </x:c>
      <x:c r="R271" t="str">
        <x:v>MISSING_PART_NUMBER</x:v>
      </x:c>
      <x:c r="S271" t="n">
        <x:v>252</x:v>
      </x:c>
    </x:row>
    <x:row r="272" ht="15" hidden="0" customHeight="1">
      <x:c r="A272" t="str">
        <x:v>OFFER-2694FBF95269</x:v>
      </x:c>
      <x:c r="B272" t="str">
        <x:v>SPEC-09F181C9FAEA</x:v>
      </x:c>
      <x:c r="C272" t="str">
        <x:v>DH</x:v>
      </x:c>
      <x:c r="D272" t="str">
        <x:v>SFIC CYLINDER 1.250"</x:v>
      </x:c>
      <x:c r="E272" t="str">
        <x:v>1000/2000 SFIC</x:v>
      </x:c>
      <x:c r="F272" t="str"/>
      <x:c r="G272" t="str">
        <x:v>78002706</x:v>
      </x:c>
      <x:c r="H272" t="str">
        <x:v>78002706 - LE-08 Flat Entry Lever Escutcheon (includes 1 1/8" Mort Cyl.)</x:v>
      </x:c>
      <x:c r="I272" t="str"/>
      <x:c r="J272" s="54" t="n">
        <x:v>466.9</x:v>
      </x:c>
      <x:c r="K272" t="str"/>
      <x:c r="L272" s="57"/>
      <x:c r="M272" s="57"/>
      <x:c r="N272" s="54" t="n">
        <x:f>IF(J272="","",J272*(1-IF(L272="",0,L272))*(1-IF(M272="",0,M272)))</x:f>
        <x:v>466.9</x:v>
      </x:c>
      <x:c r="O272" t="str">
        <x:v>USD</x:v>
      </x:c>
      <x:c r="P272" t="str">
        <x:f>IF(J272="","UNPRICED","PRICED")</x:f>
        <x:v>PRICED</x:v>
      </x:c>
      <x:c r="Q272" t="str">
        <x:f>IF(OR(ISNUMBER(SEARCH("MISSING_VENDOR",R272)),ISNUMBER(SEARCH("MISSING_PART_NUMBER",R272)),ISNUMBER(SEARCH("PLACEHOLDER_PART_NUMBER",R272)),ISNUMBER(SEARCH("MISSING_REQUIRED_SPEC",R272)),ISNUMBER(SEARCH("PART_NUMBER_CONFLICT",R272)),ISNUMBER(SEARCH("SIZE_PART_MISMATCH",R272)),ISNUMBER(SEARCH("POSSIBLE_PRICE_OUTLIER",R272))),"REVIEW","ACTIVE")</x:f>
        <x:v>ACTIVE</x:v>
      </x:c>
      <x:c r="R272" t="str"/>
      <x:c r="S272" t="n">
        <x:v>297</x:v>
      </x:c>
    </x:row>
    <x:row r="273" ht="15" hidden="0" customHeight="1">
      <x:c r="A273" t="str">
        <x:v>OFFER-0DB8182F75F8</x:v>
      </x:c>
      <x:c r="B273" t="str">
        <x:v>SPEC-B1360CC941DC</x:v>
      </x:c>
      <x:c r="C273" t="str">
        <x:v>DH</x:v>
      </x:c>
      <x:c r="D273" t="str">
        <x:v>P-TRIM NO THUMB OR CYLINDER</x:v>
      </x:c>
      <x:c r="E273" t="str">
        <x:v>1000/2000 PULL TRIM</x:v>
      </x:c>
      <x:c r="F273" t="str"/>
      <x:c r="G273" t="str">
        <x:v>78002407</x:v>
      </x:c>
      <x:c r="H273" t="str">
        <x:v>78002407 - 2P-03NL Pull Trim with Cylinder Hole (Rim Cyl. NOT included)</x:v>
      </x:c>
      <x:c r="I273" t="str"/>
      <x:c r="J273" s="54" t="n">
        <x:v>136.65</x:v>
      </x:c>
      <x:c r="K273" t="str"/>
      <x:c r="L273" s="57"/>
      <x:c r="M273" s="57"/>
      <x:c r="N273" s="54" t="n">
        <x:f>IF(J273="","",J273*(1-IF(L273="",0,L273))*(1-IF(M273="",0,M273)))</x:f>
        <x:v>136.65</x:v>
      </x:c>
      <x:c r="O273" t="str">
        <x:v>USD</x:v>
      </x:c>
      <x:c r="P273" t="str">
        <x:f>IF(J273="","UNPRICED","PRICED")</x:f>
        <x:v>PRICED</x:v>
      </x:c>
      <x:c r="Q273" t="str">
        <x:f>IF(OR(ISNUMBER(SEARCH("MISSING_VENDOR",R273)),ISNUMBER(SEARCH("MISSING_PART_NUMBER",R273)),ISNUMBER(SEARCH("PLACEHOLDER_PART_NUMBER",R273)),ISNUMBER(SEARCH("MISSING_REQUIRED_SPEC",R273)),ISNUMBER(SEARCH("PART_NUMBER_CONFLICT",R273)),ISNUMBER(SEARCH("SIZE_PART_MISMATCH",R273)),ISNUMBER(SEARCH("POSSIBLE_PRICE_OUTLIER",R273))),"REVIEW","ACTIVE")</x:f>
        <x:v>ACTIVE</x:v>
      </x:c>
      <x:c r="R273" t="str"/>
      <x:c r="S273" t="n">
        <x:v>295</x:v>
      </x:c>
    </x:row>
    <x:row r="274" ht="15" hidden="0" customHeight="1">
      <x:c r="A274" t="str">
        <x:v>OFFER-F6BE864F30F5</x:v>
      </x:c>
      <x:c r="B274" t="str">
        <x:v>SPEC-B1360CC941DC</x:v>
      </x:c>
      <x:c r="C274" t="str">
        <x:v>DH</x:v>
      </x:c>
      <x:c r="D274" t="str">
        <x:v>P-TRIM W THUMB + CYLINDER</x:v>
      </x:c>
      <x:c r="E274" t="str">
        <x:v>1000/2000 TP TRIM</x:v>
      </x:c>
      <x:c r="F274" t="str"/>
      <x:c r="G274" t="str">
        <x:v>78002493</x:v>
      </x:c>
      <x:c r="H274" t="str">
        <x:v>78002493 - TP-08 Entry Thumbpiece Trim (Includes 1 1/4" Mort Cyl.)</x:v>
      </x:c>
      <x:c r="I274" t="str"/>
      <x:c r="J274" s="54" t="n">
        <x:v>204.55</x:v>
      </x:c>
      <x:c r="K274" t="str"/>
      <x:c r="L274" s="57"/>
      <x:c r="M274" s="57"/>
      <x:c r="N274" s="54" t="n">
        <x:f>IF(J274="","",J274*(1-IF(L274="",0,L274))*(1-IF(M274="",0,M274)))</x:f>
        <x:v>204.55</x:v>
      </x:c>
      <x:c r="O274" t="str">
        <x:v>USD</x:v>
      </x:c>
      <x:c r="P274" t="str">
        <x:f>IF(J274="","UNPRICED","PRICED")</x:f>
        <x:v>PRICED</x:v>
      </x:c>
      <x:c r="Q274" t="str">
        <x:f>IF(OR(ISNUMBER(SEARCH("MISSING_VENDOR",R274)),ISNUMBER(SEARCH("MISSING_PART_NUMBER",R274)),ISNUMBER(SEARCH("PLACEHOLDER_PART_NUMBER",R274)),ISNUMBER(SEARCH("MISSING_REQUIRED_SPEC",R274)),ISNUMBER(SEARCH("PART_NUMBER_CONFLICT",R274)),ISNUMBER(SEARCH("SIZE_PART_MISMATCH",R274)),ISNUMBER(SEARCH("POSSIBLE_PRICE_OUTLIER",R274))),"REVIEW","ACTIVE")</x:f>
        <x:v>ACTIVE</x:v>
      </x:c>
      <x:c r="R274" t="str"/>
      <x:c r="S274" t="n">
        <x:v>296</x:v>
      </x:c>
    </x:row>
    <x:row r="275" ht="15" hidden="0" customHeight="1">
      <x:c r="A275" t="str">
        <x:v>OFFER-B9019DF5F2C8</x:v>
      </x:c>
      <x:c r="B275" t="str">
        <x:v>SPEC-8F99897C5F18</x:v>
      </x:c>
      <x:c r="C275" t="str">
        <x:v>DK</x:v>
      </x:c>
      <x:c r="D275" t="str">
        <x:v>PULL TRIM CYLINDER</x:v>
      </x:c>
      <x:c r="E275" t="str">
        <x:v>PRT03</x:v>
      </x:c>
      <x:c r="F275" t="str"/>
      <x:c r="G275" t="str"/>
      <x:c r="H275" t="str"/>
      <x:c r="I275" t="str"/>
      <x:c r="J275" s="54" t="n">
        <x:v>467</x:v>
      </x:c>
      <x:c r="K275" t="str"/>
      <x:c r="L275" s="57"/>
      <x:c r="M275" s="57"/>
      <x:c r="N275" s="54" t="n">
        <x:f>IF(J275="","",J275*(1-IF(L275="",0,L275))*(1-IF(M275="",0,M275)))</x:f>
        <x:v>467</x:v>
      </x:c>
      <x:c r="O275" t="str">
        <x:v>USD</x:v>
      </x:c>
      <x:c r="P275" t="str">
        <x:f>IF(J275="","UNPRICED","PRICED")</x:f>
        <x:v>PRICED</x:v>
      </x:c>
      <x:c r="Q275" t="str">
        <x:f>IF(OR(ISNUMBER(SEARCH("MISSING_VENDOR",R275)),ISNUMBER(SEARCH("MISSING_PART_NUMBER",R275)),ISNUMBER(SEARCH("PLACEHOLDER_PART_NUMBER",R275)),ISNUMBER(SEARCH("MISSING_REQUIRED_SPEC",R275)),ISNUMBER(SEARCH("PART_NUMBER_CONFLICT",R275)),ISNUMBER(SEARCH("SIZE_PART_MISMATCH",R275)),ISNUMBER(SEARCH("POSSIBLE_PRICE_OUTLIER",R275))),"REVIEW","ACTIVE")</x:f>
        <x:v>REVIEW</x:v>
      </x:c>
      <x:c r="R275" t="str">
        <x:v>MISSING_PART_NUMBER</x:v>
      </x:c>
      <x:c r="S275" t="n">
        <x:v>334</x:v>
      </x:c>
    </x:row>
    <x:row r="276" ht="15" hidden="0" customHeight="1">
      <x:c r="A276" t="str">
        <x:v>OFFER-CC8966190185</x:v>
      </x:c>
      <x:c r="B276" t="str">
        <x:v>SPEC-8F99897C5F18</x:v>
      </x:c>
      <x:c r="C276" t="str">
        <x:v>PHI</x:v>
      </x:c>
      <x:c r="D276" t="str">
        <x:v>PULL TRIM CYLINDER</x:v>
      </x:c>
      <x:c r="E276" t="str">
        <x:v>1703A</x:v>
      </x:c>
      <x:c r="F276" t="str"/>
      <x:c r="G276" t="str"/>
      <x:c r="H276" t="str"/>
      <x:c r="I276" t="str"/>
      <x:c r="J276" s="54" t="n">
        <x:v>1000</x:v>
      </x:c>
      <x:c r="K276" t="str"/>
      <x:c r="L276" s="57"/>
      <x:c r="M276" s="57"/>
      <x:c r="N276" s="54" t="n">
        <x:f>IF(J276="","",J276*(1-IF(L276="",0,L276))*(1-IF(M276="",0,M276)))</x:f>
        <x:v>1000</x:v>
      </x:c>
      <x:c r="O276" t="str">
        <x:v>USD</x:v>
      </x:c>
      <x:c r="P276" t="str">
        <x:f>IF(J276="","UNPRICED","PRICED")</x:f>
        <x:v>PRICED</x:v>
      </x:c>
      <x:c r="Q276" t="str">
        <x:f>IF(OR(ISNUMBER(SEARCH("MISSING_VENDOR",R276)),ISNUMBER(SEARCH("MISSING_PART_NUMBER",R276)),ISNUMBER(SEARCH("PLACEHOLDER_PART_NUMBER",R276)),ISNUMBER(SEARCH("MISSING_REQUIRED_SPEC",R276)),ISNUMBER(SEARCH("PART_NUMBER_CONFLICT",R276)),ISNUMBER(SEARCH("SIZE_PART_MISMATCH",R276)),ISNUMBER(SEARCH("POSSIBLE_PRICE_OUTLIER",R276))),"REVIEW","ACTIVE")</x:f>
        <x:v>REVIEW</x:v>
      </x:c>
      <x:c r="R276" t="str">
        <x:v>MISSING_PART_NUMBER</x:v>
      </x:c>
      <x:c r="S276" t="n">
        <x:v>349</x:v>
      </x:c>
    </x:row>
    <x:row r="277" ht="15" hidden="0" customHeight="1">
      <x:c r="A277" t="str">
        <x:v>OFFER-3C02A7843FBB</x:v>
      </x:c>
      <x:c r="B277" t="str">
        <x:v>SPEC-BF967A9B6B97</x:v>
      </x:c>
      <x:c r="C277" t="str">
        <x:v>DK</x:v>
      </x:c>
      <x:c r="D277" t="str">
        <x:v>PULL TRIM THUMB</x:v>
      </x:c>
      <x:c r="E277" t="str">
        <x:v>HTT05M</x:v>
      </x:c>
      <x:c r="F277" t="str"/>
      <x:c r="G277" t="str"/>
      <x:c r="H277" t="str"/>
      <x:c r="I277" t="str"/>
      <x:c r="J277" s="54" t="n">
        <x:v>467</x:v>
      </x:c>
      <x:c r="K277" t="str"/>
      <x:c r="L277" s="57"/>
      <x:c r="M277" s="57"/>
      <x:c r="N277" s="54" t="n">
        <x:f>IF(J277="","",J277*(1-IF(L277="",0,L277))*(1-IF(M277="",0,M277)))</x:f>
        <x:v>467</x:v>
      </x:c>
      <x:c r="O277" t="str">
        <x:v>USD</x:v>
      </x:c>
      <x:c r="P277" t="str">
        <x:f>IF(J277="","UNPRICED","PRICED")</x:f>
        <x:v>PRICED</x:v>
      </x:c>
      <x:c r="Q277" t="str">
        <x:f>IF(OR(ISNUMBER(SEARCH("MISSING_VENDOR",R277)),ISNUMBER(SEARCH("MISSING_PART_NUMBER",R277)),ISNUMBER(SEARCH("PLACEHOLDER_PART_NUMBER",R277)),ISNUMBER(SEARCH("MISSING_REQUIRED_SPEC",R277)),ISNUMBER(SEARCH("PART_NUMBER_CONFLICT",R277)),ISNUMBER(SEARCH("SIZE_PART_MISMATCH",R277)),ISNUMBER(SEARCH("POSSIBLE_PRICE_OUTLIER",R277))),"REVIEW","ACTIVE")</x:f>
        <x:v>REVIEW</x:v>
      </x:c>
      <x:c r="R277" t="str">
        <x:v>MISSING_PART_NUMBER</x:v>
      </x:c>
      <x:c r="S277" t="n">
        <x:v>235</x:v>
      </x:c>
    </x:row>
    <x:row r="278" ht="15" hidden="0" customHeight="1">
      <x:c r="A278" t="str">
        <x:v>OFFER-30E2A629C269</x:v>
      </x:c>
      <x:c r="B278" t="str">
        <x:v>SPEC-BF967A9B6B97</x:v>
      </x:c>
      <x:c r="C278" t="str">
        <x:v>PHI</x:v>
      </x:c>
      <x:c r="D278" t="str">
        <x:v>PULL TRIM THUMB</x:v>
      </x:c>
      <x:c r="E278" t="str">
        <x:v>M1705A</x:v>
      </x:c>
      <x:c r="F278" t="str"/>
      <x:c r="G278" t="str"/>
      <x:c r="H278" t="str"/>
      <x:c r="I278" t="str"/>
      <x:c r="J278" s="54" t="n">
        <x:v>1250</x:v>
      </x:c>
      <x:c r="K278" t="str"/>
      <x:c r="L278" s="57"/>
      <x:c r="M278" s="57"/>
      <x:c r="N278" s="54" t="n">
        <x:f>IF(J278="","",J278*(1-IF(L278="",0,L278))*(1-IF(M278="",0,M278)))</x:f>
        <x:v>1250</x:v>
      </x:c>
      <x:c r="O278" t="str">
        <x:v>USD</x:v>
      </x:c>
      <x:c r="P278" t="str">
        <x:f>IF(J278="","UNPRICED","PRICED")</x:f>
        <x:v>PRICED</x:v>
      </x:c>
      <x:c r="Q278" t="str">
        <x:f>IF(OR(ISNUMBER(SEARCH("MISSING_VENDOR",R278)),ISNUMBER(SEARCH("MISSING_PART_NUMBER",R278)),ISNUMBER(SEARCH("PLACEHOLDER_PART_NUMBER",R278)),ISNUMBER(SEARCH("MISSING_REQUIRED_SPEC",R278)),ISNUMBER(SEARCH("PART_NUMBER_CONFLICT",R278)),ISNUMBER(SEARCH("SIZE_PART_MISMATCH",R278)),ISNUMBER(SEARCH("POSSIBLE_PRICE_OUTLIER",R278))),"REVIEW","ACTIVE")</x:f>
        <x:v>REVIEW</x:v>
      </x:c>
      <x:c r="R278" t="str">
        <x:v>MISSING_PART_NUMBER</x:v>
      </x:c>
      <x:c r="S278" t="n">
        <x:v>250</x:v>
      </x:c>
    </x:row>
    <x:row r="279" ht="15" hidden="0" customHeight="1">
      <x:c r="A279" t="str">
        <x:v>OFFER-2EDD82670276</x:v>
      </x:c>
      <x:c r="B279" t="str">
        <x:v>SPEC-4E844C1A94F7</x:v>
      </x:c>
      <x:c r="C279" t="str">
        <x:v>DK</x:v>
      </x:c>
      <x:c r="D279" t="str">
        <x:v>PULL TRIM THUMB</x:v>
      </x:c>
      <x:c r="E279" t="str">
        <x:v>HTT03M</x:v>
      </x:c>
      <x:c r="F279" t="str"/>
      <x:c r="G279" t="str"/>
      <x:c r="H279" t="str"/>
      <x:c r="I279" t="str"/>
      <x:c r="J279" s="54" t="n">
        <x:v>443</x:v>
      </x:c>
      <x:c r="K279" t="str"/>
      <x:c r="L279" s="57"/>
      <x:c r="M279" s="57"/>
      <x:c r="N279" s="54" t="n">
        <x:f>IF(J279="","",J279*(1-IF(L279="",0,L279))*(1-IF(M279="",0,M279)))</x:f>
        <x:v>443</x:v>
      </x:c>
      <x:c r="O279" t="str">
        <x:v>USD</x:v>
      </x:c>
      <x:c r="P279" t="str">
        <x:f>IF(J279="","UNPRICED","PRICED")</x:f>
        <x:v>PRICED</x:v>
      </x:c>
      <x:c r="Q279" t="str">
        <x:f>IF(OR(ISNUMBER(SEARCH("MISSING_VENDOR",R279)),ISNUMBER(SEARCH("MISSING_PART_NUMBER",R279)),ISNUMBER(SEARCH("PLACEHOLDER_PART_NUMBER",R279)),ISNUMBER(SEARCH("MISSING_REQUIRED_SPEC",R279)),ISNUMBER(SEARCH("PART_NUMBER_CONFLICT",R279)),ISNUMBER(SEARCH("SIZE_PART_MISMATCH",R279)),ISNUMBER(SEARCH("POSSIBLE_PRICE_OUTLIER",R279))),"REVIEW","ACTIVE")</x:f>
        <x:v>REVIEW</x:v>
      </x:c>
      <x:c r="R279" t="str">
        <x:v>MISSING_PART_NUMBER</x:v>
      </x:c>
      <x:c r="S279" t="n">
        <x:v>236</x:v>
      </x:c>
    </x:row>
    <x:row r="280" ht="15" hidden="0" customHeight="1">
      <x:c r="A280" t="str">
        <x:v>OFFER-C001EC0DB5A4</x:v>
      </x:c>
      <x:c r="B280" t="str">
        <x:v>SPEC-4E844C1A94F7</x:v>
      </x:c>
      <x:c r="C280" t="str">
        <x:v>PHI</x:v>
      </x:c>
      <x:c r="D280" t="str">
        <x:v>PULL TRIM THUMB</x:v>
      </x:c>
      <x:c r="E280" t="str">
        <x:v>1703A</x:v>
      </x:c>
      <x:c r="F280" t="str"/>
      <x:c r="G280" t="str"/>
      <x:c r="H280" t="str"/>
      <x:c r="I280" t="str"/>
      <x:c r="J280" s="54" t="n">
        <x:v>1000</x:v>
      </x:c>
      <x:c r="K280" t="str"/>
      <x:c r="L280" s="57"/>
      <x:c r="M280" s="57"/>
      <x:c r="N280" s="54" t="n">
        <x:f>IF(J280="","",J280*(1-IF(L280="",0,L280))*(1-IF(M280="",0,M280)))</x:f>
        <x:v>1000</x:v>
      </x:c>
      <x:c r="O280" t="str">
        <x:v>USD</x:v>
      </x:c>
      <x:c r="P280" t="str">
        <x:f>IF(J280="","UNPRICED","PRICED")</x:f>
        <x:v>PRICED</x:v>
      </x:c>
      <x:c r="Q280" t="str">
        <x:f>IF(OR(ISNUMBER(SEARCH("MISSING_VENDOR",R280)),ISNUMBER(SEARCH("MISSING_PART_NUMBER",R280)),ISNUMBER(SEARCH("PLACEHOLDER_PART_NUMBER",R280)),ISNUMBER(SEARCH("MISSING_REQUIRED_SPEC",R280)),ISNUMBER(SEARCH("PART_NUMBER_CONFLICT",R280)),ISNUMBER(SEARCH("SIZE_PART_MISMATCH",R280)),ISNUMBER(SEARCH("POSSIBLE_PRICE_OUTLIER",R280))),"REVIEW","ACTIVE")</x:f>
        <x:v>REVIEW</x:v>
      </x:c>
      <x:c r="R280" t="str">
        <x:v>MISSING_PART_NUMBER</x:v>
      </x:c>
      <x:c r="S280" t="n">
        <x:v>251</x:v>
      </x:c>
    </x:row>
    <x:row r="281" ht="15" hidden="0" customHeight="1">
      <x:c r="A281" t="str">
        <x:v>OFFER-63EAD5311FF7</x:v>
      </x:c>
      <x:c r="B281" t="str">
        <x:v>SPEC-573D87063710</x:v>
      </x:c>
      <x:c r="C281" t="str">
        <x:v>DK</x:v>
      </x:c>
      <x:c r="D281" t="str">
        <x:v>PULL TRIM THUMB</x:v>
      </x:c>
      <x:c r="E281" t="str">
        <x:v>HTT05</x:v>
      </x:c>
      <x:c r="F281" t="str"/>
      <x:c r="G281" t="str"/>
      <x:c r="H281" t="str"/>
      <x:c r="I281" t="str"/>
      <x:c r="J281" s="54" t="n">
        <x:v>467</x:v>
      </x:c>
      <x:c r="K281" t="str"/>
      <x:c r="L281" s="57"/>
      <x:c r="M281" s="57"/>
      <x:c r="N281" s="54" t="n">
        <x:f>IF(J281="","",J281*(1-IF(L281="",0,L281))*(1-IF(M281="",0,M281)))</x:f>
        <x:v>467</x:v>
      </x:c>
      <x:c r="O281" t="str">
        <x:v>USD</x:v>
      </x:c>
      <x:c r="P281" t="str">
        <x:f>IF(J281="","UNPRICED","PRICED")</x:f>
        <x:v>PRICED</x:v>
      </x:c>
      <x:c r="Q281" t="str">
        <x:f>IF(OR(ISNUMBER(SEARCH("MISSING_VENDOR",R281)),ISNUMBER(SEARCH("MISSING_PART_NUMBER",R281)),ISNUMBER(SEARCH("PLACEHOLDER_PART_NUMBER",R281)),ISNUMBER(SEARCH("MISSING_REQUIRED_SPEC",R281)),ISNUMBER(SEARCH("PART_NUMBER_CONFLICT",R281)),ISNUMBER(SEARCH("SIZE_PART_MISMATCH",R281)),ISNUMBER(SEARCH("POSSIBLE_PRICE_OUTLIER",R281))),"REVIEW","ACTIVE")</x:f>
        <x:v>REVIEW</x:v>
      </x:c>
      <x:c r="R281" t="str">
        <x:v>MISSING_PART_NUMBER</x:v>
      </x:c>
      <x:c r="S281" t="n">
        <x:v>332</x:v>
      </x:c>
    </x:row>
    <x:row r="282" ht="15" hidden="0" customHeight="1">
      <x:c r="A282" t="str">
        <x:v>OFFER-B8F438161444</x:v>
      </x:c>
      <x:c r="B282" t="str">
        <x:v>SPEC-573D87063710</x:v>
      </x:c>
      <x:c r="C282" t="str">
        <x:v>PHI</x:v>
      </x:c>
      <x:c r="D282" t="str">
        <x:v>PULL TRIM THUMB</x:v>
      </x:c>
      <x:c r="E282" t="str">
        <x:v>1705A</x:v>
      </x:c>
      <x:c r="F282" t="str"/>
      <x:c r="G282" t="str"/>
      <x:c r="H282" t="str"/>
      <x:c r="I282" t="str"/>
      <x:c r="J282" s="54" t="n">
        <x:v>1250</x:v>
      </x:c>
      <x:c r="K282" t="str"/>
      <x:c r="L282" s="57"/>
      <x:c r="M282" s="57"/>
      <x:c r="N282" s="54" t="n">
        <x:f>IF(J282="","",J282*(1-IF(L282="",0,L282))*(1-IF(M282="",0,M282)))</x:f>
        <x:v>1250</x:v>
      </x:c>
      <x:c r="O282" t="str">
        <x:v>USD</x:v>
      </x:c>
      <x:c r="P282" t="str">
        <x:f>IF(J282="","UNPRICED","PRICED")</x:f>
        <x:v>PRICED</x:v>
      </x:c>
      <x:c r="Q282" t="str">
        <x:f>IF(OR(ISNUMBER(SEARCH("MISSING_VENDOR",R282)),ISNUMBER(SEARCH("MISSING_PART_NUMBER",R282)),ISNUMBER(SEARCH("PLACEHOLDER_PART_NUMBER",R282)),ISNUMBER(SEARCH("MISSING_REQUIRED_SPEC",R282)),ISNUMBER(SEARCH("PART_NUMBER_CONFLICT",R282)),ISNUMBER(SEARCH("SIZE_PART_MISMATCH",R282)),ISNUMBER(SEARCH("POSSIBLE_PRICE_OUTLIER",R282))),"REVIEW","ACTIVE")</x:f>
        <x:v>REVIEW</x:v>
      </x:c>
      <x:c r="R282" t="str">
        <x:v>MISSING_PART_NUMBER</x:v>
      </x:c>
      <x:c r="S282" t="n">
        <x:v>347</x:v>
      </x:c>
    </x:row>
    <x:row r="283" ht="15" hidden="0" customHeight="1">
      <x:c r="A283" t="str">
        <x:v>OFFER-6E06A2CCC848</x:v>
      </x:c>
      <x:c r="B283" t="str">
        <x:v>SPEC-A097D4F851FA</x:v>
      </x:c>
      <x:c r="C283" t="str">
        <x:v>DK</x:v>
      </x:c>
      <x:c r="D283" t="str">
        <x:v>PULL TRIM THUMB</x:v>
      </x:c>
      <x:c r="E283" t="str">
        <x:v>HTT03</x:v>
      </x:c>
      <x:c r="F283" t="str"/>
      <x:c r="G283" t="str"/>
      <x:c r="H283" t="str"/>
      <x:c r="I283" t="str"/>
      <x:c r="J283" s="54" t="n">
        <x:v>443</x:v>
      </x:c>
      <x:c r="K283" t="str"/>
      <x:c r="L283" s="57"/>
      <x:c r="M283" s="57"/>
      <x:c r="N283" s="54" t="n">
        <x:f>IF(J283="","",J283*(1-IF(L283="",0,L283))*(1-IF(M283="",0,M283)))</x:f>
        <x:v>443</x:v>
      </x:c>
      <x:c r="O283" t="str">
        <x:v>USD</x:v>
      </x:c>
      <x:c r="P283" t="str">
        <x:f>IF(J283="","UNPRICED","PRICED")</x:f>
        <x:v>PRICED</x:v>
      </x:c>
      <x:c r="Q283" t="str">
        <x:f>IF(OR(ISNUMBER(SEARCH("MISSING_VENDOR",R283)),ISNUMBER(SEARCH("MISSING_PART_NUMBER",R283)),ISNUMBER(SEARCH("PLACEHOLDER_PART_NUMBER",R283)),ISNUMBER(SEARCH("MISSING_REQUIRED_SPEC",R283)),ISNUMBER(SEARCH("PART_NUMBER_CONFLICT",R283)),ISNUMBER(SEARCH("SIZE_PART_MISMATCH",R283)),ISNUMBER(SEARCH("POSSIBLE_PRICE_OUTLIER",R283))),"REVIEW","ACTIVE")</x:f>
        <x:v>REVIEW</x:v>
      </x:c>
      <x:c r="R283" t="str">
        <x:v>MISSING_PART_NUMBER</x:v>
      </x:c>
      <x:c r="S283" t="n">
        <x:v>333</x:v>
      </x:c>
    </x:row>
    <x:row r="284" ht="15" hidden="0" customHeight="1">
      <x:c r="A284" t="str">
        <x:v>OFFER-FDFA8C0B544A</x:v>
      </x:c>
      <x:c r="B284" t="str">
        <x:v>SPEC-A097D4F851FA</x:v>
      </x:c>
      <x:c r="C284" t="str">
        <x:v>PHI</x:v>
      </x:c>
      <x:c r="D284" t="str">
        <x:v>PULL TRIM THUMB</x:v>
      </x:c>
      <x:c r="E284" t="str">
        <x:v>1703A</x:v>
      </x:c>
      <x:c r="F284" t="str"/>
      <x:c r="G284" t="str"/>
      <x:c r="H284" t="str"/>
      <x:c r="I284" t="str"/>
      <x:c r="J284" s="54" t="n">
        <x:v>1000</x:v>
      </x:c>
      <x:c r="K284" t="str"/>
      <x:c r="L284" s="57"/>
      <x:c r="M284" s="57"/>
      <x:c r="N284" s="54" t="n">
        <x:f>IF(J284="","",J284*(1-IF(L284="",0,L284))*(1-IF(M284="",0,M284)))</x:f>
        <x:v>1000</x:v>
      </x:c>
      <x:c r="O284" t="str">
        <x:v>USD</x:v>
      </x:c>
      <x:c r="P284" t="str">
        <x:f>IF(J284="","UNPRICED","PRICED")</x:f>
        <x:v>PRICED</x:v>
      </x:c>
      <x:c r="Q284" t="str">
        <x:f>IF(OR(ISNUMBER(SEARCH("MISSING_VENDOR",R284)),ISNUMBER(SEARCH("MISSING_PART_NUMBER",R284)),ISNUMBER(SEARCH("PLACEHOLDER_PART_NUMBER",R284)),ISNUMBER(SEARCH("MISSING_REQUIRED_SPEC",R284)),ISNUMBER(SEARCH("PART_NUMBER_CONFLICT",R284)),ISNUMBER(SEARCH("SIZE_PART_MISMATCH",R284)),ISNUMBER(SEARCH("POSSIBLE_PRICE_OUTLIER",R284))),"REVIEW","ACTIVE")</x:f>
        <x:v>REVIEW</x:v>
      </x:c>
      <x:c r="R284" t="str">
        <x:v>MISSING_PART_NUMBER</x:v>
      </x:c>
      <x:c r="S284" t="n">
        <x:v>348</x:v>
      </x:c>
    </x:row>
  </x:sheetData>
  <x:conditionalFormatting sqref="P2:Q284">
    <x:cfRule type="containsText" dxfId="3" priority="1" operator="containsText" text="REVIEW"/>
  </x:conditionalFormatting>
  <x:conditionalFormatting sqref="P2:P284">
    <x:cfRule type="containsText" dxfId="4" priority="2" operator="containsText" text="UNPRICED"/>
  </x:conditionalFormatting>
  <x:pageMargins left="0.7" right="0.7" top="0.75" bottom="0.75" header="0.3" footer="0.3"/>
  <x:tableParts count="1">
    <x:tablePart xmlns:r="http://schemas.openxmlformats.org/officeDocument/2006/relationships" r:id="R4abc307e069542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27" hidden="0" customWidth="1"/>
    <x:col min="4" max="4" width="14" hidden="0" customWidth="1"/>
    <x:col min="5" max="5" width="24" hidden="0" customWidth="1"/>
    <x:col min="6" max="6" width="16" hidden="0" customWidth="1"/>
    <x:col min="7" max="7" width="15" hidden="0" customWidth="1"/>
    <x:col min="8" max="8" width="14" hidden="0" customWidth="1"/>
    <x:col min="9" max="9" width="18" hidden="0" customWidth="1"/>
    <x:col min="10" max="10" width="23" hidden="0" customWidth="1"/>
    <x:col min="11" max="11" width="18" hidden="0" customWidth="1"/>
    <x:col min="12" max="12" width="23" hidden="0" customWidth="1"/>
    <x:col min="13" max="13" width="16" hidden="0" customWidth="1"/>
    <x:col min="14" max="14" width="25" hidden="0" customWidth="1"/>
    <x:col min="15" max="15" width="26" hidden="0" customWidth="1"/>
    <x:col min="16" max="16" width="18" hidden="0" customWidth="1"/>
    <x:col min="17" max="17" width="16" hidden="0" customWidth="1"/>
    <x:col min="18" max="18" width="17" hidden="0" customWidth="1"/>
    <x:col min="19" max="19" width="22" hidden="0" customWidth="1"/>
    <x:col min="20" max="20" width="17" hidden="0" customWidth="1"/>
    <x:col min="21" max="21" width="25" hidden="0" customWidth="1"/>
    <x:col min="22" max="22" width="30" hidden="0" customWidth="1"/>
    <x:col min="23" max="23" width="20" hidden="0" customWidth="1"/>
    <x:col min="24" max="24" width="25" hidden="0" customWidth="1"/>
    <x:col min="25" max="25" width="48" hidden="0" customWidth="1"/>
    <x:col min="26" max="26" width="24" hidden="0" customWidth="1"/>
    <x:col min="27" max="27" width="14" hidden="0" customWidth="1"/>
    <x:col min="28" max="28" width="16" hidden="0" customWidth="1"/>
    <x:col min="29" max="29" width="13" hidden="0" customWidth="1"/>
    <x:col min="30" max="30" width="13" hidden="0" customWidth="1"/>
    <x:col min="31" max="31" width="14" hidden="0" customWidth="1"/>
    <x:col min="32" max="32" width="10" hidden="0" customWidth="1"/>
    <x:col min="33" max="33" width="14" hidden="0" customWidth="1"/>
    <x:col min="34" max="34" width="14" hidden="0" customWidth="1"/>
    <x:col min="35" max="35" width="42" hidden="0" customWidth="1"/>
    <x:col min="36" max="36" width="12" hidden="0" customWidth="1"/>
  </x:cols>
  <x:sheetData>
    <x:row r="1" ht="34" hidden="0" customHeight="1">
      <x:c r="A1" s="34" t="str">
        <x:v>Spec_ID</x:v>
      </x:c>
      <x:c r="B1" s="34" t="str">
        <x:v>Product_Category</x:v>
      </x:c>
      <x:c r="C1" s="34" t="str">
        <x:v>Product_Subtype</x:v>
      </x:c>
      <x:c r="D1" s="34" t="str">
        <x:v>Application</x:v>
      </x:c>
      <x:c r="E1" s="34" t="str">
        <x:v>Function</x:v>
      </x:c>
      <x:c r="F1" s="34" t="str">
        <x:v>Keying</x:v>
      </x:c>
      <x:c r="G1" s="34" t="str">
        <x:v>Size</x:v>
      </x:c>
      <x:c r="H1" s="34" t="str">
        <x:v>Rating</x:v>
      </x:c>
      <x:c r="I1" s="34" t="str">
        <x:v>Duty_Grade</x:v>
      </x:c>
      <x:c r="J1" s="34" t="str">
        <x:v>Mounting_Arm</x:v>
      </x:c>
      <x:c r="K1" s="34" t="str">
        <x:v>Thickness_Weight</x:v>
      </x:c>
      <x:c r="L1" s="34" t="str">
        <x:v>Material</x:v>
      </x:c>
      <x:c r="M1" s="34" t="str">
        <x:v>Finish</x:v>
      </x:c>
      <x:c r="N1" s="34" t="str">
        <x:v>Electrical</x:v>
      </x:c>
      <x:c r="O1" s="34" t="str">
        <x:v>Other_Requirements</x:v>
      </x:c>
      <x:c r="P1" s="34" t="str">
        <x:v>Match_Confidence</x:v>
      </x:c>
      <x:c r="Q1" s="34" t="str">
        <x:v>Vendor_Option_Count</x:v>
      </x:c>
      <x:c r="R1" s="34" t="str">
        <x:v>Manufacturer_Count</x:v>
      </x:c>
      <x:c r="S1" s="34" t="str">
        <x:v>Offer_ID</x:v>
      </x:c>
      <x:c r="T1" s="34" t="str">
        <x:v>Manufacturer_Vendor</x:v>
      </x:c>
      <x:c r="U1" s="34" t="str">
        <x:v>Vendor_Series</x:v>
      </x:c>
      <x:c r="V1" s="34" t="str">
        <x:v>Vendor_Model</x:v>
      </x:c>
      <x:c r="W1" s="34" t="str">
        <x:v>Vendor_Function_Code</x:v>
      </x:c>
      <x:c r="X1" s="34" t="str">
        <x:v>Manufacturer_Part_Number</x:v>
      </x:c>
      <x:c r="Y1" s="34" t="str">
        <x:v>Product_Description_Raw</x:v>
      </x:c>
      <x:c r="Z1" s="34" t="str">
        <x:v>Customer_Part_Number</x:v>
      </x:c>
      <x:c r="AA1" s="34" t="str">
        <x:v>List_Price</x:v>
      </x:c>
      <x:c r="AB1" s="34" t="str">
        <x:v>Discount_Raw</x:v>
      </x:c>
      <x:c r="AC1" s="34" t="str">
        <x:v>Discount_1</x:v>
      </x:c>
      <x:c r="AD1" s="34" t="str">
        <x:v>Discount_2</x:v>
      </x:c>
      <x:c r="AE1" s="34" t="str">
        <x:v>Net_Price</x:v>
      </x:c>
      <x:c r="AF1" s="34" t="str">
        <x:v>Currency</x:v>
      </x:c>
      <x:c r="AG1" s="34" t="str">
        <x:v>Price_Status</x:v>
      </x:c>
      <x:c r="AH1" s="34" t="str">
        <x:v>Data_Status</x:v>
      </x:c>
      <x:c r="AI1" s="34" t="str">
        <x:v>QA_Flags</x:v>
      </x:c>
      <x:c r="AJ1" s="34" t="str">
        <x:v>Source_Row</x:v>
      </x:c>
    </x:row>
    <x:row r="2" ht="15" hidden="0" customHeight="1">
      <x:c r="A2" t="str">
        <x:f>'Vendor Options'!B2</x:f>
        <x:v>SPEC-E002DFF25150</x:v>
      </x:c>
      <x:c r="B2" t="str">
        <x:f>XLOOKUP($A2,'Specs'!$A$2:$A$164,'Specs'!$B$2:$B$164,"")</x:f>
        <x:v>CLOSER</x:v>
      </x:c>
      <x:c r="C2" t="str">
        <x:f>XLOOKUP($A2,'Specs'!$A$2:$A$164,'Specs'!$C$2:$C$164,"")</x:f>
        <x:v>SURFACE CLOSER</x:v>
      </x:c>
      <x:c r="D2" t="str">
        <x:f>XLOOKUP($A2,'Specs'!$A$2:$A$164,'Specs'!$D$2:$D$164,"")</x:f>
      </x:c>
      <x:c r="E2" t="str">
        <x:f>XLOOKUP($A2,'Specs'!$A$2:$A$164,'Specs'!$E$2:$E$164,"")</x:f>
        <x:v>DOOR CLOSER</x:v>
      </x:c>
      <x:c r="F2" t="str">
        <x:f>XLOOKUP($A2,'Specs'!$A$2:$A$164,'Specs'!$F$2:$F$164,"")</x:f>
        <x:v>NOT APPLICABLE</x:v>
      </x:c>
      <x:c r="G2" t="str">
        <x:f>XLOOKUP($A2,'Specs'!$A$2:$A$164,'Specs'!$G$2:$G$164,"")</x:f>
      </x:c>
      <x:c r="H2" t="str">
        <x:f>XLOOKUP($A2,'Specs'!$A$2:$A$164,'Specs'!$H$2:$H$164,"")</x:f>
      </x:c>
      <x:c r="I2" t="str">
        <x:f>XLOOKUP($A2,'Specs'!$A$2:$A$164,'Specs'!$I$2:$I$164,"")</x:f>
        <x:v>LIGHT COMMERCIAL</x:v>
      </x:c>
      <x:c r="J2" t="str">
        <x:f>XLOOKUP($A2,'Specs'!$A$2:$A$164,'Specs'!$J$2:$J$164,"")</x:f>
      </x:c>
      <x:c r="K2" t="str">
        <x:f>XLOOKUP($A2,'Specs'!$A$2:$A$164,'Specs'!$K$2:$K$164,"")</x:f>
      </x:c>
      <x:c r="L2" t="str">
        <x:f>XLOOKUP($A2,'Specs'!$A$2:$A$164,'Specs'!$L$2:$L$164,"")</x:f>
        <x:v>ALUMINUM BODY</x:v>
      </x:c>
      <x:c r="M2" t="str">
        <x:f>XLOOKUP($A2,'Specs'!$A$2:$A$164,'Specs'!$M$2:$M$164,"")</x:f>
      </x:c>
      <x:c r="N2" t="str">
        <x:f>XLOOKUP($A2,'Specs'!$A$2:$A$164,'Specs'!$N$2:$N$164,"")</x:f>
      </x:c>
      <x:c r="O2" t="str">
        <x:f>XLOOKUP($A2,'Specs'!$A$2:$A$164,'Specs'!$O$2:$O$164,"")</x:f>
      </x:c>
      <x:c r="P2" t="str">
        <x:f>XLOOKUP($A2,'Specs'!$A$2:$A$164,'Specs'!$P$2:$P$164,"")</x:f>
        <x:v>HIGH</x:v>
      </x:c>
      <x:c r="Q2" s="53" t="n">
        <x:f>XLOOKUP($A2,'Specs'!$A$2:$A$164,'Specs'!$Q$2:$Q$164,"")</x:f>
        <x:v>1</x:v>
      </x:c>
      <x:c r="R2" s="53" t="n">
        <x:f>XLOOKUP($A2,'Specs'!$A$2:$A$164,'Specs'!$R$2:$R$164,"")</x:f>
        <x:v>1</x:v>
      </x:c>
      <x:c r="S2" t="str">
        <x:f>'Vendor Options'!A2</x:f>
        <x:v>OFFER-6A4FD294BC25</x:v>
      </x:c>
      <x:c r="T2" t="str">
        <x:f>'Vendor Options'!C2</x:f>
        <x:v>DH</x:v>
      </x:c>
      <x:c r="U2" t="str">
        <x:f>'Vendor Options'!D2</x:f>
        <x:v>116</x:v>
      </x:c>
      <x:c r="V2" t="str">
        <x:f>'Vendor Options'!E2</x:f>
        <x:v>116 NON HO</x:v>
      </x:c>
      <x:c r="W2" t="str">
        <x:f>'Vendor Options'!F2</x:f>
      </x:c>
      <x:c r="X2" t="str">
        <x:f>'Vendor Options'!G2</x:f>
        <x:v>78000691</x:v>
      </x:c>
      <x:c r="Y2" t="str">
        <x:f>'Vendor Options'!H2</x:f>
        <x:v>78000691 - 116 Door Closer</x:v>
      </x:c>
      <x:c r="Z2" t="n">
        <x:f>'Vendor Options'!I2</x:f>
        <x:v>0</x:v>
      </x:c>
      <x:c r="AA2" s="54" t="n">
        <x:f>'Vendor Options'!J2</x:f>
        <x:v>0</x:v>
      </x:c>
      <x:c r="AB2" t="n">
        <x:f>'Vendor Options'!K2</x:f>
        <x:v>0</x:v>
      </x:c>
      <x:c r="AC2" s="57" t="n">
        <x:f>'Vendor Options'!L2</x:f>
        <x:v>0</x:v>
      </x:c>
      <x:c r="AD2" s="57" t="n">
        <x:f>'Vendor Options'!M2</x:f>
        <x:v>0</x:v>
      </x:c>
      <x:c r="AE2" s="54" t="str">
        <x:f>'Vendor Options'!N2</x:f>
      </x:c>
      <x:c r="AF2" t="str">
        <x:f>'Vendor Options'!O2</x:f>
        <x:v>USD</x:v>
      </x:c>
      <x:c r="AG2" t="str">
        <x:f>'Vendor Options'!P2</x:f>
        <x:v>UNPRICED</x:v>
      </x:c>
      <x:c r="AH2" t="str">
        <x:f>'Vendor Options'!Q2</x:f>
        <x:v>ACTIVE</x:v>
      </x:c>
      <x:c r="AI2" t="str">
        <x:f>'Vendor Options'!R2</x:f>
        <x:v>MISSING_PRICE</x:v>
      </x:c>
      <x:c r="AJ2" t="n">
        <x:f>'Vendor Options'!S2</x:f>
        <x:v>47</x:v>
      </x:c>
    </x:row>
    <x:row r="3" ht="15" hidden="0" customHeight="1">
      <x:c r="A3" t="str">
        <x:f>'Vendor Options'!B3</x:f>
        <x:v>SPEC-D20D6C31AF5E</x:v>
      </x:c>
      <x:c r="B3" t="str">
        <x:f>XLOOKUP($A3,'Specs'!$A$2:$A$164,'Specs'!$B$2:$B$164,"")</x:f>
        <x:v>CLOSER</x:v>
      </x:c>
      <x:c r="C3" t="str">
        <x:f>XLOOKUP($A3,'Specs'!$A$2:$A$164,'Specs'!$C$2:$C$164,"")</x:f>
        <x:v>SURFACE CLOSER</x:v>
      </x:c>
      <x:c r="D3" t="str">
        <x:f>XLOOKUP($A3,'Specs'!$A$2:$A$164,'Specs'!$D$2:$D$164,"")</x:f>
      </x:c>
      <x:c r="E3" t="str">
        <x:f>XLOOKUP($A3,'Specs'!$A$2:$A$164,'Specs'!$E$2:$E$164,"")</x:f>
        <x:v>DOOR CLOSER</x:v>
      </x:c>
      <x:c r="F3" t="str">
        <x:f>XLOOKUP($A3,'Specs'!$A$2:$A$164,'Specs'!$F$2:$F$164,"")</x:f>
        <x:v>NOT APPLICABLE</x:v>
      </x:c>
      <x:c r="G3" t="str">
        <x:f>XLOOKUP($A3,'Specs'!$A$2:$A$164,'Specs'!$G$2:$G$164,"")</x:f>
      </x:c>
      <x:c r="H3" t="str">
        <x:f>XLOOKUP($A3,'Specs'!$A$2:$A$164,'Specs'!$H$2:$H$164,"")</x:f>
      </x:c>
      <x:c r="I3" t="str">
        <x:f>XLOOKUP($A3,'Specs'!$A$2:$A$164,'Specs'!$I$2:$I$164,"")</x:f>
        <x:v>MEDIUM DUTY</x:v>
      </x:c>
      <x:c r="J3" t="str">
        <x:f>XLOOKUP($A3,'Specs'!$A$2:$A$164,'Specs'!$J$2:$J$164,"")</x:f>
      </x:c>
      <x:c r="K3" t="str">
        <x:f>XLOOKUP($A3,'Specs'!$A$2:$A$164,'Specs'!$K$2:$K$164,"")</x:f>
      </x:c>
      <x:c r="L3" t="str">
        <x:f>XLOOKUP($A3,'Specs'!$A$2:$A$164,'Specs'!$L$2:$L$164,"")</x:f>
        <x:v>ALUMINUM BODY</x:v>
      </x:c>
      <x:c r="M3" t="str">
        <x:f>XLOOKUP($A3,'Specs'!$A$2:$A$164,'Specs'!$M$2:$M$164,"")</x:f>
      </x:c>
      <x:c r="N3" t="str">
        <x:f>XLOOKUP($A3,'Specs'!$A$2:$A$164,'Specs'!$N$2:$N$164,"")</x:f>
      </x:c>
      <x:c r="O3" t="str">
        <x:f>XLOOKUP($A3,'Specs'!$A$2:$A$164,'Specs'!$O$2:$O$164,"")</x:f>
      </x:c>
      <x:c r="P3" t="str">
        <x:f>XLOOKUP($A3,'Specs'!$A$2:$A$164,'Specs'!$P$2:$P$164,"")</x:f>
        <x:v>HIGH</x:v>
      </x:c>
      <x:c r="Q3" s="53" t="n">
        <x:f>XLOOKUP($A3,'Specs'!$A$2:$A$164,'Specs'!$Q$2:$Q$164,"")</x:f>
        <x:v>3</x:v>
      </x:c>
      <x:c r="R3" s="53" t="n">
        <x:f>XLOOKUP($A3,'Specs'!$A$2:$A$164,'Specs'!$R$2:$R$164,"")</x:f>
        <x:v>2</x:v>
      </x:c>
      <x:c r="S3" t="str">
        <x:f>'Vendor Options'!A3</x:f>
        <x:v>OFFER-1020E6CB214F</x:v>
      </x:c>
      <x:c r="T3" t="str">
        <x:f>'Vendor Options'!C3</x:f>
        <x:v>DH</x:v>
      </x:c>
      <x:c r="U3" t="str">
        <x:f>'Vendor Options'!D3</x:f>
        <x:v>316</x:v>
      </x:c>
      <x:c r="V3" t="str">
        <x:f>'Vendor Options'!E3</x:f>
        <x:v>316 NON HO</x:v>
      </x:c>
      <x:c r="W3" t="str">
        <x:f>'Vendor Options'!F3</x:f>
      </x:c>
      <x:c r="X3" t="str">
        <x:f>'Vendor Options'!G3</x:f>
        <x:v>78000738</x:v>
      </x:c>
      <x:c r="Y3" t="str">
        <x:f>'Vendor Options'!H3</x:f>
        <x:v>78000738 - 316 Door Closer (size 1-6)</x:v>
      </x:c>
      <x:c r="Z3" t="n">
        <x:f>'Vendor Options'!I3</x:f>
        <x:v>0</x:v>
      </x:c>
      <x:c r="AA3" s="54" t="n">
        <x:f>'Vendor Options'!J3</x:f>
        <x:v>0</x:v>
      </x:c>
      <x:c r="AB3" t="n">
        <x:f>'Vendor Options'!K3</x:f>
        <x:v>0</x:v>
      </x:c>
      <x:c r="AC3" s="57" t="n">
        <x:f>'Vendor Options'!L3</x:f>
        <x:v>0</x:v>
      </x:c>
      <x:c r="AD3" s="57" t="n">
        <x:f>'Vendor Options'!M3</x:f>
        <x:v>0</x:v>
      </x:c>
      <x:c r="AE3" s="54" t="str">
        <x:f>'Vendor Options'!N3</x:f>
      </x:c>
      <x:c r="AF3" t="str">
        <x:f>'Vendor Options'!O3</x:f>
        <x:v>USD</x:v>
      </x:c>
      <x:c r="AG3" t="str">
        <x:f>'Vendor Options'!P3</x:f>
        <x:v>UNPRICED</x:v>
      </x:c>
      <x:c r="AH3" t="str">
        <x:f>'Vendor Options'!Q3</x:f>
        <x:v>ACTIVE</x:v>
      </x:c>
      <x:c r="AI3" t="str">
        <x:f>'Vendor Options'!R3</x:f>
        <x:v>MISSING_PRICE</x:v>
      </x:c>
      <x:c r="AJ3" t="n">
        <x:f>'Vendor Options'!S3</x:f>
        <x:v>45</x:v>
      </x:c>
    </x:row>
    <x:row r="4" ht="15" hidden="0" customHeight="1">
      <x:c r="A4" t="str">
        <x:f>'Vendor Options'!B4</x:f>
        <x:v>SPEC-34F37FF68132</x:v>
      </x:c>
      <x:c r="B4" t="str">
        <x:f>XLOOKUP($A4,'Specs'!$A$2:$A$164,'Specs'!$B$2:$B$164,"")</x:f>
        <x:v>CLOSER</x:v>
      </x:c>
      <x:c r="C4" t="str">
        <x:f>XLOOKUP($A4,'Specs'!$A$2:$A$164,'Specs'!$C$2:$C$164,"")</x:f>
        <x:v>SURFACE CLOSER</x:v>
      </x:c>
      <x:c r="D4" t="str">
        <x:f>XLOOKUP($A4,'Specs'!$A$2:$A$164,'Specs'!$D$2:$D$164,"")</x:f>
      </x:c>
      <x:c r="E4" t="str">
        <x:f>XLOOKUP($A4,'Specs'!$A$2:$A$164,'Specs'!$E$2:$E$164,"")</x:f>
        <x:v>DOOR CLOSER</x:v>
      </x:c>
      <x:c r="F4" t="str">
        <x:f>XLOOKUP($A4,'Specs'!$A$2:$A$164,'Specs'!$F$2:$F$164,"")</x:f>
        <x:v>NOT APPLICABLE</x:v>
      </x:c>
      <x:c r="G4" t="str">
        <x:f>XLOOKUP($A4,'Specs'!$A$2:$A$164,'Specs'!$G$2:$G$164,"")</x:f>
      </x:c>
      <x:c r="H4" t="str">
        <x:f>XLOOKUP($A4,'Specs'!$A$2:$A$164,'Specs'!$H$2:$H$164,"")</x:f>
      </x:c>
      <x:c r="I4" t="str">
        <x:f>XLOOKUP($A4,'Specs'!$A$2:$A$164,'Specs'!$I$2:$I$164,"")</x:f>
        <x:v>INSTITUTIONAL</x:v>
      </x:c>
      <x:c r="J4" t="str">
        <x:f>XLOOKUP($A4,'Specs'!$A$2:$A$164,'Specs'!$J$2:$J$164,"")</x:f>
      </x:c>
      <x:c r="K4" t="str">
        <x:f>XLOOKUP($A4,'Specs'!$A$2:$A$164,'Specs'!$K$2:$K$164,"")</x:f>
      </x:c>
      <x:c r="L4" t="str">
        <x:f>XLOOKUP($A4,'Specs'!$A$2:$A$164,'Specs'!$L$2:$L$164,"")</x:f>
        <x:v>CAST BODY</x:v>
      </x:c>
      <x:c r="M4" t="str">
        <x:f>XLOOKUP($A4,'Specs'!$A$2:$A$164,'Specs'!$M$2:$M$164,"")</x:f>
      </x:c>
      <x:c r="N4" t="str">
        <x:f>XLOOKUP($A4,'Specs'!$A$2:$A$164,'Specs'!$N$2:$N$164,"")</x:f>
      </x:c>
      <x:c r="O4" t="str">
        <x:f>XLOOKUP($A4,'Specs'!$A$2:$A$164,'Specs'!$O$2:$O$164,"")</x:f>
      </x:c>
      <x:c r="P4" t="str">
        <x:f>XLOOKUP($A4,'Specs'!$A$2:$A$164,'Specs'!$P$2:$P$164,"")</x:f>
        <x:v>HIGH</x:v>
      </x:c>
      <x:c r="Q4" s="53" t="n">
        <x:f>XLOOKUP($A4,'Specs'!$A$2:$A$164,'Specs'!$Q$2:$Q$164,"")</x:f>
        <x:v>3</x:v>
      </x:c>
      <x:c r="R4" s="53" t="n">
        <x:f>XLOOKUP($A4,'Specs'!$A$2:$A$164,'Specs'!$R$2:$R$164,"")</x:f>
        <x:v>2</x:v>
      </x:c>
      <x:c r="S4" t="str">
        <x:f>'Vendor Options'!A4</x:f>
        <x:v>OFFER-B893CCBA816C</x:v>
      </x:c>
      <x:c r="T4" t="str">
        <x:f>'Vendor Options'!C4</x:f>
        <x:v>DH</x:v>
      </x:c>
      <x:c r="U4" t="str">
        <x:f>'Vendor Options'!D4</x:f>
        <x:v>416</x:v>
      </x:c>
      <x:c r="V4" t="str">
        <x:f>'Vendor Options'!E4</x:f>
        <x:v>416 NON_HO</x:v>
      </x:c>
      <x:c r="W4" t="str">
        <x:f>'Vendor Options'!F4</x:f>
      </x:c>
      <x:c r="X4" t="str">
        <x:f>'Vendor Options'!G4</x:f>
        <x:v>78000015</x:v>
      </x:c>
      <x:c r="Y4" t="str">
        <x:f>'Vendor Options'!H4</x:f>
        <x:v>78000015 - 416 Door Closer (size 1-6)</x:v>
      </x:c>
      <x:c r="Z4" t="n">
        <x:f>'Vendor Options'!I4</x:f>
        <x:v>0</x:v>
      </x:c>
      <x:c r="AA4" s="54" t="n">
        <x:f>'Vendor Options'!J4</x:f>
        <x:v>0</x:v>
      </x:c>
      <x:c r="AB4" t="n">
        <x:f>'Vendor Options'!K4</x:f>
        <x:v>0</x:v>
      </x:c>
      <x:c r="AC4" s="57" t="n">
        <x:f>'Vendor Options'!L4</x:f>
        <x:v>0</x:v>
      </x:c>
      <x:c r="AD4" s="57" t="n">
        <x:f>'Vendor Options'!M4</x:f>
        <x:v>0</x:v>
      </x:c>
      <x:c r="AE4" s="54" t="str">
        <x:f>'Vendor Options'!N4</x:f>
      </x:c>
      <x:c r="AF4" t="str">
        <x:f>'Vendor Options'!O4</x:f>
        <x:v>USD</x:v>
      </x:c>
      <x:c r="AG4" t="str">
        <x:f>'Vendor Options'!P4</x:f>
        <x:v>UNPRICED</x:v>
      </x:c>
      <x:c r="AH4" t="str">
        <x:f>'Vendor Options'!Q4</x:f>
        <x:v>ACTIVE</x:v>
      </x:c>
      <x:c r="AI4" t="str">
        <x:f>'Vendor Options'!R4</x:f>
        <x:v>MISSING_PRICE</x:v>
      </x:c>
      <x:c r="AJ4" t="n">
        <x:f>'Vendor Options'!S4</x:f>
        <x:v>43</x:v>
      </x:c>
    </x:row>
    <x:row r="5" ht="15" hidden="0" customHeight="1">
      <x:c r="A5" t="str">
        <x:f>'Vendor Options'!B5</x:f>
        <x:v>SPEC-83B89DDE240B</x:v>
      </x:c>
      <x:c r="B5" t="str">
        <x:f>XLOOKUP($A5,'Specs'!$A$2:$A$164,'Specs'!$B$2:$B$164,"")</x:f>
        <x:v>CLOSER</x:v>
      </x:c>
      <x:c r="C5" t="str">
        <x:f>XLOOKUP($A5,'Specs'!$A$2:$A$164,'Specs'!$C$2:$C$164,"")</x:f>
        <x:v>SURFACE CLOSER</x:v>
      </x:c>
      <x:c r="D5" t="str">
        <x:f>XLOOKUP($A5,'Specs'!$A$2:$A$164,'Specs'!$D$2:$D$164,"")</x:f>
      </x:c>
      <x:c r="E5" t="str">
        <x:f>XLOOKUP($A5,'Specs'!$A$2:$A$164,'Specs'!$E$2:$E$164,"")</x:f>
        <x:v>DOOR CLOSER</x:v>
      </x:c>
      <x:c r="F5" t="str">
        <x:f>XLOOKUP($A5,'Specs'!$A$2:$A$164,'Specs'!$F$2:$F$164,"")</x:f>
        <x:v>NOT APPLICABLE</x:v>
      </x:c>
      <x:c r="G5" t="str">
        <x:f>XLOOKUP($A5,'Specs'!$A$2:$A$164,'Specs'!$G$2:$G$164,"")</x:f>
      </x:c>
      <x:c r="H5" t="str">
        <x:f>XLOOKUP($A5,'Specs'!$A$2:$A$164,'Specs'!$H$2:$H$164,"")</x:f>
      </x:c>
      <x:c r="I5" t="str">
        <x:f>XLOOKUP($A5,'Specs'!$A$2:$A$164,'Specs'!$I$2:$I$164,"")</x:f>
        <x:v>HEAVY DUTY</x:v>
      </x:c>
      <x:c r="J5" t="str">
        <x:f>XLOOKUP($A5,'Specs'!$A$2:$A$164,'Specs'!$J$2:$J$164,"")</x:f>
        <x:v>HOLD OPEN CUSHION</x:v>
      </x:c>
      <x:c r="K5" t="str">
        <x:f>XLOOKUP($A5,'Specs'!$A$2:$A$164,'Specs'!$K$2:$K$164,"")</x:f>
        <x:v>DS NFHD</x:v>
      </x:c>
      <x:c r="L5" t="str">
        <x:f>XLOOKUP($A5,'Specs'!$A$2:$A$164,'Specs'!$L$2:$L$164,"")</x:f>
      </x:c>
      <x:c r="M5" t="str">
        <x:f>XLOOKUP($A5,'Specs'!$A$2:$A$164,'Specs'!$M$2:$M$164,"")</x:f>
      </x:c>
      <x:c r="N5" t="str">
        <x:f>XLOOKUP($A5,'Specs'!$A$2:$A$164,'Specs'!$N$2:$N$164,"")</x:f>
      </x:c>
      <x:c r="O5" t="str">
        <x:f>XLOOKUP($A5,'Specs'!$A$2:$A$164,'Specs'!$O$2:$O$164,"")</x:f>
        <x:v>NFHD</x:v>
      </x:c>
      <x:c r="P5" t="str">
        <x:f>XLOOKUP($A5,'Specs'!$A$2:$A$164,'Specs'!$P$2:$P$164,"")</x:f>
        <x:v>HIGH</x:v>
      </x:c>
      <x:c r="Q5" s="53" t="n">
        <x:f>XLOOKUP($A5,'Specs'!$A$2:$A$164,'Specs'!$Q$2:$Q$164,"")</x:f>
        <x:v>2</x:v>
      </x:c>
      <x:c r="R5" s="53" t="n">
        <x:f>XLOOKUP($A5,'Specs'!$A$2:$A$164,'Specs'!$R$2:$R$164,"")</x:f>
        <x:v>1</x:v>
      </x:c>
      <x:c r="S5" t="str">
        <x:f>'Vendor Options'!A5</x:f>
        <x:v>OFFER-0D44C1292383</x:v>
      </x:c>
      <x:c r="T5" t="str">
        <x:f>'Vendor Options'!C5</x:f>
        <x:v>DK</x:v>
      </x:c>
      <x:c r="U5" t="str">
        <x:f>'Vendor Options'!D5</x:f>
        <x:v>8616-DS-NFHD</x:v>
      </x:c>
      <x:c r="V5" t="str">
        <x:f>'Vendor Options'!E5</x:f>
        <x:v>NO HO CUSH</x:v>
      </x:c>
      <x:c r="W5" t="str">
        <x:f>'Vendor Options'!F5</x:f>
      </x:c>
      <x:c r="X5" t="str">
        <x:f>'Vendor Options'!G5</x:f>
        <x:v>8616-*-DS-*-FC-SN2-DPK89-NFHD-689</x:v>
      </x:c>
      <x:c r="Y5" t="str">
        <x:f>'Vendor Options'!H5</x:f>
        <x:v>8616-*-DS-*-FC-SN2-DPK89-NFHD-689</x:v>
      </x:c>
      <x:c r="Z5" t="n">
        <x:f>'Vendor Options'!I5</x:f>
        <x:v>0</x:v>
      </x:c>
      <x:c r="AA5" s="54" t="n">
        <x:f>'Vendor Options'!J5</x:f>
        <x:v>0</x:v>
      </x:c>
      <x:c r="AB5" t="n">
        <x:f>'Vendor Options'!K5</x:f>
        <x:v>0</x:v>
      </x:c>
      <x:c r="AC5" s="57" t="n">
        <x:f>'Vendor Options'!L5</x:f>
        <x:v>0</x:v>
      </x:c>
      <x:c r="AD5" s="57" t="n">
        <x:f>'Vendor Options'!M5</x:f>
        <x:v>0</x:v>
      </x:c>
      <x:c r="AE5" s="54" t="str">
        <x:f>'Vendor Options'!N5</x:f>
      </x:c>
      <x:c r="AF5" t="str">
        <x:f>'Vendor Options'!O5</x:f>
        <x:v>USD</x:v>
      </x:c>
      <x:c r="AG5" t="str">
        <x:f>'Vendor Options'!P5</x:f>
        <x:v>UNPRICED</x:v>
      </x:c>
      <x:c r="AH5" t="str">
        <x:f>'Vendor Options'!Q5</x:f>
        <x:v>ACTIVE</x:v>
      </x:c>
      <x:c r="AI5" t="str">
        <x:f>'Vendor Options'!R5</x:f>
        <x:v>MISSING_PRICE</x:v>
      </x:c>
      <x:c r="AJ5" t="n">
        <x:f>'Vendor Options'!S5</x:f>
        <x:v>63</x:v>
      </x:c>
    </x:row>
    <x:row r="6" ht="15" hidden="0" customHeight="1">
      <x:c r="A6" t="str">
        <x:f>'Vendor Options'!B6</x:f>
        <x:v>SPEC-454350D47BF8</x:v>
      </x:c>
      <x:c r="B6" t="str">
        <x:f>XLOOKUP($A6,'Specs'!$A$2:$A$164,'Specs'!$B$2:$B$164,"")</x:f>
        <x:v>CLOSER</x:v>
      </x:c>
      <x:c r="C6" t="str">
        <x:f>XLOOKUP($A6,'Specs'!$A$2:$A$164,'Specs'!$C$2:$C$164,"")</x:f>
        <x:v>SURFACE CLOSER</x:v>
      </x:c>
      <x:c r="D6" t="str">
        <x:f>XLOOKUP($A6,'Specs'!$A$2:$A$164,'Specs'!$D$2:$D$164,"")</x:f>
      </x:c>
      <x:c r="E6" t="str">
        <x:f>XLOOKUP($A6,'Specs'!$A$2:$A$164,'Specs'!$E$2:$E$164,"")</x:f>
        <x:v>DOOR CLOSER</x:v>
      </x:c>
      <x:c r="F6" t="str">
        <x:f>XLOOKUP($A6,'Specs'!$A$2:$A$164,'Specs'!$F$2:$F$164,"")</x:f>
        <x:v>NOT APPLICABLE</x:v>
      </x:c>
      <x:c r="G6" t="str">
        <x:f>XLOOKUP($A6,'Specs'!$A$2:$A$164,'Specs'!$G$2:$G$164,"")</x:f>
      </x:c>
      <x:c r="H6" t="str">
        <x:f>XLOOKUP($A6,'Specs'!$A$2:$A$164,'Specs'!$H$2:$H$164,"")</x:f>
      </x:c>
      <x:c r="I6" t="str">
        <x:f>XLOOKUP($A6,'Specs'!$A$2:$A$164,'Specs'!$I$2:$I$164,"")</x:f>
        <x:v>HEAVY DUTY</x:v>
      </x:c>
      <x:c r="J6" t="str">
        <x:f>XLOOKUP($A6,'Specs'!$A$2:$A$164,'Specs'!$J$2:$J$164,"")</x:f>
        <x:v>HOLD OPEN CUSHION</x:v>
      </x:c>
      <x:c r="K6" t="str">
        <x:f>XLOOKUP($A6,'Specs'!$A$2:$A$164,'Specs'!$K$2:$K$164,"")</x:f>
        <x:v>DS</x:v>
      </x:c>
      <x:c r="L6" t="str">
        <x:f>XLOOKUP($A6,'Specs'!$A$2:$A$164,'Specs'!$L$2:$L$164,"")</x:f>
      </x:c>
      <x:c r="M6" t="str">
        <x:f>XLOOKUP($A6,'Specs'!$A$2:$A$164,'Specs'!$M$2:$M$164,"")</x:f>
      </x:c>
      <x:c r="N6" t="str">
        <x:f>XLOOKUP($A6,'Specs'!$A$2:$A$164,'Specs'!$N$2:$N$164,"")</x:f>
      </x:c>
      <x:c r="O6" t="str">
        <x:f>XLOOKUP($A6,'Specs'!$A$2:$A$164,'Specs'!$O$2:$O$164,"")</x:f>
      </x:c>
      <x:c r="P6" t="str">
        <x:f>XLOOKUP($A6,'Specs'!$A$2:$A$164,'Specs'!$P$2:$P$164,"")</x:f>
        <x:v>HIGH</x:v>
      </x:c>
      <x:c r="Q6" s="53" t="n">
        <x:f>XLOOKUP($A6,'Specs'!$A$2:$A$164,'Specs'!$Q$2:$Q$164,"")</x:f>
        <x:v>2</x:v>
      </x:c>
      <x:c r="R6" s="53" t="n">
        <x:f>XLOOKUP($A6,'Specs'!$A$2:$A$164,'Specs'!$R$2:$R$164,"")</x:f>
        <x:v>1</x:v>
      </x:c>
      <x:c r="S6" t="str">
        <x:f>'Vendor Options'!A6</x:f>
        <x:v>OFFER-8B64EEF3FD8A</x:v>
      </x:c>
      <x:c r="T6" t="str">
        <x:f>'Vendor Options'!C6</x:f>
        <x:v>DK</x:v>
      </x:c>
      <x:c r="U6" t="str">
        <x:f>'Vendor Options'!D6</x:f>
        <x:v>8616-DS</x:v>
      </x:c>
      <x:c r="V6" t="str">
        <x:f>'Vendor Options'!E6</x:f>
        <x:v>NO HO CUSH</x:v>
      </x:c>
      <x:c r="W6" t="str">
        <x:f>'Vendor Options'!F6</x:f>
      </x:c>
      <x:c r="X6" t="str">
        <x:f>'Vendor Options'!G6</x:f>
        <x:v>8616-*-DS-*-FC-SN2-DPK89-*-689</x:v>
      </x:c>
      <x:c r="Y6" t="str">
        <x:f>'Vendor Options'!H6</x:f>
        <x:v>8616-*-DS-*-FC-SN2-DPK89-*-689</x:v>
      </x:c>
      <x:c r="Z6" t="n">
        <x:f>'Vendor Options'!I6</x:f>
        <x:v>0</x:v>
      </x:c>
      <x:c r="AA6" s="54" t="n">
        <x:f>'Vendor Options'!J6</x:f>
        <x:v>0</x:v>
      </x:c>
      <x:c r="AB6" t="n">
        <x:f>'Vendor Options'!K6</x:f>
        <x:v>0</x:v>
      </x:c>
      <x:c r="AC6" s="57" t="n">
        <x:f>'Vendor Options'!L6</x:f>
        <x:v>0</x:v>
      </x:c>
      <x:c r="AD6" s="57" t="n">
        <x:f>'Vendor Options'!M6</x:f>
        <x:v>0</x:v>
      </x:c>
      <x:c r="AE6" s="54" t="str">
        <x:f>'Vendor Options'!N6</x:f>
      </x:c>
      <x:c r="AF6" t="str">
        <x:f>'Vendor Options'!O6</x:f>
        <x:v>USD</x:v>
      </x:c>
      <x:c r="AG6" t="str">
        <x:f>'Vendor Options'!P6</x:f>
        <x:v>UNPRICED</x:v>
      </x:c>
      <x:c r="AH6" t="str">
        <x:f>'Vendor Options'!Q6</x:f>
        <x:v>ACTIVE</x:v>
      </x:c>
      <x:c r="AI6" t="str">
        <x:f>'Vendor Options'!R6</x:f>
        <x:v>MISSING_PRICE</x:v>
      </x:c>
      <x:c r="AJ6" t="n">
        <x:f>'Vendor Options'!S6</x:f>
        <x:v>62</x:v>
      </x:c>
    </x:row>
    <x:row r="7" ht="15" hidden="0" customHeight="1">
      <x:c r="A7" t="str">
        <x:f>'Vendor Options'!B7</x:f>
        <x:v>SPEC-83B89DDE240B</x:v>
      </x:c>
      <x:c r="B7" t="str">
        <x:f>XLOOKUP($A7,'Specs'!$A$2:$A$164,'Specs'!$B$2:$B$164,"")</x:f>
        <x:v>CLOSER</x:v>
      </x:c>
      <x:c r="C7" t="str">
        <x:f>XLOOKUP($A7,'Specs'!$A$2:$A$164,'Specs'!$C$2:$C$164,"")</x:f>
        <x:v>SURFACE CLOSER</x:v>
      </x:c>
      <x:c r="D7" t="str">
        <x:f>XLOOKUP($A7,'Specs'!$A$2:$A$164,'Specs'!$D$2:$D$164,"")</x:f>
      </x:c>
      <x:c r="E7" t="str">
        <x:f>XLOOKUP($A7,'Specs'!$A$2:$A$164,'Specs'!$E$2:$E$164,"")</x:f>
        <x:v>DOOR CLOSER</x:v>
      </x:c>
      <x:c r="F7" t="str">
        <x:f>XLOOKUP($A7,'Specs'!$A$2:$A$164,'Specs'!$F$2:$F$164,"")</x:f>
        <x:v>NOT APPLICABLE</x:v>
      </x:c>
      <x:c r="G7" t="str">
        <x:f>XLOOKUP($A7,'Specs'!$A$2:$A$164,'Specs'!$G$2:$G$164,"")</x:f>
      </x:c>
      <x:c r="H7" t="str">
        <x:f>XLOOKUP($A7,'Specs'!$A$2:$A$164,'Specs'!$H$2:$H$164,"")</x:f>
      </x:c>
      <x:c r="I7" t="str">
        <x:f>XLOOKUP($A7,'Specs'!$A$2:$A$164,'Specs'!$I$2:$I$164,"")</x:f>
        <x:v>HEAVY DUTY</x:v>
      </x:c>
      <x:c r="J7" t="str">
        <x:f>XLOOKUP($A7,'Specs'!$A$2:$A$164,'Specs'!$J$2:$J$164,"")</x:f>
        <x:v>HOLD OPEN CUSHION</x:v>
      </x:c>
      <x:c r="K7" t="str">
        <x:f>XLOOKUP($A7,'Specs'!$A$2:$A$164,'Specs'!$K$2:$K$164,"")</x:f>
        <x:v>DS NFHD</x:v>
      </x:c>
      <x:c r="L7" t="str">
        <x:f>XLOOKUP($A7,'Specs'!$A$2:$A$164,'Specs'!$L$2:$L$164,"")</x:f>
      </x:c>
      <x:c r="M7" t="str">
        <x:f>XLOOKUP($A7,'Specs'!$A$2:$A$164,'Specs'!$M$2:$M$164,"")</x:f>
      </x:c>
      <x:c r="N7" t="str">
        <x:f>XLOOKUP($A7,'Specs'!$A$2:$A$164,'Specs'!$N$2:$N$164,"")</x:f>
      </x:c>
      <x:c r="O7" t="str">
        <x:f>XLOOKUP($A7,'Specs'!$A$2:$A$164,'Specs'!$O$2:$O$164,"")</x:f>
        <x:v>NFHD</x:v>
      </x:c>
      <x:c r="P7" t="str">
        <x:f>XLOOKUP($A7,'Specs'!$A$2:$A$164,'Specs'!$P$2:$P$164,"")</x:f>
        <x:v>HIGH</x:v>
      </x:c>
      <x:c r="Q7" s="53" t="n">
        <x:f>XLOOKUP($A7,'Specs'!$A$2:$A$164,'Specs'!$Q$2:$Q$164,"")</x:f>
        <x:v>2</x:v>
      </x:c>
      <x:c r="R7" s="53" t="n">
        <x:f>XLOOKUP($A7,'Specs'!$A$2:$A$164,'Specs'!$R$2:$R$164,"")</x:f>
        <x:v>1</x:v>
      </x:c>
      <x:c r="S7" t="str">
        <x:f>'Vendor Options'!A7</x:f>
        <x:v>OFFER-976262EECFE2</x:v>
      </x:c>
      <x:c r="T7" t="str">
        <x:f>'Vendor Options'!C7</x:f>
        <x:v>DK</x:v>
      </x:c>
      <x:c r="U7" t="str">
        <x:f>'Vendor Options'!D7</x:f>
        <x:v>8616-DST_NFHD</x:v>
      </x:c>
      <x:c r="V7" t="str">
        <x:f>'Vendor Options'!E7</x:f>
        <x:v>HO CUSH</x:v>
      </x:c>
      <x:c r="W7" t="str">
        <x:f>'Vendor Options'!F7</x:f>
      </x:c>
      <x:c r="X7" t="str">
        <x:f>'Vendor Options'!G7</x:f>
        <x:v>8616-*-DST-*-FC-SN2-DPK89-NFHD-689</x:v>
      </x:c>
      <x:c r="Y7" t="str">
        <x:f>'Vendor Options'!H7</x:f>
        <x:v>8616-*-DST-*-FC-SN2-DPK89-NFHD-689</x:v>
      </x:c>
      <x:c r="Z7" t="n">
        <x:f>'Vendor Options'!I7</x:f>
        <x:v>0</x:v>
      </x:c>
      <x:c r="AA7" s="54" t="n">
        <x:f>'Vendor Options'!J7</x:f>
        <x:v>0</x:v>
      </x:c>
      <x:c r="AB7" t="n">
        <x:f>'Vendor Options'!K7</x:f>
        <x:v>0</x:v>
      </x:c>
      <x:c r="AC7" s="57" t="n">
        <x:f>'Vendor Options'!L7</x:f>
        <x:v>0</x:v>
      </x:c>
      <x:c r="AD7" s="57" t="n">
        <x:f>'Vendor Options'!M7</x:f>
        <x:v>0</x:v>
      </x:c>
      <x:c r="AE7" s="54" t="str">
        <x:f>'Vendor Options'!N7</x:f>
      </x:c>
      <x:c r="AF7" t="str">
        <x:f>'Vendor Options'!O7</x:f>
        <x:v>USD</x:v>
      </x:c>
      <x:c r="AG7" t="str">
        <x:f>'Vendor Options'!P7</x:f>
        <x:v>UNPRICED</x:v>
      </x:c>
      <x:c r="AH7" t="str">
        <x:f>'Vendor Options'!Q7</x:f>
        <x:v>ACTIVE</x:v>
      </x:c>
      <x:c r="AI7" t="str">
        <x:f>'Vendor Options'!R7</x:f>
        <x:v>MISSING_PRICE</x:v>
      </x:c>
      <x:c r="AJ7" t="n">
        <x:f>'Vendor Options'!S7</x:f>
        <x:v>65</x:v>
      </x:c>
    </x:row>
    <x:row r="8" ht="15" hidden="0" customHeight="1">
      <x:c r="A8" t="str">
        <x:f>'Vendor Options'!B8</x:f>
        <x:v>SPEC-454350D47BF8</x:v>
      </x:c>
      <x:c r="B8" t="str">
        <x:f>XLOOKUP($A8,'Specs'!$A$2:$A$164,'Specs'!$B$2:$B$164,"")</x:f>
        <x:v>CLOSER</x:v>
      </x:c>
      <x:c r="C8" t="str">
        <x:f>XLOOKUP($A8,'Specs'!$A$2:$A$164,'Specs'!$C$2:$C$164,"")</x:f>
        <x:v>SURFACE CLOSER</x:v>
      </x:c>
      <x:c r="D8" t="str">
        <x:f>XLOOKUP($A8,'Specs'!$A$2:$A$164,'Specs'!$D$2:$D$164,"")</x:f>
      </x:c>
      <x:c r="E8" t="str">
        <x:f>XLOOKUP($A8,'Specs'!$A$2:$A$164,'Specs'!$E$2:$E$164,"")</x:f>
        <x:v>DOOR CLOSER</x:v>
      </x:c>
      <x:c r="F8" t="str">
        <x:f>XLOOKUP($A8,'Specs'!$A$2:$A$164,'Specs'!$F$2:$F$164,"")</x:f>
        <x:v>NOT APPLICABLE</x:v>
      </x:c>
      <x:c r="G8" t="str">
        <x:f>XLOOKUP($A8,'Specs'!$A$2:$A$164,'Specs'!$G$2:$G$164,"")</x:f>
      </x:c>
      <x:c r="H8" t="str">
        <x:f>XLOOKUP($A8,'Specs'!$A$2:$A$164,'Specs'!$H$2:$H$164,"")</x:f>
      </x:c>
      <x:c r="I8" t="str">
        <x:f>XLOOKUP($A8,'Specs'!$A$2:$A$164,'Specs'!$I$2:$I$164,"")</x:f>
        <x:v>HEAVY DUTY</x:v>
      </x:c>
      <x:c r="J8" t="str">
        <x:f>XLOOKUP($A8,'Specs'!$A$2:$A$164,'Specs'!$J$2:$J$164,"")</x:f>
        <x:v>HOLD OPEN CUSHION</x:v>
      </x:c>
      <x:c r="K8" t="str">
        <x:f>XLOOKUP($A8,'Specs'!$A$2:$A$164,'Specs'!$K$2:$K$164,"")</x:f>
        <x:v>DS</x:v>
      </x:c>
      <x:c r="L8" t="str">
        <x:f>XLOOKUP($A8,'Specs'!$A$2:$A$164,'Specs'!$L$2:$L$164,"")</x:f>
      </x:c>
      <x:c r="M8" t="str">
        <x:f>XLOOKUP($A8,'Specs'!$A$2:$A$164,'Specs'!$M$2:$M$164,"")</x:f>
      </x:c>
      <x:c r="N8" t="str">
        <x:f>XLOOKUP($A8,'Specs'!$A$2:$A$164,'Specs'!$N$2:$N$164,"")</x:f>
      </x:c>
      <x:c r="O8" t="str">
        <x:f>XLOOKUP($A8,'Specs'!$A$2:$A$164,'Specs'!$O$2:$O$164,"")</x:f>
      </x:c>
      <x:c r="P8" t="str">
        <x:f>XLOOKUP($A8,'Specs'!$A$2:$A$164,'Specs'!$P$2:$P$164,"")</x:f>
        <x:v>HIGH</x:v>
      </x:c>
      <x:c r="Q8" s="53" t="n">
        <x:f>XLOOKUP($A8,'Specs'!$A$2:$A$164,'Specs'!$Q$2:$Q$164,"")</x:f>
        <x:v>2</x:v>
      </x:c>
      <x:c r="R8" s="53" t="n">
        <x:f>XLOOKUP($A8,'Specs'!$A$2:$A$164,'Specs'!$R$2:$R$164,"")</x:f>
        <x:v>1</x:v>
      </x:c>
      <x:c r="S8" t="str">
        <x:f>'Vendor Options'!A8</x:f>
        <x:v>OFFER-F0E707FCCF47</x:v>
      </x:c>
      <x:c r="T8" t="str">
        <x:f>'Vendor Options'!C8</x:f>
        <x:v>DK</x:v>
      </x:c>
      <x:c r="U8" t="str">
        <x:f>'Vendor Options'!D8</x:f>
        <x:v>8616-DST</x:v>
      </x:c>
      <x:c r="V8" t="str">
        <x:f>'Vendor Options'!E8</x:f>
        <x:v>HO CUSH</x:v>
      </x:c>
      <x:c r="W8" t="str">
        <x:f>'Vendor Options'!F8</x:f>
      </x:c>
      <x:c r="X8" t="str">
        <x:f>'Vendor Options'!G8</x:f>
        <x:v>8616-*-DST-*-FC-SN2-DPK89-*-689</x:v>
      </x:c>
      <x:c r="Y8" t="str">
        <x:f>'Vendor Options'!H8</x:f>
        <x:v>8616-*-DST-*-FC-SN2-DPK89-*-689</x:v>
      </x:c>
      <x:c r="Z8" t="n">
        <x:f>'Vendor Options'!I8</x:f>
        <x:v>0</x:v>
      </x:c>
      <x:c r="AA8" s="54" t="n">
        <x:f>'Vendor Options'!J8</x:f>
        <x:v>0</x:v>
      </x:c>
      <x:c r="AB8" t="n">
        <x:f>'Vendor Options'!K8</x:f>
        <x:v>0</x:v>
      </x:c>
      <x:c r="AC8" s="57" t="n">
        <x:f>'Vendor Options'!L8</x:f>
        <x:v>0</x:v>
      </x:c>
      <x:c r="AD8" s="57" t="n">
        <x:f>'Vendor Options'!M8</x:f>
        <x:v>0</x:v>
      </x:c>
      <x:c r="AE8" s="54" t="str">
        <x:f>'Vendor Options'!N8</x:f>
      </x:c>
      <x:c r="AF8" t="str">
        <x:f>'Vendor Options'!O8</x:f>
        <x:v>USD</x:v>
      </x:c>
      <x:c r="AG8" t="str">
        <x:f>'Vendor Options'!P8</x:f>
        <x:v>UNPRICED</x:v>
      </x:c>
      <x:c r="AH8" t="str">
        <x:f>'Vendor Options'!Q8</x:f>
        <x:v>ACTIVE</x:v>
      </x:c>
      <x:c r="AI8" t="str">
        <x:f>'Vendor Options'!R8</x:f>
        <x:v>MISSING_PRICE</x:v>
      </x:c>
      <x:c r="AJ8" t="n">
        <x:f>'Vendor Options'!S8</x:f>
        <x:v>64</x:v>
      </x:c>
    </x:row>
    <x:row r="9" ht="15" hidden="0" customHeight="1">
      <x:c r="A9" t="str">
        <x:f>'Vendor Options'!B9</x:f>
        <x:v>SPEC-2F127E570436</x:v>
      </x:c>
      <x:c r="B9" t="str">
        <x:f>XLOOKUP($A9,'Specs'!$A$2:$A$164,'Specs'!$B$2:$B$164,"")</x:f>
        <x:v>CLOSER</x:v>
      </x:c>
      <x:c r="C9" t="str">
        <x:f>XLOOKUP($A9,'Specs'!$A$2:$A$164,'Specs'!$C$2:$C$164,"")</x:f>
        <x:v>SURFACE CLOSER</x:v>
      </x:c>
      <x:c r="D9" t="str">
        <x:f>XLOOKUP($A9,'Specs'!$A$2:$A$164,'Specs'!$D$2:$D$164,"")</x:f>
      </x:c>
      <x:c r="E9" t="str">
        <x:f>XLOOKUP($A9,'Specs'!$A$2:$A$164,'Specs'!$E$2:$E$164,"")</x:f>
        <x:v>DOOR CLOSER</x:v>
      </x:c>
      <x:c r="F9" t="str">
        <x:f>XLOOKUP($A9,'Specs'!$A$2:$A$164,'Specs'!$F$2:$F$164,"")</x:f>
        <x:v>NOT APPLICABLE</x:v>
      </x:c>
      <x:c r="G9" t="str">
        <x:f>XLOOKUP($A9,'Specs'!$A$2:$A$164,'Specs'!$G$2:$G$164,"")</x:f>
      </x:c>
      <x:c r="H9" t="str">
        <x:f>XLOOKUP($A9,'Specs'!$A$2:$A$164,'Specs'!$H$2:$H$164,"")</x:f>
      </x:c>
      <x:c r="I9" t="str">
        <x:f>XLOOKUP($A9,'Specs'!$A$2:$A$164,'Specs'!$I$2:$I$164,"")</x:f>
        <x:v>HEAVY DUTY</x:v>
      </x:c>
      <x:c r="J9" t="str">
        <x:f>XLOOKUP($A9,'Specs'!$A$2:$A$164,'Specs'!$J$2:$J$164,"")</x:f>
        <x:v>REGULAR ARM</x:v>
      </x:c>
      <x:c r="K9" t="str">
        <x:f>XLOOKUP($A9,'Specs'!$A$2:$A$164,'Specs'!$K$2:$K$164,"")</x:f>
        <x:v>AF86 NFHD</x:v>
      </x:c>
      <x:c r="L9" t="str">
        <x:f>XLOOKUP($A9,'Specs'!$A$2:$A$164,'Specs'!$L$2:$L$164,"")</x:f>
      </x:c>
      <x:c r="M9" t="str">
        <x:f>XLOOKUP($A9,'Specs'!$A$2:$A$164,'Specs'!$M$2:$M$164,"")</x:f>
      </x:c>
      <x:c r="N9" t="str">
        <x:f>XLOOKUP($A9,'Specs'!$A$2:$A$164,'Specs'!$N$2:$N$164,"")</x:f>
      </x:c>
      <x:c r="O9" t="str">
        <x:f>XLOOKUP($A9,'Specs'!$A$2:$A$164,'Specs'!$O$2:$O$164,"")</x:f>
        <x:v>NFHD</x:v>
      </x:c>
      <x:c r="P9" t="str">
        <x:f>XLOOKUP($A9,'Specs'!$A$2:$A$164,'Specs'!$P$2:$P$164,"")</x:f>
        <x:v>HIGH</x:v>
      </x:c>
      <x:c r="Q9" s="53" t="n">
        <x:f>XLOOKUP($A9,'Specs'!$A$2:$A$164,'Specs'!$Q$2:$Q$164,"")</x:f>
        <x:v>1</x:v>
      </x:c>
      <x:c r="R9" s="53" t="n">
        <x:f>XLOOKUP($A9,'Specs'!$A$2:$A$164,'Specs'!$R$2:$R$164,"")</x:f>
        <x:v>1</x:v>
      </x:c>
      <x:c r="S9" t="str">
        <x:f>'Vendor Options'!A9</x:f>
        <x:v>OFFER-1BBAF72D3C13</x:v>
      </x:c>
      <x:c r="T9" t="str">
        <x:f>'Vendor Options'!C9</x:f>
        <x:v>DK</x:v>
      </x:c>
      <x:c r="U9" t="str">
        <x:f>'Vendor Options'!D9</x:f>
        <x:v>8616-NFHD</x:v>
      </x:c>
      <x:c r="V9" t="str">
        <x:f>'Vendor Options'!E9</x:f>
        <x:v>REG ARM</x:v>
      </x:c>
      <x:c r="W9" t="str">
        <x:f>'Vendor Options'!F9</x:f>
      </x:c>
      <x:c r="X9" t="str">
        <x:f>'Vendor Options'!G9</x:f>
        <x:v>8616-*-AF86-*-FC-SN2-DPK89-NFHD-689</x:v>
      </x:c>
      <x:c r="Y9" t="str">
        <x:f>'Vendor Options'!H9</x:f>
        <x:v>8616-*-AF86-*-FC-SN2-DPK89-NFHD-689</x:v>
      </x:c>
      <x:c r="Z9" t="n">
        <x:f>'Vendor Options'!I9</x:f>
        <x:v>0</x:v>
      </x:c>
      <x:c r="AA9" s="54" t="n">
        <x:f>'Vendor Options'!J9</x:f>
        <x:v>0</x:v>
      </x:c>
      <x:c r="AB9" t="n">
        <x:f>'Vendor Options'!K9</x:f>
        <x:v>0</x:v>
      </x:c>
      <x:c r="AC9" s="57" t="n">
        <x:f>'Vendor Options'!L9</x:f>
        <x:v>0</x:v>
      </x:c>
      <x:c r="AD9" s="57" t="n">
        <x:f>'Vendor Options'!M9</x:f>
        <x:v>0</x:v>
      </x:c>
      <x:c r="AE9" s="54" t="str">
        <x:f>'Vendor Options'!N9</x:f>
      </x:c>
      <x:c r="AF9" t="str">
        <x:f>'Vendor Options'!O9</x:f>
        <x:v>USD</x:v>
      </x:c>
      <x:c r="AG9" t="str">
        <x:f>'Vendor Options'!P9</x:f>
        <x:v>UNPRICED</x:v>
      </x:c>
      <x:c r="AH9" t="str">
        <x:f>'Vendor Options'!Q9</x:f>
        <x:v>ACTIVE</x:v>
      </x:c>
      <x:c r="AI9" t="str">
        <x:f>'Vendor Options'!R9</x:f>
        <x:v>MISSING_PRICE</x:v>
      </x:c>
      <x:c r="AJ9" t="n">
        <x:f>'Vendor Options'!S9</x:f>
        <x:v>61</x:v>
      </x:c>
    </x:row>
    <x:row r="10" ht="15" hidden="0" customHeight="1">
      <x:c r="A10" t="str">
        <x:f>'Vendor Options'!B10</x:f>
        <x:v>SPEC-68878C8F942A</x:v>
      </x:c>
      <x:c r="B10" t="str">
        <x:f>XLOOKUP($A10,'Specs'!$A$2:$A$164,'Specs'!$B$2:$B$164,"")</x:f>
        <x:v>CLOSER</x:v>
      </x:c>
      <x:c r="C10" t="str">
        <x:f>XLOOKUP($A10,'Specs'!$A$2:$A$164,'Specs'!$C$2:$C$164,"")</x:f>
        <x:v>SURFACE CLOSER</x:v>
      </x:c>
      <x:c r="D10" t="str">
        <x:f>XLOOKUP($A10,'Specs'!$A$2:$A$164,'Specs'!$D$2:$D$164,"")</x:f>
      </x:c>
      <x:c r="E10" t="str">
        <x:f>XLOOKUP($A10,'Specs'!$A$2:$A$164,'Specs'!$E$2:$E$164,"")</x:f>
        <x:v>DOOR CLOSER</x:v>
      </x:c>
      <x:c r="F10" t="str">
        <x:f>XLOOKUP($A10,'Specs'!$A$2:$A$164,'Specs'!$F$2:$F$164,"")</x:f>
        <x:v>NOT APPLICABLE</x:v>
      </x:c>
      <x:c r="G10" t="str">
        <x:f>XLOOKUP($A10,'Specs'!$A$2:$A$164,'Specs'!$G$2:$G$164,"")</x:f>
      </x:c>
      <x:c r="H10" t="str">
        <x:f>XLOOKUP($A10,'Specs'!$A$2:$A$164,'Specs'!$H$2:$H$164,"")</x:f>
      </x:c>
      <x:c r="I10" t="str">
        <x:f>XLOOKUP($A10,'Specs'!$A$2:$A$164,'Specs'!$I$2:$I$164,"")</x:f>
        <x:v>HEAVY DUTY</x:v>
      </x:c>
      <x:c r="J10" t="str">
        <x:f>XLOOKUP($A10,'Specs'!$A$2:$A$164,'Specs'!$J$2:$J$164,"")</x:f>
        <x:v>REGULAR ARM</x:v>
      </x:c>
      <x:c r="K10" t="str">
        <x:f>XLOOKUP($A10,'Specs'!$A$2:$A$164,'Specs'!$K$2:$K$164,"")</x:f>
        <x:v>AF86</x:v>
      </x:c>
      <x:c r="L10" t="str">
        <x:f>XLOOKUP($A10,'Specs'!$A$2:$A$164,'Specs'!$L$2:$L$164,"")</x:f>
      </x:c>
      <x:c r="M10" t="str">
        <x:f>XLOOKUP($A10,'Specs'!$A$2:$A$164,'Specs'!$M$2:$M$164,"")</x:f>
      </x:c>
      <x:c r="N10" t="str">
        <x:f>XLOOKUP($A10,'Specs'!$A$2:$A$164,'Specs'!$N$2:$N$164,"")</x:f>
      </x:c>
      <x:c r="O10" t="str">
        <x:f>XLOOKUP($A10,'Specs'!$A$2:$A$164,'Specs'!$O$2:$O$164,"")</x:f>
      </x:c>
      <x:c r="P10" t="str">
        <x:f>XLOOKUP($A10,'Specs'!$A$2:$A$164,'Specs'!$P$2:$P$164,"")</x:f>
        <x:v>HIGH</x:v>
      </x:c>
      <x:c r="Q10" s="53" t="n">
        <x:f>XLOOKUP($A10,'Specs'!$A$2:$A$164,'Specs'!$Q$2:$Q$164,"")</x:f>
        <x:v>1</x:v>
      </x:c>
      <x:c r="R10" s="53" t="n">
        <x:f>XLOOKUP($A10,'Specs'!$A$2:$A$164,'Specs'!$R$2:$R$164,"")</x:f>
        <x:v>1</x:v>
      </x:c>
      <x:c r="S10" t="str">
        <x:f>'Vendor Options'!A10</x:f>
        <x:v>OFFER-4DA036D9F56F</x:v>
      </x:c>
      <x:c r="T10" t="str">
        <x:f>'Vendor Options'!C10</x:f>
        <x:v>DK</x:v>
      </x:c>
      <x:c r="U10" t="str">
        <x:f>'Vendor Options'!D10</x:f>
        <x:v>8616</x:v>
      </x:c>
      <x:c r="V10" t="str">
        <x:f>'Vendor Options'!E10</x:f>
        <x:v>REG ARM</x:v>
      </x:c>
      <x:c r="W10" t="str">
        <x:f>'Vendor Options'!F10</x:f>
      </x:c>
      <x:c r="X10" t="str">
        <x:f>'Vendor Options'!G10</x:f>
        <x:v>8616-*-AF86-*-FC-SN2-DPK89-*-689</x:v>
      </x:c>
      <x:c r="Y10" t="str">
        <x:f>'Vendor Options'!H10</x:f>
        <x:v>8616-*-AF86-*-FC-SN2-DPK89-*-689</x:v>
      </x:c>
      <x:c r="Z10" t="n">
        <x:f>'Vendor Options'!I10</x:f>
        <x:v>0</x:v>
      </x:c>
      <x:c r="AA10" s="54" t="n">
        <x:f>'Vendor Options'!J10</x:f>
        <x:v>0</x:v>
      </x:c>
      <x:c r="AB10" t="n">
        <x:f>'Vendor Options'!K10</x:f>
        <x:v>0</x:v>
      </x:c>
      <x:c r="AC10" s="57" t="n">
        <x:f>'Vendor Options'!L10</x:f>
        <x:v>0</x:v>
      </x:c>
      <x:c r="AD10" s="57" t="n">
        <x:f>'Vendor Options'!M10</x:f>
        <x:v>0</x:v>
      </x:c>
      <x:c r="AE10" s="54" t="str">
        <x:f>'Vendor Options'!N10</x:f>
      </x:c>
      <x:c r="AF10" t="str">
        <x:f>'Vendor Options'!O10</x:f>
        <x:v>USD</x:v>
      </x:c>
      <x:c r="AG10" t="str">
        <x:f>'Vendor Options'!P10</x:f>
        <x:v>UNPRICED</x:v>
      </x:c>
      <x:c r="AH10" t="str">
        <x:f>'Vendor Options'!Q10</x:f>
        <x:v>ACTIVE</x:v>
      </x:c>
      <x:c r="AI10" t="str">
        <x:f>'Vendor Options'!R10</x:f>
        <x:v>MISSING_PRICE</x:v>
      </x:c>
      <x:c r="AJ10" t="n">
        <x:f>'Vendor Options'!S10</x:f>
        <x:v>60</x:v>
      </x:c>
    </x:row>
    <x:row r="11" ht="15" hidden="0" customHeight="1">
      <x:c r="A11" t="str">
        <x:f>'Vendor Options'!B11</x:f>
        <x:v>SPEC-BB70F917EE11</x:v>
      </x:c>
      <x:c r="B11" t="str">
        <x:f>XLOOKUP($A11,'Specs'!$A$2:$A$164,'Specs'!$B$2:$B$164,"")</x:f>
        <x:v>CLOSER</x:v>
      </x:c>
      <x:c r="C11" t="str">
        <x:f>XLOOKUP($A11,'Specs'!$A$2:$A$164,'Specs'!$C$2:$C$164,"")</x:f>
        <x:v>SURFACE CLOSER</x:v>
      </x:c>
      <x:c r="D11" t="str">
        <x:f>XLOOKUP($A11,'Specs'!$A$2:$A$164,'Specs'!$D$2:$D$164,"")</x:f>
      </x:c>
      <x:c r="E11" t="str">
        <x:f>XLOOKUP($A11,'Specs'!$A$2:$A$164,'Specs'!$E$2:$E$164,"")</x:f>
        <x:v>DOOR CLOSER</x:v>
      </x:c>
      <x:c r="F11" t="str">
        <x:f>XLOOKUP($A11,'Specs'!$A$2:$A$164,'Specs'!$F$2:$F$164,"")</x:f>
        <x:v>NOT APPLICABLE</x:v>
      </x:c>
      <x:c r="G11" t="str">
        <x:f>XLOOKUP($A11,'Specs'!$A$2:$A$164,'Specs'!$G$2:$G$164,"")</x:f>
      </x:c>
      <x:c r="H11" t="str">
        <x:f>XLOOKUP($A11,'Specs'!$A$2:$A$164,'Specs'!$H$2:$H$164,"")</x:f>
      </x:c>
      <x:c r="I11" t="str">
        <x:f>XLOOKUP($A11,'Specs'!$A$2:$A$164,'Specs'!$I$2:$I$164,"")</x:f>
      </x:c>
      <x:c r="J11" t="str">
        <x:f>XLOOKUP($A11,'Specs'!$A$2:$A$164,'Specs'!$J$2:$J$164,"")</x:f>
        <x:v>CUSHION STOP</x:v>
      </x:c>
      <x:c r="K11" t="str">
        <x:f>XLOOKUP($A11,'Specs'!$A$2:$A$164,'Specs'!$K$2:$K$164,"")</x:f>
        <x:v>DS NFHD</x:v>
      </x:c>
      <x:c r="L11" t="str">
        <x:f>XLOOKUP($A11,'Specs'!$A$2:$A$164,'Specs'!$L$2:$L$164,"")</x:f>
      </x:c>
      <x:c r="M11" t="str">
        <x:f>XLOOKUP($A11,'Specs'!$A$2:$A$164,'Specs'!$M$2:$M$164,"")</x:f>
      </x:c>
      <x:c r="N11" t="str">
        <x:f>XLOOKUP($A11,'Specs'!$A$2:$A$164,'Specs'!$N$2:$N$164,"")</x:f>
      </x:c>
      <x:c r="O11" t="str">
        <x:f>XLOOKUP($A11,'Specs'!$A$2:$A$164,'Specs'!$O$2:$O$164,"")</x:f>
        <x:v>NFHD</x:v>
      </x:c>
      <x:c r="P11" t="str">
        <x:f>XLOOKUP($A11,'Specs'!$A$2:$A$164,'Specs'!$P$2:$P$164,"")</x:f>
        <x:v>HIGH</x:v>
      </x:c>
      <x:c r="Q11" s="53" t="n">
        <x:f>XLOOKUP($A11,'Specs'!$A$2:$A$164,'Specs'!$Q$2:$Q$164,"")</x:f>
        <x:v>1</x:v>
      </x:c>
      <x:c r="R11" s="53" t="n">
        <x:f>XLOOKUP($A11,'Specs'!$A$2:$A$164,'Specs'!$R$2:$R$164,"")</x:f>
        <x:v>1</x:v>
      </x:c>
      <x:c r="S11" t="str">
        <x:f>'Vendor Options'!A11</x:f>
        <x:v>OFFER-317FD5B0AF83</x:v>
      </x:c>
      <x:c r="T11" t="str">
        <x:f>'Vendor Options'!C11</x:f>
        <x:v>DK</x:v>
      </x:c>
      <x:c r="U11" t="str">
        <x:f>'Vendor Options'!D11</x:f>
        <x:v>8916-DS-NFHD</x:v>
      </x:c>
      <x:c r="V11" t="str">
        <x:f>'Vendor Options'!E11</x:f>
        <x:v>NO HOLD CUSH</x:v>
      </x:c>
      <x:c r="W11" t="str">
        <x:f>'Vendor Options'!F11</x:f>
      </x:c>
      <x:c r="X11" t="str">
        <x:f>'Vendor Options'!G11</x:f>
        <x:v>8916-*-AF89-*-FC-SN2-DPK89-NFHD-689</x:v>
      </x:c>
      <x:c r="Y11" t="str">
        <x:f>'Vendor Options'!H11</x:f>
        <x:v>8916-*-AF89-*-FC-SN2-DPK89-NFHD-689</x:v>
      </x:c>
      <x:c r="Z11" t="n">
        <x:f>'Vendor Options'!I11</x:f>
        <x:v>0</x:v>
      </x:c>
      <x:c r="AA11" s="54" t="n">
        <x:f>'Vendor Options'!J11</x:f>
        <x:v>0</x:v>
      </x:c>
      <x:c r="AB11" t="n">
        <x:f>'Vendor Options'!K11</x:f>
        <x:v>0</x:v>
      </x:c>
      <x:c r="AC11" s="57" t="n">
        <x:f>'Vendor Options'!L11</x:f>
        <x:v>0</x:v>
      </x:c>
      <x:c r="AD11" s="57" t="n">
        <x:f>'Vendor Options'!M11</x:f>
        <x:v>0</x:v>
      </x:c>
      <x:c r="AE11" s="54" t="str">
        <x:f>'Vendor Options'!N11</x:f>
      </x:c>
      <x:c r="AF11" t="str">
        <x:f>'Vendor Options'!O11</x:f>
        <x:v>USD</x:v>
      </x:c>
      <x:c r="AG11" t="str">
        <x:f>'Vendor Options'!P11</x:f>
        <x:v>UNPRICED</x:v>
      </x:c>
      <x:c r="AH11" t="str">
        <x:f>'Vendor Options'!Q11</x:f>
        <x:v>REVIEW</x:v>
      </x:c>
      <x:c r="AI11" t="str">
        <x:f>'Vendor Options'!R11</x:f>
        <x:v>MISSING_PRICE; PART_NUMBER_CONFLICT</x:v>
      </x:c>
      <x:c r="AJ11" t="n">
        <x:f>'Vendor Options'!S11</x:f>
        <x:v>56</x:v>
      </x:c>
    </x:row>
    <x:row r="12" ht="15" hidden="0" customHeight="1">
      <x:c r="A12" t="str">
        <x:f>'Vendor Options'!B12</x:f>
        <x:v>SPEC-ACD801228BB0</x:v>
      </x:c>
      <x:c r="B12" t="str">
        <x:f>XLOOKUP($A12,'Specs'!$A$2:$A$164,'Specs'!$B$2:$B$164,"")</x:f>
        <x:v>CLOSER</x:v>
      </x:c>
      <x:c r="C12" t="str">
        <x:f>XLOOKUP($A12,'Specs'!$A$2:$A$164,'Specs'!$C$2:$C$164,"")</x:f>
        <x:v>SURFACE CLOSER</x:v>
      </x:c>
      <x:c r="D12" t="str">
        <x:f>XLOOKUP($A12,'Specs'!$A$2:$A$164,'Specs'!$D$2:$D$164,"")</x:f>
      </x:c>
      <x:c r="E12" t="str">
        <x:f>XLOOKUP($A12,'Specs'!$A$2:$A$164,'Specs'!$E$2:$E$164,"")</x:f>
        <x:v>DOOR CLOSER</x:v>
      </x:c>
      <x:c r="F12" t="str">
        <x:f>XLOOKUP($A12,'Specs'!$A$2:$A$164,'Specs'!$F$2:$F$164,"")</x:f>
        <x:v>NOT APPLICABLE</x:v>
      </x:c>
      <x:c r="G12" t="str">
        <x:f>XLOOKUP($A12,'Specs'!$A$2:$A$164,'Specs'!$G$2:$G$164,"")</x:f>
      </x:c>
      <x:c r="H12" t="str">
        <x:f>XLOOKUP($A12,'Specs'!$A$2:$A$164,'Specs'!$H$2:$H$164,"")</x:f>
      </x:c>
      <x:c r="I12" t="str">
        <x:f>XLOOKUP($A12,'Specs'!$A$2:$A$164,'Specs'!$I$2:$I$164,"")</x:f>
      </x:c>
      <x:c r="J12" t="str">
        <x:f>XLOOKUP($A12,'Specs'!$A$2:$A$164,'Specs'!$J$2:$J$164,"")</x:f>
        <x:v>CUSHION STOP</x:v>
      </x:c>
      <x:c r="K12" t="str">
        <x:f>XLOOKUP($A12,'Specs'!$A$2:$A$164,'Specs'!$K$2:$K$164,"")</x:f>
        <x:v>DS</x:v>
      </x:c>
      <x:c r="L12" t="str">
        <x:f>XLOOKUP($A12,'Specs'!$A$2:$A$164,'Specs'!$L$2:$L$164,"")</x:f>
      </x:c>
      <x:c r="M12" t="str">
        <x:f>XLOOKUP($A12,'Specs'!$A$2:$A$164,'Specs'!$M$2:$M$164,"")</x:f>
      </x:c>
      <x:c r="N12" t="str">
        <x:f>XLOOKUP($A12,'Specs'!$A$2:$A$164,'Specs'!$N$2:$N$164,"")</x:f>
      </x:c>
      <x:c r="O12" t="str">
        <x:f>XLOOKUP($A12,'Specs'!$A$2:$A$164,'Specs'!$O$2:$O$164,"")</x:f>
      </x:c>
      <x:c r="P12" t="str">
        <x:f>XLOOKUP($A12,'Specs'!$A$2:$A$164,'Specs'!$P$2:$P$164,"")</x:f>
        <x:v>HIGH</x:v>
      </x:c>
      <x:c r="Q12" s="53" t="n">
        <x:f>XLOOKUP($A12,'Specs'!$A$2:$A$164,'Specs'!$Q$2:$Q$164,"")</x:f>
        <x:v>1</x:v>
      </x:c>
      <x:c r="R12" s="53" t="n">
        <x:f>XLOOKUP($A12,'Specs'!$A$2:$A$164,'Specs'!$R$2:$R$164,"")</x:f>
        <x:v>1</x:v>
      </x:c>
      <x:c r="S12" t="str">
        <x:f>'Vendor Options'!A12</x:f>
        <x:v>OFFER-0436672F6ED0</x:v>
      </x:c>
      <x:c r="T12" t="str">
        <x:f>'Vendor Options'!C12</x:f>
        <x:v>DK</x:v>
      </x:c>
      <x:c r="U12" t="str">
        <x:f>'Vendor Options'!D12</x:f>
        <x:v>8916-DS</x:v>
      </x:c>
      <x:c r="V12" t="str">
        <x:f>'Vendor Options'!E12</x:f>
        <x:v>NO HOLD CUSH</x:v>
      </x:c>
      <x:c r="W12" t="str">
        <x:f>'Vendor Options'!F12</x:f>
      </x:c>
      <x:c r="X12" t="str">
        <x:f>'Vendor Options'!G12</x:f>
        <x:v>8916-*-DS-*-FC-SN2-DPK89-NFHD-689</x:v>
      </x:c>
      <x:c r="Y12" t="str">
        <x:f>'Vendor Options'!H12</x:f>
        <x:v>8916-*-DS-*-FC-SN2-DPK89-NFHD-689</x:v>
      </x:c>
      <x:c r="Z12" t="n">
        <x:f>'Vendor Options'!I12</x:f>
        <x:v>0</x:v>
      </x:c>
      <x:c r="AA12" s="54" t="n">
        <x:f>'Vendor Options'!J12</x:f>
        <x:v>0</x:v>
      </x:c>
      <x:c r="AB12" t="n">
        <x:f>'Vendor Options'!K12</x:f>
        <x:v>0</x:v>
      </x:c>
      <x:c r="AC12" s="57" t="n">
        <x:f>'Vendor Options'!L12</x:f>
        <x:v>0</x:v>
      </x:c>
      <x:c r="AD12" s="57" t="n">
        <x:f>'Vendor Options'!M12</x:f>
        <x:v>0</x:v>
      </x:c>
      <x:c r="AE12" s="54" t="str">
        <x:f>'Vendor Options'!N12</x:f>
      </x:c>
      <x:c r="AF12" t="str">
        <x:f>'Vendor Options'!O12</x:f>
        <x:v>USD</x:v>
      </x:c>
      <x:c r="AG12" t="str">
        <x:f>'Vendor Options'!P12</x:f>
        <x:v>UNPRICED</x:v>
      </x:c>
      <x:c r="AH12" t="str">
        <x:f>'Vendor Options'!Q12</x:f>
        <x:v>ACTIVE</x:v>
      </x:c>
      <x:c r="AI12" t="str">
        <x:f>'Vendor Options'!R12</x:f>
        <x:v>MISSING_PRICE</x:v>
      </x:c>
      <x:c r="AJ12" t="n">
        <x:f>'Vendor Options'!S12</x:f>
        <x:v>55</x:v>
      </x:c>
    </x:row>
    <x:row r="13" ht="15" hidden="0" customHeight="1">
      <x:c r="A13" t="str">
        <x:f>'Vendor Options'!B13</x:f>
        <x:v>SPEC-84956FA5E7F7</x:v>
      </x:c>
      <x:c r="B13" t="str">
        <x:f>XLOOKUP($A13,'Specs'!$A$2:$A$164,'Specs'!$B$2:$B$164,"")</x:f>
        <x:v>CLOSER</x:v>
      </x:c>
      <x:c r="C13" t="str">
        <x:f>XLOOKUP($A13,'Specs'!$A$2:$A$164,'Specs'!$C$2:$C$164,"")</x:f>
        <x:v>SURFACE CLOSER</x:v>
      </x:c>
      <x:c r="D13" t="str">
        <x:f>XLOOKUP($A13,'Specs'!$A$2:$A$164,'Specs'!$D$2:$D$164,"")</x:f>
      </x:c>
      <x:c r="E13" t="str">
        <x:f>XLOOKUP($A13,'Specs'!$A$2:$A$164,'Specs'!$E$2:$E$164,"")</x:f>
        <x:v>DOOR CLOSER</x:v>
      </x:c>
      <x:c r="F13" t="str">
        <x:f>XLOOKUP($A13,'Specs'!$A$2:$A$164,'Specs'!$F$2:$F$164,"")</x:f>
        <x:v>NOT APPLICABLE</x:v>
      </x:c>
      <x:c r="G13" t="str">
        <x:f>XLOOKUP($A13,'Specs'!$A$2:$A$164,'Specs'!$G$2:$G$164,"")</x:f>
      </x:c>
      <x:c r="H13" t="str">
        <x:f>XLOOKUP($A13,'Specs'!$A$2:$A$164,'Specs'!$H$2:$H$164,"")</x:f>
      </x:c>
      <x:c r="I13" t="str">
        <x:f>XLOOKUP($A13,'Specs'!$A$2:$A$164,'Specs'!$I$2:$I$164,"")</x:f>
      </x:c>
      <x:c r="J13" t="str">
        <x:f>XLOOKUP($A13,'Specs'!$A$2:$A$164,'Specs'!$J$2:$J$164,"")</x:f>
        <x:v>HOLD OPEN CUSHION</x:v>
      </x:c>
      <x:c r="K13" t="str">
        <x:f>XLOOKUP($A13,'Specs'!$A$2:$A$164,'Specs'!$K$2:$K$164,"")</x:f>
        <x:v>DST NFHD</x:v>
      </x:c>
      <x:c r="L13" t="str">
        <x:f>XLOOKUP($A13,'Specs'!$A$2:$A$164,'Specs'!$L$2:$L$164,"")</x:f>
      </x:c>
      <x:c r="M13" t="str">
        <x:f>XLOOKUP($A13,'Specs'!$A$2:$A$164,'Specs'!$M$2:$M$164,"")</x:f>
      </x:c>
      <x:c r="N13" t="str">
        <x:f>XLOOKUP($A13,'Specs'!$A$2:$A$164,'Specs'!$N$2:$N$164,"")</x:f>
      </x:c>
      <x:c r="O13" t="str">
        <x:f>XLOOKUP($A13,'Specs'!$A$2:$A$164,'Specs'!$O$2:$O$164,"")</x:f>
        <x:v>NFHD</x:v>
      </x:c>
      <x:c r="P13" t="str">
        <x:f>XLOOKUP($A13,'Specs'!$A$2:$A$164,'Specs'!$P$2:$P$164,"")</x:f>
        <x:v>HIGH</x:v>
      </x:c>
      <x:c r="Q13" s="53" t="n">
        <x:f>XLOOKUP($A13,'Specs'!$A$2:$A$164,'Specs'!$Q$2:$Q$164,"")</x:f>
        <x:v>1</x:v>
      </x:c>
      <x:c r="R13" s="53" t="n">
        <x:f>XLOOKUP($A13,'Specs'!$A$2:$A$164,'Specs'!$R$2:$R$164,"")</x:f>
        <x:v>1</x:v>
      </x:c>
      <x:c r="S13" t="str">
        <x:f>'Vendor Options'!A13</x:f>
        <x:v>OFFER-FF50844A746B</x:v>
      </x:c>
      <x:c r="T13" t="str">
        <x:f>'Vendor Options'!C13</x:f>
        <x:v>DK</x:v>
      </x:c>
      <x:c r="U13" t="str">
        <x:f>'Vendor Options'!D13</x:f>
        <x:v>8916-DST_NFHD</x:v>
      </x:c>
      <x:c r="V13" t="str">
        <x:f>'Vendor Options'!E13</x:f>
        <x:v>HO CUSH</x:v>
      </x:c>
      <x:c r="W13" t="str">
        <x:f>'Vendor Options'!F13</x:f>
      </x:c>
      <x:c r="X13" t="str">
        <x:f>'Vendor Options'!G13</x:f>
        <x:v>8916-*-DST-*-FC-SN2-DPK89-NFHD-689</x:v>
      </x:c>
      <x:c r="Y13" t="str">
        <x:f>'Vendor Options'!H13</x:f>
        <x:v>8916-*-DST-*-FC-SN2-DPK89-NFHD-689</x:v>
      </x:c>
      <x:c r="Z13" t="n">
        <x:f>'Vendor Options'!I13</x:f>
        <x:v>0</x:v>
      </x:c>
      <x:c r="AA13" s="54" t="n">
        <x:f>'Vendor Options'!J13</x:f>
        <x:v>0</x:v>
      </x:c>
      <x:c r="AB13" t="n">
        <x:f>'Vendor Options'!K13</x:f>
        <x:v>0</x:v>
      </x:c>
      <x:c r="AC13" s="57" t="n">
        <x:f>'Vendor Options'!L13</x:f>
        <x:v>0</x:v>
      </x:c>
      <x:c r="AD13" s="57" t="n">
        <x:f>'Vendor Options'!M13</x:f>
        <x:v>0</x:v>
      </x:c>
      <x:c r="AE13" s="54" t="str">
        <x:f>'Vendor Options'!N13</x:f>
      </x:c>
      <x:c r="AF13" t="str">
        <x:f>'Vendor Options'!O13</x:f>
        <x:v>USD</x:v>
      </x:c>
      <x:c r="AG13" t="str">
        <x:f>'Vendor Options'!P13</x:f>
        <x:v>UNPRICED</x:v>
      </x:c>
      <x:c r="AH13" t="str">
        <x:f>'Vendor Options'!Q13</x:f>
        <x:v>ACTIVE</x:v>
      </x:c>
      <x:c r="AI13" t="str">
        <x:f>'Vendor Options'!R13</x:f>
        <x:v>MISSING_PRICE</x:v>
      </x:c>
      <x:c r="AJ13" t="n">
        <x:f>'Vendor Options'!S13</x:f>
        <x:v>58</x:v>
      </x:c>
    </x:row>
    <x:row r="14" ht="15" hidden="0" customHeight="1">
      <x:c r="A14" t="str">
        <x:f>'Vendor Options'!B14</x:f>
        <x:v>SPEC-31B6EA026CF7</x:v>
      </x:c>
      <x:c r="B14" t="str">
        <x:f>XLOOKUP($A14,'Specs'!$A$2:$A$164,'Specs'!$B$2:$B$164,"")</x:f>
        <x:v>CLOSER</x:v>
      </x:c>
      <x:c r="C14" t="str">
        <x:f>XLOOKUP($A14,'Specs'!$A$2:$A$164,'Specs'!$C$2:$C$164,"")</x:f>
        <x:v>SURFACE CLOSER</x:v>
      </x:c>
      <x:c r="D14" t="str">
        <x:f>XLOOKUP($A14,'Specs'!$A$2:$A$164,'Specs'!$D$2:$D$164,"")</x:f>
      </x:c>
      <x:c r="E14" t="str">
        <x:f>XLOOKUP($A14,'Specs'!$A$2:$A$164,'Specs'!$E$2:$E$164,"")</x:f>
        <x:v>DOOR CLOSER</x:v>
      </x:c>
      <x:c r="F14" t="str">
        <x:f>XLOOKUP($A14,'Specs'!$A$2:$A$164,'Specs'!$F$2:$F$164,"")</x:f>
        <x:v>NOT APPLICABLE</x:v>
      </x:c>
      <x:c r="G14" t="str">
        <x:f>XLOOKUP($A14,'Specs'!$A$2:$A$164,'Specs'!$G$2:$G$164,"")</x:f>
      </x:c>
      <x:c r="H14" t="str">
        <x:f>XLOOKUP($A14,'Specs'!$A$2:$A$164,'Specs'!$H$2:$H$164,"")</x:f>
      </x:c>
      <x:c r="I14" t="str">
        <x:f>XLOOKUP($A14,'Specs'!$A$2:$A$164,'Specs'!$I$2:$I$164,"")</x:f>
      </x:c>
      <x:c r="J14" t="str">
        <x:f>XLOOKUP($A14,'Specs'!$A$2:$A$164,'Specs'!$J$2:$J$164,"")</x:f>
        <x:v>HOLD OPEN CUSHION</x:v>
      </x:c>
      <x:c r="K14" t="str">
        <x:f>XLOOKUP($A14,'Specs'!$A$2:$A$164,'Specs'!$K$2:$K$164,"")</x:f>
        <x:v>DST</x:v>
      </x:c>
      <x:c r="L14" t="str">
        <x:f>XLOOKUP($A14,'Specs'!$A$2:$A$164,'Specs'!$L$2:$L$164,"")</x:f>
      </x:c>
      <x:c r="M14" t="str">
        <x:f>XLOOKUP($A14,'Specs'!$A$2:$A$164,'Specs'!$M$2:$M$164,"")</x:f>
      </x:c>
      <x:c r="N14" t="str">
        <x:f>XLOOKUP($A14,'Specs'!$A$2:$A$164,'Specs'!$N$2:$N$164,"")</x:f>
      </x:c>
      <x:c r="O14" t="str">
        <x:f>XLOOKUP($A14,'Specs'!$A$2:$A$164,'Specs'!$O$2:$O$164,"")</x:f>
      </x:c>
      <x:c r="P14" t="str">
        <x:f>XLOOKUP($A14,'Specs'!$A$2:$A$164,'Specs'!$P$2:$P$164,"")</x:f>
        <x:v>HIGH</x:v>
      </x:c>
      <x:c r="Q14" s="53" t="n">
        <x:f>XLOOKUP($A14,'Specs'!$A$2:$A$164,'Specs'!$Q$2:$Q$164,"")</x:f>
        <x:v>1</x:v>
      </x:c>
      <x:c r="R14" s="53" t="n">
        <x:f>XLOOKUP($A14,'Specs'!$A$2:$A$164,'Specs'!$R$2:$R$164,"")</x:f>
        <x:v>1</x:v>
      </x:c>
      <x:c r="S14" t="str">
        <x:f>'Vendor Options'!A14</x:f>
        <x:v>OFFER-CD8B6902C50E</x:v>
      </x:c>
      <x:c r="T14" t="str">
        <x:f>'Vendor Options'!C14</x:f>
        <x:v>DK</x:v>
      </x:c>
      <x:c r="U14" t="str">
        <x:f>'Vendor Options'!D14</x:f>
        <x:v>8916-DST</x:v>
      </x:c>
      <x:c r="V14" t="str">
        <x:f>'Vendor Options'!E14</x:f>
        <x:v>HO CUSH</x:v>
      </x:c>
      <x:c r="W14" t="str">
        <x:f>'Vendor Options'!F14</x:f>
      </x:c>
      <x:c r="X14" t="str">
        <x:f>'Vendor Options'!G14</x:f>
        <x:v>8916-*-DST-*-FC-SN2-DPK89-*-689</x:v>
      </x:c>
      <x:c r="Y14" t="str">
        <x:f>'Vendor Options'!H14</x:f>
        <x:v>8916-*-DST-*-FC-SN2-DPK89-*-689</x:v>
      </x:c>
      <x:c r="Z14" t="n">
        <x:f>'Vendor Options'!I14</x:f>
        <x:v>0</x:v>
      </x:c>
      <x:c r="AA14" s="54" t="n">
        <x:f>'Vendor Options'!J14</x:f>
        <x:v>0</x:v>
      </x:c>
      <x:c r="AB14" t="n">
        <x:f>'Vendor Options'!K14</x:f>
        <x:v>0</x:v>
      </x:c>
      <x:c r="AC14" s="57" t="n">
        <x:f>'Vendor Options'!L14</x:f>
        <x:v>0</x:v>
      </x:c>
      <x:c r="AD14" s="57" t="n">
        <x:f>'Vendor Options'!M14</x:f>
        <x:v>0</x:v>
      </x:c>
      <x:c r="AE14" s="54" t="str">
        <x:f>'Vendor Options'!N14</x:f>
      </x:c>
      <x:c r="AF14" t="str">
        <x:f>'Vendor Options'!O14</x:f>
        <x:v>USD</x:v>
      </x:c>
      <x:c r="AG14" t="str">
        <x:f>'Vendor Options'!P14</x:f>
        <x:v>UNPRICED</x:v>
      </x:c>
      <x:c r="AH14" t="str">
        <x:f>'Vendor Options'!Q14</x:f>
        <x:v>ACTIVE</x:v>
      </x:c>
      <x:c r="AI14" t="str">
        <x:f>'Vendor Options'!R14</x:f>
        <x:v>MISSING_PRICE</x:v>
      </x:c>
      <x:c r="AJ14" t="n">
        <x:f>'Vendor Options'!S14</x:f>
        <x:v>57</x:v>
      </x:c>
    </x:row>
    <x:row r="15" ht="15" hidden="0" customHeight="1">
      <x:c r="A15" t="str">
        <x:f>'Vendor Options'!B15</x:f>
        <x:v>SPEC-927A1E98A57A</x:v>
      </x:c>
      <x:c r="B15" t="str">
        <x:f>XLOOKUP($A15,'Specs'!$A$2:$A$164,'Specs'!$B$2:$B$164,"")</x:f>
        <x:v>CLOSER</x:v>
      </x:c>
      <x:c r="C15" t="str">
        <x:f>XLOOKUP($A15,'Specs'!$A$2:$A$164,'Specs'!$C$2:$C$164,"")</x:f>
        <x:v>SURFACE CLOSER</x:v>
      </x:c>
      <x:c r="D15" t="str">
        <x:f>XLOOKUP($A15,'Specs'!$A$2:$A$164,'Specs'!$D$2:$D$164,"")</x:f>
      </x:c>
      <x:c r="E15" t="str">
        <x:f>XLOOKUP($A15,'Specs'!$A$2:$A$164,'Specs'!$E$2:$E$164,"")</x:f>
        <x:v>DOOR CLOSER</x:v>
      </x:c>
      <x:c r="F15" t="str">
        <x:f>XLOOKUP($A15,'Specs'!$A$2:$A$164,'Specs'!$F$2:$F$164,"")</x:f>
        <x:v>NOT APPLICABLE</x:v>
      </x:c>
      <x:c r="G15" t="str">
        <x:f>XLOOKUP($A15,'Specs'!$A$2:$A$164,'Specs'!$G$2:$G$164,"")</x:f>
      </x:c>
      <x:c r="H15" t="str">
        <x:f>XLOOKUP($A15,'Specs'!$A$2:$A$164,'Specs'!$H$2:$H$164,"")</x:f>
      </x:c>
      <x:c r="I15" t="str">
        <x:f>XLOOKUP($A15,'Specs'!$A$2:$A$164,'Specs'!$I$2:$I$164,"")</x:f>
      </x:c>
      <x:c r="J15" t="str">
        <x:f>XLOOKUP($A15,'Specs'!$A$2:$A$164,'Specs'!$J$2:$J$164,"")</x:f>
        <x:v>REGULAR ARM</x:v>
      </x:c>
      <x:c r="K15" t="str">
        <x:f>XLOOKUP($A15,'Specs'!$A$2:$A$164,'Specs'!$K$2:$K$164,"")</x:f>
        <x:v>AF89 NFHD</x:v>
      </x:c>
      <x:c r="L15" t="str">
        <x:f>XLOOKUP($A15,'Specs'!$A$2:$A$164,'Specs'!$L$2:$L$164,"")</x:f>
      </x:c>
      <x:c r="M15" t="str">
        <x:f>XLOOKUP($A15,'Specs'!$A$2:$A$164,'Specs'!$M$2:$M$164,"")</x:f>
      </x:c>
      <x:c r="N15" t="str">
        <x:f>XLOOKUP($A15,'Specs'!$A$2:$A$164,'Specs'!$N$2:$N$164,"")</x:f>
      </x:c>
      <x:c r="O15" t="str">
        <x:f>XLOOKUP($A15,'Specs'!$A$2:$A$164,'Specs'!$O$2:$O$164,"")</x:f>
        <x:v>NFHD</x:v>
      </x:c>
      <x:c r="P15" t="str">
        <x:f>XLOOKUP($A15,'Specs'!$A$2:$A$164,'Specs'!$P$2:$P$164,"")</x:f>
        <x:v>HIGH</x:v>
      </x:c>
      <x:c r="Q15" s="53" t="n">
        <x:f>XLOOKUP($A15,'Specs'!$A$2:$A$164,'Specs'!$Q$2:$Q$164,"")</x:f>
        <x:v>1</x:v>
      </x:c>
      <x:c r="R15" s="53" t="n">
        <x:f>XLOOKUP($A15,'Specs'!$A$2:$A$164,'Specs'!$R$2:$R$164,"")</x:f>
        <x:v>1</x:v>
      </x:c>
      <x:c r="S15" t="str">
        <x:f>'Vendor Options'!A15</x:f>
        <x:v>OFFER-0A4F27CF4812</x:v>
      </x:c>
      <x:c r="T15" t="str">
        <x:f>'Vendor Options'!C15</x:f>
        <x:v>DK</x:v>
      </x:c>
      <x:c r="U15" t="str">
        <x:f>'Vendor Options'!D15</x:f>
        <x:v>8916-NFHD</x:v>
      </x:c>
      <x:c r="V15" t="str">
        <x:f>'Vendor Options'!E15</x:f>
        <x:v>REG ARM</x:v>
      </x:c>
      <x:c r="W15" t="str">
        <x:f>'Vendor Options'!F15</x:f>
      </x:c>
      <x:c r="X15" t="str">
        <x:f>'Vendor Options'!G15</x:f>
        <x:v>8916-*-AF89-*-FC-SN2-DPK89-NFHD-689</x:v>
      </x:c>
      <x:c r="Y15" t="str">
        <x:f>'Vendor Options'!H15</x:f>
        <x:v>8916-*-AF89-*-FC-SN2-DPK89-NFHD-689</x:v>
      </x:c>
      <x:c r="Z15" t="n">
        <x:f>'Vendor Options'!I15</x:f>
        <x:v>0</x:v>
      </x:c>
      <x:c r="AA15" s="54" t="n">
        <x:f>'Vendor Options'!J15</x:f>
        <x:v>0</x:v>
      </x:c>
      <x:c r="AB15" t="n">
        <x:f>'Vendor Options'!K15</x:f>
        <x:v>0</x:v>
      </x:c>
      <x:c r="AC15" s="57" t="n">
        <x:f>'Vendor Options'!L15</x:f>
        <x:v>0</x:v>
      </x:c>
      <x:c r="AD15" s="57" t="n">
        <x:f>'Vendor Options'!M15</x:f>
        <x:v>0</x:v>
      </x:c>
      <x:c r="AE15" s="54" t="str">
        <x:f>'Vendor Options'!N15</x:f>
      </x:c>
      <x:c r="AF15" t="str">
        <x:f>'Vendor Options'!O15</x:f>
        <x:v>USD</x:v>
      </x:c>
      <x:c r="AG15" t="str">
        <x:f>'Vendor Options'!P15</x:f>
        <x:v>UNPRICED</x:v>
      </x:c>
      <x:c r="AH15" t="str">
        <x:f>'Vendor Options'!Q15</x:f>
        <x:v>REVIEW</x:v>
      </x:c>
      <x:c r="AI15" t="str">
        <x:f>'Vendor Options'!R15</x:f>
        <x:v>MISSING_PRICE; PART_NUMBER_CONFLICT</x:v>
      </x:c>
      <x:c r="AJ15" t="n">
        <x:f>'Vendor Options'!S15</x:f>
        <x:v>54</x:v>
      </x:c>
    </x:row>
    <x:row r="16" ht="15" hidden="0" customHeight="1">
      <x:c r="A16" t="str">
        <x:f>'Vendor Options'!B16</x:f>
        <x:v>SPEC-5AD426F6A2C6</x:v>
      </x:c>
      <x:c r="B16" t="str">
        <x:f>XLOOKUP($A16,'Specs'!$A$2:$A$164,'Specs'!$B$2:$B$164,"")</x:f>
        <x:v>CLOSER</x:v>
      </x:c>
      <x:c r="C16" t="str">
        <x:f>XLOOKUP($A16,'Specs'!$A$2:$A$164,'Specs'!$C$2:$C$164,"")</x:f>
        <x:v>SURFACE CLOSER</x:v>
      </x:c>
      <x:c r="D16" t="str">
        <x:f>XLOOKUP($A16,'Specs'!$A$2:$A$164,'Specs'!$D$2:$D$164,"")</x:f>
      </x:c>
      <x:c r="E16" t="str">
        <x:f>XLOOKUP($A16,'Specs'!$A$2:$A$164,'Specs'!$E$2:$E$164,"")</x:f>
        <x:v>DOOR CLOSER</x:v>
      </x:c>
      <x:c r="F16" t="str">
        <x:f>XLOOKUP($A16,'Specs'!$A$2:$A$164,'Specs'!$F$2:$F$164,"")</x:f>
        <x:v>NOT APPLICABLE</x:v>
      </x:c>
      <x:c r="G16" t="str">
        <x:f>XLOOKUP($A16,'Specs'!$A$2:$A$164,'Specs'!$G$2:$G$164,"")</x:f>
      </x:c>
      <x:c r="H16" t="str">
        <x:f>XLOOKUP($A16,'Specs'!$A$2:$A$164,'Specs'!$H$2:$H$164,"")</x:f>
      </x:c>
      <x:c r="I16" t="str">
        <x:f>XLOOKUP($A16,'Specs'!$A$2:$A$164,'Specs'!$I$2:$I$164,"")</x:f>
      </x:c>
      <x:c r="J16" t="str">
        <x:f>XLOOKUP($A16,'Specs'!$A$2:$A$164,'Specs'!$J$2:$J$164,"")</x:f>
        <x:v>REGULAR ARM</x:v>
      </x:c>
      <x:c r="K16" t="str">
        <x:f>XLOOKUP($A16,'Specs'!$A$2:$A$164,'Specs'!$K$2:$K$164,"")</x:f>
        <x:v>AF89</x:v>
      </x:c>
      <x:c r="L16" t="str">
        <x:f>XLOOKUP($A16,'Specs'!$A$2:$A$164,'Specs'!$L$2:$L$164,"")</x:f>
      </x:c>
      <x:c r="M16" t="str">
        <x:f>XLOOKUP($A16,'Specs'!$A$2:$A$164,'Specs'!$M$2:$M$164,"")</x:f>
      </x:c>
      <x:c r="N16" t="str">
        <x:f>XLOOKUP($A16,'Specs'!$A$2:$A$164,'Specs'!$N$2:$N$164,"")</x:f>
      </x:c>
      <x:c r="O16" t="str">
        <x:f>XLOOKUP($A16,'Specs'!$A$2:$A$164,'Specs'!$O$2:$O$164,"")</x:f>
      </x:c>
      <x:c r="P16" t="str">
        <x:f>XLOOKUP($A16,'Specs'!$A$2:$A$164,'Specs'!$P$2:$P$164,"")</x:f>
        <x:v>HIGH</x:v>
      </x:c>
      <x:c r="Q16" s="53" t="n">
        <x:f>XLOOKUP($A16,'Specs'!$A$2:$A$164,'Specs'!$Q$2:$Q$164,"")</x:f>
        <x:v>1</x:v>
      </x:c>
      <x:c r="R16" s="53" t="n">
        <x:f>XLOOKUP($A16,'Specs'!$A$2:$A$164,'Specs'!$R$2:$R$164,"")</x:f>
        <x:v>1</x:v>
      </x:c>
      <x:c r="S16" t="str">
        <x:f>'Vendor Options'!A16</x:f>
        <x:v>OFFER-237D5F0EF0F7</x:v>
      </x:c>
      <x:c r="T16" t="str">
        <x:f>'Vendor Options'!C16</x:f>
        <x:v>DK</x:v>
      </x:c>
      <x:c r="U16" t="str">
        <x:f>'Vendor Options'!D16</x:f>
        <x:v>8916</x:v>
      </x:c>
      <x:c r="V16" t="str">
        <x:f>'Vendor Options'!E16</x:f>
        <x:v>REG ARM</x:v>
      </x:c>
      <x:c r="W16" t="str">
        <x:f>'Vendor Options'!F16</x:f>
      </x:c>
      <x:c r="X16" t="str">
        <x:f>'Vendor Options'!G16</x:f>
        <x:v>8916-*-AF89-*-FC-*-DPK89-*-689</x:v>
      </x:c>
      <x:c r="Y16" t="str">
        <x:f>'Vendor Options'!H16</x:f>
        <x:v>8916-*-AF89-*-FC-*-DPK89-*-689</x:v>
      </x:c>
      <x:c r="Z16" t="str">
        <x:f>'Vendor Options'!I16</x:f>
      </x:c>
      <x:c r="AA16" s="54" t="n">
        <x:f>'Vendor Options'!J16</x:f>
        <x:v>0</x:v>
      </x:c>
      <x:c r="AB16" t="n">
        <x:f>'Vendor Options'!K16</x:f>
        <x:v>0</x:v>
      </x:c>
      <x:c r="AC16" s="57" t="n">
        <x:f>'Vendor Options'!L16</x:f>
        <x:v>0</x:v>
      </x:c>
      <x:c r="AD16" s="57" t="n">
        <x:f>'Vendor Options'!M16</x:f>
        <x:v>0</x:v>
      </x:c>
      <x:c r="AE16" s="54" t="str">
        <x:f>'Vendor Options'!N16</x:f>
      </x:c>
      <x:c r="AF16" t="str">
        <x:f>'Vendor Options'!O16</x:f>
        <x:v>USD</x:v>
      </x:c>
      <x:c r="AG16" t="str">
        <x:f>'Vendor Options'!P16</x:f>
        <x:v>UNPRICED</x:v>
      </x:c>
      <x:c r="AH16" t="str">
        <x:f>'Vendor Options'!Q16</x:f>
        <x:v>ACTIVE</x:v>
      </x:c>
      <x:c r="AI16" t="str">
        <x:f>'Vendor Options'!R16</x:f>
        <x:v>MISSING_PRICE</x:v>
      </x:c>
      <x:c r="AJ16" t="n">
        <x:f>'Vendor Options'!S16</x:f>
        <x:v>53</x:v>
      </x:c>
    </x:row>
    <x:row r="17" ht="15" hidden="0" customHeight="1">
      <x:c r="A17" t="str">
        <x:f>'Vendor Options'!B17</x:f>
        <x:v>SPEC-D20D6C31AF5E</x:v>
      </x:c>
      <x:c r="B17" t="str">
        <x:f>XLOOKUP($A17,'Specs'!$A$2:$A$164,'Specs'!$B$2:$B$164,"")</x:f>
        <x:v>CLOSER</x:v>
      </x:c>
      <x:c r="C17" t="str">
        <x:f>XLOOKUP($A17,'Specs'!$A$2:$A$164,'Specs'!$C$2:$C$164,"")</x:f>
        <x:v>SURFACE CLOSER</x:v>
      </x:c>
      <x:c r="D17" t="str">
        <x:f>XLOOKUP($A17,'Specs'!$A$2:$A$164,'Specs'!$D$2:$D$164,"")</x:f>
      </x:c>
      <x:c r="E17" t="str">
        <x:f>XLOOKUP($A17,'Specs'!$A$2:$A$164,'Specs'!$E$2:$E$164,"")</x:f>
        <x:v>DOOR CLOSER</x:v>
      </x:c>
      <x:c r="F17" t="str">
        <x:f>XLOOKUP($A17,'Specs'!$A$2:$A$164,'Specs'!$F$2:$F$164,"")</x:f>
        <x:v>NOT APPLICABLE</x:v>
      </x:c>
      <x:c r="G17" t="str">
        <x:f>XLOOKUP($A17,'Specs'!$A$2:$A$164,'Specs'!$G$2:$G$164,"")</x:f>
      </x:c>
      <x:c r="H17" t="str">
        <x:f>XLOOKUP($A17,'Specs'!$A$2:$A$164,'Specs'!$H$2:$H$164,"")</x:f>
      </x:c>
      <x:c r="I17" t="str">
        <x:f>XLOOKUP($A17,'Specs'!$A$2:$A$164,'Specs'!$I$2:$I$164,"")</x:f>
        <x:v>MEDIUM DUTY</x:v>
      </x:c>
      <x:c r="J17" t="str">
        <x:f>XLOOKUP($A17,'Specs'!$A$2:$A$164,'Specs'!$J$2:$J$164,"")</x:f>
      </x:c>
      <x:c r="K17" t="str">
        <x:f>XLOOKUP($A17,'Specs'!$A$2:$A$164,'Specs'!$K$2:$K$164,"")</x:f>
      </x:c>
      <x:c r="L17" t="str">
        <x:f>XLOOKUP($A17,'Specs'!$A$2:$A$164,'Specs'!$L$2:$L$164,"")</x:f>
        <x:v>ALUMINUM BODY</x:v>
      </x:c>
      <x:c r="M17" t="str">
        <x:f>XLOOKUP($A17,'Specs'!$A$2:$A$164,'Specs'!$M$2:$M$164,"")</x:f>
      </x:c>
      <x:c r="N17" t="str">
        <x:f>XLOOKUP($A17,'Specs'!$A$2:$A$164,'Specs'!$N$2:$N$164,"")</x:f>
      </x:c>
      <x:c r="O17" t="str">
        <x:f>XLOOKUP($A17,'Specs'!$A$2:$A$164,'Specs'!$O$2:$O$164,"")</x:f>
      </x:c>
      <x:c r="P17" t="str">
        <x:f>XLOOKUP($A17,'Specs'!$A$2:$A$164,'Specs'!$P$2:$P$164,"")</x:f>
        <x:v>HIGH</x:v>
      </x:c>
      <x:c r="Q17" s="53" t="n">
        <x:f>XLOOKUP($A17,'Specs'!$A$2:$A$164,'Specs'!$Q$2:$Q$164,"")</x:f>
        <x:v>3</x:v>
      </x:c>
      <x:c r="R17" s="53" t="n">
        <x:f>XLOOKUP($A17,'Specs'!$A$2:$A$164,'Specs'!$R$2:$R$164,"")</x:f>
        <x:v>2</x:v>
      </x:c>
      <x:c r="S17" t="str">
        <x:f>'Vendor Options'!A17</x:f>
        <x:v>OFFER-78C39747F5FE</x:v>
      </x:c>
      <x:c r="T17" t="str">
        <x:f>'Vendor Options'!C17</x:f>
        <x:v>PHG</x:v>
      </x:c>
      <x:c r="U17" t="str">
        <x:f>'Vendor Options'!D17</x:f>
        <x:v>6000</x:v>
      </x:c>
      <x:c r="V17" t="str">
        <x:f>'Vendor Options'!E17</x:f>
        <x:v>6000</x:v>
      </x:c>
      <x:c r="W17" t="str">
        <x:f>'Vendor Options'!F17</x:f>
      </x:c>
      <x:c r="X17" t="str">
        <x:f>'Vendor Options'!G17</x:f>
        <x:v>60DC689</x:v>
      </x:c>
      <x:c r="Y17" t="str">
        <x:f>'Vendor Options'!H17</x:f>
        <x:v>60DC689</x:v>
      </x:c>
      <x:c r="Z17" t="n">
        <x:f>'Vendor Options'!I17</x:f>
        <x:v>0</x:v>
      </x:c>
      <x:c r="AA17" s="54" t="n">
        <x:f>'Vendor Options'!J17</x:f>
        <x:v>126.64</x:v>
      </x:c>
      <x:c r="AB17" t="n">
        <x:f>'Vendor Options'!K17</x:f>
        <x:v>0</x:v>
      </x:c>
      <x:c r="AC17" s="57" t="n">
        <x:f>'Vendor Options'!L17</x:f>
        <x:v>0</x:v>
      </x:c>
      <x:c r="AD17" s="57" t="n">
        <x:f>'Vendor Options'!M17</x:f>
        <x:v>0</x:v>
      </x:c>
      <x:c r="AE17" s="54" t="n">
        <x:f>'Vendor Options'!N17</x:f>
        <x:v>126.64</x:v>
      </x:c>
      <x:c r="AF17" t="str">
        <x:f>'Vendor Options'!O17</x:f>
        <x:v>USD</x:v>
      </x:c>
      <x:c r="AG17" t="str">
        <x:f>'Vendor Options'!P17</x:f>
        <x:v>PRICED</x:v>
      </x:c>
      <x:c r="AH17" t="str">
        <x:f>'Vendor Options'!Q17</x:f>
        <x:v>ACTIVE</x:v>
      </x:c>
      <x:c r="AI17" t="str">
        <x:f>'Vendor Options'!R17</x:f>
      </x:c>
      <x:c r="AJ17" t="n">
        <x:f>'Vendor Options'!S17</x:f>
        <x:v>50</x:v>
      </x:c>
    </x:row>
    <x:row r="18" ht="15" hidden="0" customHeight="1">
      <x:c r="A18" t="str">
        <x:f>'Vendor Options'!B18</x:f>
        <x:v>SPEC-D20D6C31AF5E</x:v>
      </x:c>
      <x:c r="B18" t="str">
        <x:f>XLOOKUP($A18,'Specs'!$A$2:$A$164,'Specs'!$B$2:$B$164,"")</x:f>
        <x:v>CLOSER</x:v>
      </x:c>
      <x:c r="C18" t="str">
        <x:f>XLOOKUP($A18,'Specs'!$A$2:$A$164,'Specs'!$C$2:$C$164,"")</x:f>
        <x:v>SURFACE CLOSER</x:v>
      </x:c>
      <x:c r="D18" t="str">
        <x:f>XLOOKUP($A18,'Specs'!$A$2:$A$164,'Specs'!$D$2:$D$164,"")</x:f>
      </x:c>
      <x:c r="E18" t="str">
        <x:f>XLOOKUP($A18,'Specs'!$A$2:$A$164,'Specs'!$E$2:$E$164,"")</x:f>
        <x:v>DOOR CLOSER</x:v>
      </x:c>
      <x:c r="F18" t="str">
        <x:f>XLOOKUP($A18,'Specs'!$A$2:$A$164,'Specs'!$F$2:$F$164,"")</x:f>
        <x:v>NOT APPLICABLE</x:v>
      </x:c>
      <x:c r="G18" t="str">
        <x:f>XLOOKUP($A18,'Specs'!$A$2:$A$164,'Specs'!$G$2:$G$164,"")</x:f>
      </x:c>
      <x:c r="H18" t="str">
        <x:f>XLOOKUP($A18,'Specs'!$A$2:$A$164,'Specs'!$H$2:$H$164,"")</x:f>
      </x:c>
      <x:c r="I18" t="str">
        <x:f>XLOOKUP($A18,'Specs'!$A$2:$A$164,'Specs'!$I$2:$I$164,"")</x:f>
        <x:v>MEDIUM DUTY</x:v>
      </x:c>
      <x:c r="J18" t="str">
        <x:f>XLOOKUP($A18,'Specs'!$A$2:$A$164,'Specs'!$J$2:$J$164,"")</x:f>
      </x:c>
      <x:c r="K18" t="str">
        <x:f>XLOOKUP($A18,'Specs'!$A$2:$A$164,'Specs'!$K$2:$K$164,"")</x:f>
      </x:c>
      <x:c r="L18" t="str">
        <x:f>XLOOKUP($A18,'Specs'!$A$2:$A$164,'Specs'!$L$2:$L$164,"")</x:f>
        <x:v>ALUMINUM BODY</x:v>
      </x:c>
      <x:c r="M18" t="str">
        <x:f>XLOOKUP($A18,'Specs'!$A$2:$A$164,'Specs'!$M$2:$M$164,"")</x:f>
      </x:c>
      <x:c r="N18" t="str">
        <x:f>XLOOKUP($A18,'Specs'!$A$2:$A$164,'Specs'!$N$2:$N$164,"")</x:f>
      </x:c>
      <x:c r="O18" t="str">
        <x:f>XLOOKUP($A18,'Specs'!$A$2:$A$164,'Specs'!$O$2:$O$164,"")</x:f>
      </x:c>
      <x:c r="P18" t="str">
        <x:f>XLOOKUP($A18,'Specs'!$A$2:$A$164,'Specs'!$P$2:$P$164,"")</x:f>
        <x:v>HIGH</x:v>
      </x:c>
      <x:c r="Q18" s="53" t="n">
        <x:f>XLOOKUP($A18,'Specs'!$A$2:$A$164,'Specs'!$Q$2:$Q$164,"")</x:f>
        <x:v>3</x:v>
      </x:c>
      <x:c r="R18" s="53" t="n">
        <x:f>XLOOKUP($A18,'Specs'!$A$2:$A$164,'Specs'!$R$2:$R$164,"")</x:f>
        <x:v>2</x:v>
      </x:c>
      <x:c r="S18" t="str">
        <x:f>'Vendor Options'!A18</x:f>
        <x:v>OFFER-8D67FBF3B952</x:v>
      </x:c>
      <x:c r="T18" t="str">
        <x:f>'Vendor Options'!C18</x:f>
        <x:v>PHG</x:v>
      </x:c>
      <x:c r="U18" t="str">
        <x:f>'Vendor Options'!D18</x:f>
        <x:v>6000</x:v>
      </x:c>
      <x:c r="V18" t="str">
        <x:f>'Vendor Options'!E18</x:f>
        <x:v>6000</x:v>
      </x:c>
      <x:c r="W18" t="str">
        <x:f>'Vendor Options'!F18</x:f>
      </x:c>
      <x:c r="X18" t="str">
        <x:f>'Vendor Options'!G18</x:f>
        <x:v>60DC690</x:v>
      </x:c>
      <x:c r="Y18" t="str">
        <x:f>'Vendor Options'!H18</x:f>
        <x:v>60DC690</x:v>
      </x:c>
      <x:c r="Z18" t="str">
        <x:f>'Vendor Options'!I18</x:f>
      </x:c>
      <x:c r="AA18" s="54" t="n">
        <x:f>'Vendor Options'!J18</x:f>
        <x:v>0</x:v>
      </x:c>
      <x:c r="AB18" t="n">
        <x:f>'Vendor Options'!K18</x:f>
        <x:v>0</x:v>
      </x:c>
      <x:c r="AC18" s="57" t="n">
        <x:f>'Vendor Options'!L18</x:f>
        <x:v>0</x:v>
      </x:c>
      <x:c r="AD18" s="57" t="n">
        <x:f>'Vendor Options'!M18</x:f>
        <x:v>0</x:v>
      </x:c>
      <x:c r="AE18" s="54" t="str">
        <x:f>'Vendor Options'!N18</x:f>
      </x:c>
      <x:c r="AF18" t="str">
        <x:f>'Vendor Options'!O18</x:f>
        <x:v>USD</x:v>
      </x:c>
      <x:c r="AG18" t="str">
        <x:f>'Vendor Options'!P18</x:f>
        <x:v>UNPRICED</x:v>
      </x:c>
      <x:c r="AH18" t="str">
        <x:f>'Vendor Options'!Q18</x:f>
        <x:v>ACTIVE</x:v>
      </x:c>
      <x:c r="AI18" t="str">
        <x:f>'Vendor Options'!R18</x:f>
        <x:v>MISSING_PRICE</x:v>
      </x:c>
      <x:c r="AJ18" t="n">
        <x:f>'Vendor Options'!S18</x:f>
        <x:v>51</x:v>
      </x:c>
    </x:row>
    <x:row r="19" ht="15" hidden="0" customHeight="1">
      <x:c r="A19" t="str">
        <x:f>'Vendor Options'!B19</x:f>
        <x:v>SPEC-34F37FF68132</x:v>
      </x:c>
      <x:c r="B19" t="str">
        <x:f>XLOOKUP($A19,'Specs'!$A$2:$A$164,'Specs'!$B$2:$B$164,"")</x:f>
        <x:v>CLOSER</x:v>
      </x:c>
      <x:c r="C19" t="str">
        <x:f>XLOOKUP($A19,'Specs'!$A$2:$A$164,'Specs'!$C$2:$C$164,"")</x:f>
        <x:v>SURFACE CLOSER</x:v>
      </x:c>
      <x:c r="D19" t="str">
        <x:f>XLOOKUP($A19,'Specs'!$A$2:$A$164,'Specs'!$D$2:$D$164,"")</x:f>
      </x:c>
      <x:c r="E19" t="str">
        <x:f>XLOOKUP($A19,'Specs'!$A$2:$A$164,'Specs'!$E$2:$E$164,"")</x:f>
        <x:v>DOOR CLOSER</x:v>
      </x:c>
      <x:c r="F19" t="str">
        <x:f>XLOOKUP($A19,'Specs'!$A$2:$A$164,'Specs'!$F$2:$F$164,"")</x:f>
        <x:v>NOT APPLICABLE</x:v>
      </x:c>
      <x:c r="G19" t="str">
        <x:f>XLOOKUP($A19,'Specs'!$A$2:$A$164,'Specs'!$G$2:$G$164,"")</x:f>
      </x:c>
      <x:c r="H19" t="str">
        <x:f>XLOOKUP($A19,'Specs'!$A$2:$A$164,'Specs'!$H$2:$H$164,"")</x:f>
      </x:c>
      <x:c r="I19" t="str">
        <x:f>XLOOKUP($A19,'Specs'!$A$2:$A$164,'Specs'!$I$2:$I$164,"")</x:f>
        <x:v>INSTITUTIONAL</x:v>
      </x:c>
      <x:c r="J19" t="str">
        <x:f>XLOOKUP($A19,'Specs'!$A$2:$A$164,'Specs'!$J$2:$J$164,"")</x:f>
      </x:c>
      <x:c r="K19" t="str">
        <x:f>XLOOKUP($A19,'Specs'!$A$2:$A$164,'Specs'!$K$2:$K$164,"")</x:f>
      </x:c>
      <x:c r="L19" t="str">
        <x:f>XLOOKUP($A19,'Specs'!$A$2:$A$164,'Specs'!$L$2:$L$164,"")</x:f>
        <x:v>CAST BODY</x:v>
      </x:c>
      <x:c r="M19" t="str">
        <x:f>XLOOKUP($A19,'Specs'!$A$2:$A$164,'Specs'!$M$2:$M$164,"")</x:f>
      </x:c>
      <x:c r="N19" t="str">
        <x:f>XLOOKUP($A19,'Specs'!$A$2:$A$164,'Specs'!$N$2:$N$164,"")</x:f>
      </x:c>
      <x:c r="O19" t="str">
        <x:f>XLOOKUP($A19,'Specs'!$A$2:$A$164,'Specs'!$O$2:$O$164,"")</x:f>
      </x:c>
      <x:c r="P19" t="str">
        <x:f>XLOOKUP($A19,'Specs'!$A$2:$A$164,'Specs'!$P$2:$P$164,"")</x:f>
        <x:v>HIGH</x:v>
      </x:c>
      <x:c r="Q19" s="53" t="n">
        <x:f>XLOOKUP($A19,'Specs'!$A$2:$A$164,'Specs'!$Q$2:$Q$164,"")</x:f>
        <x:v>3</x:v>
      </x:c>
      <x:c r="R19" s="53" t="n">
        <x:f>XLOOKUP($A19,'Specs'!$A$2:$A$164,'Specs'!$R$2:$R$164,"")</x:f>
        <x:v>2</x:v>
      </x:c>
      <x:c r="S19" t="str">
        <x:f>'Vendor Options'!A19</x:f>
        <x:v>OFFER-0380400C1FB9</x:v>
      </x:c>
      <x:c r="T19" t="str">
        <x:f>'Vendor Options'!C19</x:f>
        <x:v>PHG</x:v>
      </x:c>
      <x:c r="U19" t="str">
        <x:f>'Vendor Options'!D19</x:f>
        <x:v>8000</x:v>
      </x:c>
      <x:c r="V19" t="str">
        <x:f>'Vendor Options'!E19</x:f>
        <x:v>8000</x:v>
      </x:c>
      <x:c r="W19" t="str">
        <x:f>'Vendor Options'!F19</x:f>
      </x:c>
      <x:c r="X19" t="str">
        <x:f>'Vendor Options'!G19</x:f>
        <x:v>80DC689</x:v>
      </x:c>
      <x:c r="Y19" t="str">
        <x:f>'Vendor Options'!H19</x:f>
        <x:v>80DC689</x:v>
      </x:c>
      <x:c r="Z19" t="str">
        <x:f>'Vendor Options'!I19</x:f>
      </x:c>
      <x:c r="AA19" s="54" t="n">
        <x:f>'Vendor Options'!J19</x:f>
        <x:v>177.04</x:v>
      </x:c>
      <x:c r="AB19" t="n">
        <x:f>'Vendor Options'!K19</x:f>
        <x:v>0</x:v>
      </x:c>
      <x:c r="AC19" s="57" t="n">
        <x:f>'Vendor Options'!L19</x:f>
        <x:v>0</x:v>
      </x:c>
      <x:c r="AD19" s="57" t="n">
        <x:f>'Vendor Options'!M19</x:f>
        <x:v>0</x:v>
      </x:c>
      <x:c r="AE19" s="54" t="n">
        <x:f>'Vendor Options'!N19</x:f>
        <x:v>177.04</x:v>
      </x:c>
      <x:c r="AF19" t="str">
        <x:f>'Vendor Options'!O19</x:f>
        <x:v>USD</x:v>
      </x:c>
      <x:c r="AG19" t="str">
        <x:f>'Vendor Options'!P19</x:f>
        <x:v>PRICED</x:v>
      </x:c>
      <x:c r="AH19" t="str">
        <x:f>'Vendor Options'!Q19</x:f>
        <x:v>REVIEW</x:v>
      </x:c>
      <x:c r="AI19" t="str">
        <x:f>'Vendor Options'!R19</x:f>
        <x:v>PART_NUMBER_CONFLICT</x:v>
      </x:c>
      <x:c r="AJ19" t="n">
        <x:f>'Vendor Options'!S19</x:f>
        <x:v>48</x:v>
      </x:c>
    </x:row>
    <x:row r="20" ht="15" hidden="0" customHeight="1">
      <x:c r="A20" t="str">
        <x:f>'Vendor Options'!B20</x:f>
        <x:v>SPEC-34F37FF68132</x:v>
      </x:c>
      <x:c r="B20" t="str">
        <x:f>XLOOKUP($A20,'Specs'!$A$2:$A$164,'Specs'!$B$2:$B$164,"")</x:f>
        <x:v>CLOSER</x:v>
      </x:c>
      <x:c r="C20" t="str">
        <x:f>XLOOKUP($A20,'Specs'!$A$2:$A$164,'Specs'!$C$2:$C$164,"")</x:f>
        <x:v>SURFACE CLOSER</x:v>
      </x:c>
      <x:c r="D20" t="str">
        <x:f>XLOOKUP($A20,'Specs'!$A$2:$A$164,'Specs'!$D$2:$D$164,"")</x:f>
      </x:c>
      <x:c r="E20" t="str">
        <x:f>XLOOKUP($A20,'Specs'!$A$2:$A$164,'Specs'!$E$2:$E$164,"")</x:f>
        <x:v>DOOR CLOSER</x:v>
      </x:c>
      <x:c r="F20" t="str">
        <x:f>XLOOKUP($A20,'Specs'!$A$2:$A$164,'Specs'!$F$2:$F$164,"")</x:f>
        <x:v>NOT APPLICABLE</x:v>
      </x:c>
      <x:c r="G20" t="str">
        <x:f>XLOOKUP($A20,'Specs'!$A$2:$A$164,'Specs'!$G$2:$G$164,"")</x:f>
      </x:c>
      <x:c r="H20" t="str">
        <x:f>XLOOKUP($A20,'Specs'!$A$2:$A$164,'Specs'!$H$2:$H$164,"")</x:f>
      </x:c>
      <x:c r="I20" t="str">
        <x:f>XLOOKUP($A20,'Specs'!$A$2:$A$164,'Specs'!$I$2:$I$164,"")</x:f>
        <x:v>INSTITUTIONAL</x:v>
      </x:c>
      <x:c r="J20" t="str">
        <x:f>XLOOKUP($A20,'Specs'!$A$2:$A$164,'Specs'!$J$2:$J$164,"")</x:f>
      </x:c>
      <x:c r="K20" t="str">
        <x:f>XLOOKUP($A20,'Specs'!$A$2:$A$164,'Specs'!$K$2:$K$164,"")</x:f>
      </x:c>
      <x:c r="L20" t="str">
        <x:f>XLOOKUP($A20,'Specs'!$A$2:$A$164,'Specs'!$L$2:$L$164,"")</x:f>
        <x:v>CAST BODY</x:v>
      </x:c>
      <x:c r="M20" t="str">
        <x:f>XLOOKUP($A20,'Specs'!$A$2:$A$164,'Specs'!$M$2:$M$164,"")</x:f>
      </x:c>
      <x:c r="N20" t="str">
        <x:f>XLOOKUP($A20,'Specs'!$A$2:$A$164,'Specs'!$N$2:$N$164,"")</x:f>
      </x:c>
      <x:c r="O20" t="str">
        <x:f>XLOOKUP($A20,'Specs'!$A$2:$A$164,'Specs'!$O$2:$O$164,"")</x:f>
      </x:c>
      <x:c r="P20" t="str">
        <x:f>XLOOKUP($A20,'Specs'!$A$2:$A$164,'Specs'!$P$2:$P$164,"")</x:f>
        <x:v>HIGH</x:v>
      </x:c>
      <x:c r="Q20" s="53" t="n">
        <x:f>XLOOKUP($A20,'Specs'!$A$2:$A$164,'Specs'!$Q$2:$Q$164,"")</x:f>
        <x:v>3</x:v>
      </x:c>
      <x:c r="R20" s="53" t="n">
        <x:f>XLOOKUP($A20,'Specs'!$A$2:$A$164,'Specs'!$R$2:$R$164,"")</x:f>
        <x:v>2</x:v>
      </x:c>
      <x:c r="S20" t="str">
        <x:f>'Vendor Options'!A20</x:f>
        <x:v>OFFER-D245A70B4EBF</x:v>
      </x:c>
      <x:c r="T20" t="str">
        <x:f>'Vendor Options'!C20</x:f>
        <x:v>PHG</x:v>
      </x:c>
      <x:c r="U20" t="str">
        <x:f>'Vendor Options'!D20</x:f>
        <x:v>8000</x:v>
      </x:c>
      <x:c r="V20" t="str">
        <x:f>'Vendor Options'!E20</x:f>
        <x:v>8000</x:v>
      </x:c>
      <x:c r="W20" t="n">
        <x:f>'Vendor Options'!F20</x:f>
        <x:v>0</x:v>
      </x:c>
      <x:c r="X20" t="str">
        <x:f>'Vendor Options'!G20</x:f>
        <x:v>80DC689</x:v>
      </x:c>
      <x:c r="Y20" t="str">
        <x:f>'Vendor Options'!H20</x:f>
        <x:v>80DC689</x:v>
      </x:c>
      <x:c r="Z20" t="n">
        <x:f>'Vendor Options'!I20</x:f>
        <x:v>0</x:v>
      </x:c>
      <x:c r="AA20" s="54" t="n">
        <x:f>'Vendor Options'!J20</x:f>
        <x:v>122.72</x:v>
      </x:c>
      <x:c r="AB20" t="n">
        <x:f>'Vendor Options'!K20</x:f>
        <x:v>0</x:v>
      </x:c>
      <x:c r="AC20" s="57" t="n">
        <x:f>'Vendor Options'!L20</x:f>
        <x:v>0</x:v>
      </x:c>
      <x:c r="AD20" s="57" t="n">
        <x:f>'Vendor Options'!M20</x:f>
        <x:v>0</x:v>
      </x:c>
      <x:c r="AE20" s="54" t="n">
        <x:f>'Vendor Options'!N20</x:f>
        <x:v>122.72</x:v>
      </x:c>
      <x:c r="AF20" t="str">
        <x:f>'Vendor Options'!O20</x:f>
        <x:v>USD</x:v>
      </x:c>
      <x:c r="AG20" t="str">
        <x:f>'Vendor Options'!P20</x:f>
        <x:v>PRICED</x:v>
      </x:c>
      <x:c r="AH20" t="str">
        <x:f>'Vendor Options'!Q20</x:f>
        <x:v>REVIEW</x:v>
      </x:c>
      <x:c r="AI20" t="str">
        <x:f>'Vendor Options'!R20</x:f>
        <x:v>PART_NUMBER_CONFLICT</x:v>
      </x:c>
      <x:c r="AJ20" t="n">
        <x:f>'Vendor Options'!S20</x:f>
        <x:v>49</x:v>
      </x:c>
    </x:row>
    <x:row r="21" ht="15" hidden="0" customHeight="1">
      <x:c r="A21" t="str">
        <x:f>'Vendor Options'!B21</x:f>
        <x:v>SPEC-B4C1DFD4E28A</x:v>
      </x:c>
      <x:c r="B21" t="str">
        <x:f>XLOOKUP($A21,'Specs'!$A$2:$A$164,'Specs'!$B$2:$B$164,"")</x:f>
        <x:v>CLOSER</x:v>
      </x:c>
      <x:c r="C21" t="str">
        <x:f>XLOOKUP($A21,'Specs'!$A$2:$A$164,'Specs'!$C$2:$C$164,"")</x:f>
        <x:v>SURFACE CLOSER</x:v>
      </x:c>
      <x:c r="D21" t="str">
        <x:f>XLOOKUP($A21,'Specs'!$A$2:$A$164,'Specs'!$D$2:$D$164,"")</x:f>
      </x:c>
      <x:c r="E21" t="str">
        <x:f>XLOOKUP($A21,'Specs'!$A$2:$A$164,'Specs'!$E$2:$E$164,"")</x:f>
        <x:v>DOOR CLOSER</x:v>
      </x:c>
      <x:c r="F21" t="str">
        <x:f>XLOOKUP($A21,'Specs'!$A$2:$A$164,'Specs'!$F$2:$F$164,"")</x:f>
        <x:v>NOT APPLICABLE</x:v>
      </x:c>
      <x:c r="G21" t="str">
        <x:f>XLOOKUP($A21,'Specs'!$A$2:$A$164,'Specs'!$G$2:$G$164,"")</x:f>
      </x:c>
      <x:c r="H21" t="str">
        <x:f>XLOOKUP($A21,'Specs'!$A$2:$A$164,'Specs'!$H$2:$H$164,"")</x:f>
      </x:c>
      <x:c r="I21" t="str">
        <x:f>XLOOKUP($A21,'Specs'!$A$2:$A$164,'Specs'!$I$2:$I$164,"")</x:f>
      </x:c>
      <x:c r="J21" t="str">
        <x:f>XLOOKUP($A21,'Specs'!$A$2:$A$164,'Specs'!$J$2:$J$164,"")</x:f>
        <x:v>SLIDE TRACK HOLD OPEN</x:v>
      </x:c>
      <x:c r="K21" t="str">
        <x:f>XLOOKUP($A21,'Specs'!$A$2:$A$164,'Specs'!$K$2:$K$164,"")</x:f>
      </x:c>
      <x:c r="L21" t="str">
        <x:f>XLOOKUP($A21,'Specs'!$A$2:$A$164,'Specs'!$L$2:$L$164,"")</x:f>
      </x:c>
      <x:c r="M21" t="n">
        <x:f>XLOOKUP($A21,'Specs'!$A$2:$A$164,'Specs'!$M$2:$M$164,"")</x:f>
        <x:v>630</x:v>
      </x:c>
      <x:c r="N21" t="str">
        <x:f>XLOOKUP($A21,'Specs'!$A$2:$A$164,'Specs'!$N$2:$N$164,"")</x:f>
      </x:c>
      <x:c r="O21" t="str">
        <x:f>XLOOKUP($A21,'Specs'!$A$2:$A$164,'Specs'!$O$2:$O$164,"")</x:f>
      </x:c>
      <x:c r="P21" t="str">
        <x:f>XLOOKUP($A21,'Specs'!$A$2:$A$164,'Specs'!$P$2:$P$164,"")</x:f>
        <x:v>HIGH</x:v>
      </x:c>
      <x:c r="Q21" s="53" t="n">
        <x:f>XLOOKUP($A21,'Specs'!$A$2:$A$164,'Specs'!$Q$2:$Q$164,"")</x:f>
        <x:v>1</x:v>
      </x:c>
      <x:c r="R21" s="53" t="n">
        <x:f>XLOOKUP($A21,'Specs'!$A$2:$A$164,'Specs'!$R$2:$R$164,"")</x:f>
        <x:v>1</x:v>
      </x:c>
      <x:c r="S21" t="str">
        <x:f>'Vendor Options'!A21</x:f>
        <x:v>OFFER-A9FA8C40E47A</x:v>
      </x:c>
      <x:c r="T21" t="str">
        <x:f>'Vendor Options'!C21</x:f>
        <x:v>ABH</x:v>
      </x:c>
      <x:c r="U21" t="str">
        <x:f>'Vendor Options'!D21</x:f>
        <x:v>9414</x:v>
      </x:c>
      <x:c r="V21" t="str">
        <x:f>'Vendor Options'!E21</x:f>
        <x:v>SLIDE TRACK HOLD OPEN</x:v>
      </x:c>
      <x:c r="W21" t="str">
        <x:f>'Vendor Options'!F21</x:f>
      </x:c>
      <x:c r="X21" t="str">
        <x:f>'Vendor Options'!G21</x:f>
      </x:c>
      <x:c r="Y21" t="n">
        <x:f>'Vendor Options'!H21</x:f>
        <x:v>0</x:v>
      </x:c>
      <x:c r="Z21" t="n">
        <x:f>'Vendor Options'!I21</x:f>
        <x:v>0</x:v>
      </x:c>
      <x:c r="AA21" s="54" t="n">
        <x:f>'Vendor Options'!J21</x:f>
        <x:v>0</x:v>
      </x:c>
      <x:c r="AB21" t="n">
        <x:f>'Vendor Options'!K21</x:f>
        <x:v>0</x:v>
      </x:c>
      <x:c r="AC21" s="57" t="n">
        <x:f>'Vendor Options'!L21</x:f>
        <x:v>0</x:v>
      </x:c>
      <x:c r="AD21" s="57" t="n">
        <x:f>'Vendor Options'!M21</x:f>
        <x:v>0</x:v>
      </x:c>
      <x:c r="AE21" s="54" t="str">
        <x:f>'Vendor Options'!N21</x:f>
      </x:c>
      <x:c r="AF21" t="str">
        <x:f>'Vendor Options'!O21</x:f>
        <x:v>USD</x:v>
      </x:c>
      <x:c r="AG21" t="str">
        <x:f>'Vendor Options'!P21</x:f>
        <x:v>UNPRICED</x:v>
      </x:c>
      <x:c r="AH21" t="str">
        <x:f>'Vendor Options'!Q21</x:f>
        <x:v>REVIEW</x:v>
      </x:c>
      <x:c r="AI21" t="str">
        <x:f>'Vendor Options'!R21</x:f>
        <x:v>MISSING_PRICE; MISSING_PART_NUMBER</x:v>
      </x:c>
      <x:c r="AJ21" t="n">
        <x:f>'Vendor Options'!S21</x:f>
        <x:v>67</x:v>
      </x:c>
    </x:row>
    <x:row r="22" ht="15" hidden="0" customHeight="1">
      <x:c r="A22" t="str">
        <x:f>'Vendor Options'!B22</x:f>
        <x:v>SPEC-7396E555AC12</x:v>
      </x:c>
      <x:c r="B22" t="str">
        <x:f>XLOOKUP($A22,'Specs'!$A$2:$A$164,'Specs'!$B$2:$B$164,"")</x:f>
        <x:v>CLOSER</x:v>
      </x:c>
      <x:c r="C22" t="str">
        <x:f>XLOOKUP($A22,'Specs'!$A$2:$A$164,'Specs'!$C$2:$C$164,"")</x:f>
        <x:v>SURFACE CLOSER</x:v>
      </x:c>
      <x:c r="D22" t="str">
        <x:f>XLOOKUP($A22,'Specs'!$A$2:$A$164,'Specs'!$D$2:$D$164,"")</x:f>
      </x:c>
      <x:c r="E22" t="str">
        <x:f>XLOOKUP($A22,'Specs'!$A$2:$A$164,'Specs'!$E$2:$E$164,"")</x:f>
        <x:v>DOOR CLOSER</x:v>
      </x:c>
      <x:c r="F22" t="str">
        <x:f>XLOOKUP($A22,'Specs'!$A$2:$A$164,'Specs'!$F$2:$F$164,"")</x:f>
        <x:v>NOT APPLICABLE</x:v>
      </x:c>
      <x:c r="G22" t="str">
        <x:f>XLOOKUP($A22,'Specs'!$A$2:$A$164,'Specs'!$G$2:$G$164,"")</x:f>
      </x:c>
      <x:c r="H22" t="str">
        <x:f>XLOOKUP($A22,'Specs'!$A$2:$A$164,'Specs'!$H$2:$H$164,"")</x:f>
      </x:c>
      <x:c r="I22" t="str">
        <x:f>XLOOKUP($A22,'Specs'!$A$2:$A$164,'Specs'!$I$2:$I$164,"")</x:f>
      </x:c>
      <x:c r="J22" t="str">
        <x:f>XLOOKUP($A22,'Specs'!$A$2:$A$164,'Specs'!$J$2:$J$164,"")</x:f>
        <x:v>REGULAR ARM</x:v>
      </x:c>
      <x:c r="K22" t="str">
        <x:f>XLOOKUP($A22,'Specs'!$A$2:$A$164,'Specs'!$K$2:$K$164,"")</x:f>
      </x:c>
      <x:c r="L22" t="str">
        <x:f>XLOOKUP($A22,'Specs'!$A$2:$A$164,'Specs'!$L$2:$L$164,"")</x:f>
      </x:c>
      <x:c r="M22" t="n">
        <x:f>XLOOKUP($A22,'Specs'!$A$2:$A$164,'Specs'!$M$2:$M$164,"")</x:f>
        <x:v>689</x:v>
      </x:c>
      <x:c r="N22" t="str">
        <x:f>XLOOKUP($A22,'Specs'!$A$2:$A$164,'Specs'!$N$2:$N$164,"")</x:f>
      </x:c>
      <x:c r="O22" t="str">
        <x:f>XLOOKUP($A22,'Specs'!$A$2:$A$164,'Specs'!$O$2:$O$164,"")</x:f>
      </x:c>
      <x:c r="P22" t="str">
        <x:f>XLOOKUP($A22,'Specs'!$A$2:$A$164,'Specs'!$P$2:$P$164,"")</x:f>
        <x:v>HIGH</x:v>
      </x:c>
      <x:c r="Q22" s="53" t="n">
        <x:f>XLOOKUP($A22,'Specs'!$A$2:$A$164,'Specs'!$Q$2:$Q$164,"")</x:f>
        <x:v>6</x:v>
      </x:c>
      <x:c r="R22" s="53" t="n">
        <x:f>XLOOKUP($A22,'Specs'!$A$2:$A$164,'Specs'!$R$2:$R$164,"")</x:f>
        <x:v>3</x:v>
      </x:c>
      <x:c r="S22" t="str">
        <x:f>'Vendor Options'!A22</x:f>
        <x:v>OFFER-6F339B3F6213</x:v>
      </x:c>
      <x:c r="T22" t="str">
        <x:f>'Vendor Options'!C22</x:f>
        <x:v>LCN</x:v>
      </x:c>
      <x:c r="U22" t="str">
        <x:f>'Vendor Options'!D22</x:f>
        <x:v>1460</x:v>
      </x:c>
      <x:c r="V22" t="str">
        <x:f>'Vendor Options'!E22</x:f>
        <x:v>1460 STD ARM</x:v>
      </x:c>
      <x:c r="W22" t="str">
        <x:f>'Vendor Options'!F22</x:f>
      </x:c>
      <x:c r="X22" t="str">
        <x:f>'Vendor Options'!G22</x:f>
        <x:v>1461-RW/PA</x:v>
      </x:c>
      <x:c r="Y22" t="str">
        <x:f>'Vendor Options'!H22</x:f>
        <x:v>1461-RW/PA 689 TRIPAC</x:v>
      </x:c>
      <x:c r="Z22" t="n">
        <x:f>'Vendor Options'!I22</x:f>
        <x:v>0</x:v>
      </x:c>
      <x:c r="AA22" s="54" t="n">
        <x:f>'Vendor Options'!J22</x:f>
        <x:v>0</x:v>
      </x:c>
      <x:c r="AB22" t="n">
        <x:f>'Vendor Options'!K22</x:f>
        <x:v>0</x:v>
      </x:c>
      <x:c r="AC22" s="57" t="n">
        <x:f>'Vendor Options'!L22</x:f>
        <x:v>0</x:v>
      </x:c>
      <x:c r="AD22" s="57" t="n">
        <x:f>'Vendor Options'!M22</x:f>
        <x:v>0</x:v>
      </x:c>
      <x:c r="AE22" s="54" t="str">
        <x:f>'Vendor Options'!N22</x:f>
      </x:c>
      <x:c r="AF22" t="str">
        <x:f>'Vendor Options'!O22</x:f>
        <x:v>USD</x:v>
      </x:c>
      <x:c r="AG22" t="str">
        <x:f>'Vendor Options'!P22</x:f>
        <x:v>UNPRICED</x:v>
      </x:c>
      <x:c r="AH22" t="str">
        <x:f>'Vendor Options'!Q22</x:f>
        <x:v>ACTIVE</x:v>
      </x:c>
      <x:c r="AI22" t="str">
        <x:f>'Vendor Options'!R22</x:f>
        <x:v>MISSING_PRICE</x:v>
      </x:c>
      <x:c r="AJ22" t="n">
        <x:f>'Vendor Options'!S22</x:f>
        <x:v>69</x:v>
      </x:c>
    </x:row>
    <x:row r="23" ht="15" hidden="0" customHeight="1">
      <x:c r="A23" t="str">
        <x:f>'Vendor Options'!B23</x:f>
        <x:v>SPEC-F1DE3D632C62</x:v>
      </x:c>
      <x:c r="B23" t="str">
        <x:f>XLOOKUP($A23,'Specs'!$A$2:$A$164,'Specs'!$B$2:$B$164,"")</x:f>
        <x:v>CLOSER</x:v>
      </x:c>
      <x:c r="C23" t="str">
        <x:f>XLOOKUP($A23,'Specs'!$A$2:$A$164,'Specs'!$C$2:$C$164,"")</x:f>
        <x:v>SURFACE CLOSER</x:v>
      </x:c>
      <x:c r="D23" t="str">
        <x:f>XLOOKUP($A23,'Specs'!$A$2:$A$164,'Specs'!$D$2:$D$164,"")</x:f>
      </x:c>
      <x:c r="E23" t="str">
        <x:f>XLOOKUP($A23,'Specs'!$A$2:$A$164,'Specs'!$E$2:$E$164,"")</x:f>
        <x:v>DOOR CLOSER</x:v>
      </x:c>
      <x:c r="F23" t="str">
        <x:f>XLOOKUP($A23,'Specs'!$A$2:$A$164,'Specs'!$F$2:$F$164,"")</x:f>
        <x:v>NOT APPLICABLE</x:v>
      </x:c>
      <x:c r="G23" t="str">
        <x:f>XLOOKUP($A23,'Specs'!$A$2:$A$164,'Specs'!$G$2:$G$164,"")</x:f>
      </x:c>
      <x:c r="H23" t="str">
        <x:f>XLOOKUP($A23,'Specs'!$A$2:$A$164,'Specs'!$H$2:$H$164,"")</x:f>
      </x:c>
      <x:c r="I23" t="str">
        <x:f>XLOOKUP($A23,'Specs'!$A$2:$A$164,'Specs'!$I$2:$I$164,"")</x:f>
      </x:c>
      <x:c r="J23" t="str">
        <x:f>XLOOKUP($A23,'Specs'!$A$2:$A$164,'Specs'!$J$2:$J$164,"")</x:f>
        <x:v>HOLD OPEN ARM</x:v>
      </x:c>
      <x:c r="K23" t="str">
        <x:f>XLOOKUP($A23,'Specs'!$A$2:$A$164,'Specs'!$K$2:$K$164,"")</x:f>
      </x:c>
      <x:c r="L23" t="str">
        <x:f>XLOOKUP($A23,'Specs'!$A$2:$A$164,'Specs'!$L$2:$L$164,"")</x:f>
      </x:c>
      <x:c r="M23" t="n">
        <x:f>XLOOKUP($A23,'Specs'!$A$2:$A$164,'Specs'!$M$2:$M$164,"")</x:f>
        <x:v>689</x:v>
      </x:c>
      <x:c r="N23" t="str">
        <x:f>XLOOKUP($A23,'Specs'!$A$2:$A$164,'Specs'!$N$2:$N$164,"")</x:f>
      </x:c>
      <x:c r="O23" t="str">
        <x:f>XLOOKUP($A23,'Specs'!$A$2:$A$164,'Specs'!$O$2:$O$164,"")</x:f>
      </x:c>
      <x:c r="P23" t="str">
        <x:f>XLOOKUP($A23,'Specs'!$A$2:$A$164,'Specs'!$P$2:$P$164,"")</x:f>
        <x:v>HIGH</x:v>
      </x:c>
      <x:c r="Q23" s="53" t="n">
        <x:f>XLOOKUP($A23,'Specs'!$A$2:$A$164,'Specs'!$Q$2:$Q$164,"")</x:f>
        <x:v>2</x:v>
      </x:c>
      <x:c r="R23" s="53" t="n">
        <x:f>XLOOKUP($A23,'Specs'!$A$2:$A$164,'Specs'!$R$2:$R$164,"")</x:f>
        <x:v>1</x:v>
      </x:c>
      <x:c r="S23" t="str">
        <x:f>'Vendor Options'!A23</x:f>
        <x:v>OFFER-5BC97D4E318D</x:v>
      </x:c>
      <x:c r="T23" t="str">
        <x:f>'Vendor Options'!C23</x:f>
        <x:v>LCN</x:v>
      </x:c>
      <x:c r="U23" t="str">
        <x:f>'Vendor Options'!D23</x:f>
        <x:v>1460</x:v>
      </x:c>
      <x:c r="V23" t="str">
        <x:f>'Vendor Options'!E23</x:f>
        <x:v>1460 HO ARM</x:v>
      </x:c>
      <x:c r="W23" t="str">
        <x:f>'Vendor Options'!F23</x:f>
      </x:c>
      <x:c r="X23" t="str">
        <x:f>'Vendor Options'!G23</x:f>
        <x:v>1460-3049-689</x:v>
      </x:c>
      <x:c r="Y23" t="str">
        <x:f>'Vendor Options'!H23</x:f>
        <x:v>1460-3049-689</x:v>
      </x:c>
      <x:c r="Z23" t="n">
        <x:f>'Vendor Options'!I23</x:f>
        <x:v>0</x:v>
      </x:c>
      <x:c r="AA23" s="54" t="n">
        <x:f>'Vendor Options'!J23</x:f>
        <x:v>0</x:v>
      </x:c>
      <x:c r="AB23" t="n">
        <x:f>'Vendor Options'!K23</x:f>
        <x:v>0</x:v>
      </x:c>
      <x:c r="AC23" s="57" t="n">
        <x:f>'Vendor Options'!L23</x:f>
        <x:v>0</x:v>
      </x:c>
      <x:c r="AD23" s="57" t="n">
        <x:f>'Vendor Options'!M23</x:f>
        <x:v>0</x:v>
      </x:c>
      <x:c r="AE23" s="54" t="str">
        <x:f>'Vendor Options'!N23</x:f>
      </x:c>
      <x:c r="AF23" t="str">
        <x:f>'Vendor Options'!O23</x:f>
        <x:v>USD</x:v>
      </x:c>
      <x:c r="AG23" t="str">
        <x:f>'Vendor Options'!P23</x:f>
        <x:v>UNPRICED</x:v>
      </x:c>
      <x:c r="AH23" t="str">
        <x:f>'Vendor Options'!Q23</x:f>
        <x:v>ACTIVE</x:v>
      </x:c>
      <x:c r="AI23" t="str">
        <x:f>'Vendor Options'!R23</x:f>
        <x:v>MISSING_PRICE</x:v>
      </x:c>
      <x:c r="AJ23" t="n">
        <x:f>'Vendor Options'!S23</x:f>
        <x:v>70</x:v>
      </x:c>
    </x:row>
    <x:row r="24" ht="15" hidden="0" customHeight="1">
      <x:c r="A24" t="str">
        <x:f>'Vendor Options'!B24</x:f>
        <x:v>SPEC-E61CB9AEB56F</x:v>
      </x:c>
      <x:c r="B24" t="str">
        <x:f>XLOOKUP($A24,'Specs'!$A$2:$A$164,'Specs'!$B$2:$B$164,"")</x:f>
        <x:v>CLOSER</x:v>
      </x:c>
      <x:c r="C24" t="str">
        <x:f>XLOOKUP($A24,'Specs'!$A$2:$A$164,'Specs'!$C$2:$C$164,"")</x:f>
        <x:v>SURFACE CLOSER</x:v>
      </x:c>
      <x:c r="D24" t="str">
        <x:f>XLOOKUP($A24,'Specs'!$A$2:$A$164,'Specs'!$D$2:$D$164,"")</x:f>
      </x:c>
      <x:c r="E24" t="str">
        <x:f>XLOOKUP($A24,'Specs'!$A$2:$A$164,'Specs'!$E$2:$E$164,"")</x:f>
        <x:v>DOOR CLOSER</x:v>
      </x:c>
      <x:c r="F24" t="str">
        <x:f>XLOOKUP($A24,'Specs'!$A$2:$A$164,'Specs'!$F$2:$F$164,"")</x:f>
        <x:v>NOT APPLICABLE</x:v>
      </x:c>
      <x:c r="G24" t="str">
        <x:f>XLOOKUP($A24,'Specs'!$A$2:$A$164,'Specs'!$G$2:$G$164,"")</x:f>
      </x:c>
      <x:c r="H24" t="str">
        <x:f>XLOOKUP($A24,'Specs'!$A$2:$A$164,'Specs'!$H$2:$H$164,"")</x:f>
      </x:c>
      <x:c r="I24" t="str">
        <x:f>XLOOKUP($A24,'Specs'!$A$2:$A$164,'Specs'!$I$2:$I$164,"")</x:f>
      </x:c>
      <x:c r="J24" t="str">
        <x:f>XLOOKUP($A24,'Specs'!$A$2:$A$164,'Specs'!$J$2:$J$164,"")</x:f>
        <x:v>HOLD OPEN CUSHION</x:v>
      </x:c>
      <x:c r="K24" t="str">
        <x:f>XLOOKUP($A24,'Specs'!$A$2:$A$164,'Specs'!$K$2:$K$164,"")</x:f>
      </x:c>
      <x:c r="L24" t="str">
        <x:f>XLOOKUP($A24,'Specs'!$A$2:$A$164,'Specs'!$L$2:$L$164,"")</x:f>
      </x:c>
      <x:c r="M24" t="n">
        <x:f>XLOOKUP($A24,'Specs'!$A$2:$A$164,'Specs'!$M$2:$M$164,"")</x:f>
        <x:v>689</x:v>
      </x:c>
      <x:c r="N24" t="str">
        <x:f>XLOOKUP($A24,'Specs'!$A$2:$A$164,'Specs'!$N$2:$N$164,"")</x:f>
      </x:c>
      <x:c r="O24" t="str">
        <x:f>XLOOKUP($A24,'Specs'!$A$2:$A$164,'Specs'!$O$2:$O$164,"")</x:f>
      </x:c>
      <x:c r="P24" t="str">
        <x:f>XLOOKUP($A24,'Specs'!$A$2:$A$164,'Specs'!$P$2:$P$164,"")</x:f>
        <x:v>HIGH</x:v>
      </x:c>
      <x:c r="Q24" s="53" t="n">
        <x:f>XLOOKUP($A24,'Specs'!$A$2:$A$164,'Specs'!$Q$2:$Q$164,"")</x:f>
        <x:v>2</x:v>
      </x:c>
      <x:c r="R24" s="53" t="n">
        <x:f>XLOOKUP($A24,'Specs'!$A$2:$A$164,'Specs'!$R$2:$R$164,"")</x:f>
        <x:v>1</x:v>
      </x:c>
      <x:c r="S24" t="str">
        <x:f>'Vendor Options'!A24</x:f>
        <x:v>OFFER-1449A7A13575</x:v>
      </x:c>
      <x:c r="T24" t="str">
        <x:f>'Vendor Options'!C24</x:f>
        <x:v>LCN</x:v>
      </x:c>
      <x:c r="U24" t="str">
        <x:f>'Vendor Options'!D24</x:f>
        <x:v>1460</x:v>
      </x:c>
      <x:c r="V24" t="str">
        <x:f>'Vendor Options'!E24</x:f>
        <x:v>1460 HO CUSH</x:v>
      </x:c>
      <x:c r="W24" t="str">
        <x:f>'Vendor Options'!F24</x:f>
      </x:c>
      <x:c r="X24" t="str">
        <x:f>'Vendor Options'!G24</x:f>
        <x:v>1460-3049</x:v>
      </x:c>
      <x:c r="Y24" t="str">
        <x:f>'Vendor Options'!H24</x:f>
        <x:v>1460-3049 CNS-689</x:v>
      </x:c>
      <x:c r="Z24" t="n">
        <x:f>'Vendor Options'!I24</x:f>
        <x:v>0</x:v>
      </x:c>
      <x:c r="AA24" s="54" t="n">
        <x:f>'Vendor Options'!J24</x:f>
        <x:v>0</x:v>
      </x:c>
      <x:c r="AB24" t="n">
        <x:f>'Vendor Options'!K24</x:f>
        <x:v>0</x:v>
      </x:c>
      <x:c r="AC24" s="57" t="n">
        <x:f>'Vendor Options'!L24</x:f>
        <x:v>0</x:v>
      </x:c>
      <x:c r="AD24" s="57" t="n">
        <x:f>'Vendor Options'!M24</x:f>
        <x:v>0</x:v>
      </x:c>
      <x:c r="AE24" s="54" t="str">
        <x:f>'Vendor Options'!N24</x:f>
      </x:c>
      <x:c r="AF24" t="str">
        <x:f>'Vendor Options'!O24</x:f>
        <x:v>USD</x:v>
      </x:c>
      <x:c r="AG24" t="str">
        <x:f>'Vendor Options'!P24</x:f>
        <x:v>UNPRICED</x:v>
      </x:c>
      <x:c r="AH24" t="str">
        <x:f>'Vendor Options'!Q24</x:f>
        <x:v>ACTIVE</x:v>
      </x:c>
      <x:c r="AI24" t="str">
        <x:f>'Vendor Options'!R24</x:f>
        <x:v>MISSING_PRICE</x:v>
      </x:c>
      <x:c r="AJ24" t="n">
        <x:f>'Vendor Options'!S24</x:f>
        <x:v>71</x:v>
      </x:c>
    </x:row>
    <x:row r="25" ht="15" hidden="0" customHeight="1">
      <x:c r="A25" t="str">
        <x:f>'Vendor Options'!B25</x:f>
        <x:v>SPEC-05BEAB991446</x:v>
      </x:c>
      <x:c r="B25" t="str">
        <x:f>XLOOKUP($A25,'Specs'!$A$2:$A$164,'Specs'!$B$2:$B$164,"")</x:f>
        <x:v>CLOSER</x:v>
      </x:c>
      <x:c r="C25" t="str">
        <x:f>XLOOKUP($A25,'Specs'!$A$2:$A$164,'Specs'!$C$2:$C$164,"")</x:f>
        <x:v>SURFACE CLOSER</x:v>
      </x:c>
      <x:c r="D25" t="str">
        <x:f>XLOOKUP($A25,'Specs'!$A$2:$A$164,'Specs'!$D$2:$D$164,"")</x:f>
      </x:c>
      <x:c r="E25" t="str">
        <x:f>XLOOKUP($A25,'Specs'!$A$2:$A$164,'Specs'!$E$2:$E$164,"")</x:f>
        <x:v>DOOR CLOSER</x:v>
      </x:c>
      <x:c r="F25" t="str">
        <x:f>XLOOKUP($A25,'Specs'!$A$2:$A$164,'Specs'!$F$2:$F$164,"")</x:f>
        <x:v>NOT APPLICABLE</x:v>
      </x:c>
      <x:c r="G25" t="str">
        <x:f>XLOOKUP($A25,'Specs'!$A$2:$A$164,'Specs'!$G$2:$G$164,"")</x:f>
      </x:c>
      <x:c r="H25" t="str">
        <x:f>XLOOKUP($A25,'Specs'!$A$2:$A$164,'Specs'!$H$2:$H$164,"")</x:f>
      </x:c>
      <x:c r="I25" t="str">
        <x:f>XLOOKUP($A25,'Specs'!$A$2:$A$164,'Specs'!$I$2:$I$164,"")</x:f>
      </x:c>
      <x:c r="J25" t="str">
        <x:f>XLOOKUP($A25,'Specs'!$A$2:$A$164,'Specs'!$J$2:$J$164,"")</x:f>
      </x:c>
      <x:c r="K25" t="str">
        <x:f>XLOOKUP($A25,'Specs'!$A$2:$A$164,'Specs'!$K$2:$K$164,"")</x:f>
      </x:c>
      <x:c r="L25" t="str">
        <x:f>XLOOKUP($A25,'Specs'!$A$2:$A$164,'Specs'!$L$2:$L$164,"")</x:f>
      </x:c>
      <x:c r="M25" t="n">
        <x:f>XLOOKUP($A25,'Specs'!$A$2:$A$164,'Specs'!$M$2:$M$164,"")</x:f>
        <x:v>689</x:v>
      </x:c>
      <x:c r="N25" t="str">
        <x:f>XLOOKUP($A25,'Specs'!$A$2:$A$164,'Specs'!$N$2:$N$164,"")</x:f>
      </x:c>
      <x:c r="O25" t="str">
        <x:f>XLOOKUP($A25,'Specs'!$A$2:$A$164,'Specs'!$O$2:$O$164,"")</x:f>
      </x:c>
      <x:c r="P25" t="str">
        <x:f>XLOOKUP($A25,'Specs'!$A$2:$A$164,'Specs'!$P$2:$P$164,"")</x:f>
        <x:v>REVIEW</x:v>
      </x:c>
      <x:c r="Q25" s="53" t="n">
        <x:f>XLOOKUP($A25,'Specs'!$A$2:$A$164,'Specs'!$Q$2:$Q$164,"")</x:f>
        <x:v>1</x:v>
      </x:c>
      <x:c r="R25" s="53" t="n">
        <x:f>XLOOKUP($A25,'Specs'!$A$2:$A$164,'Specs'!$R$2:$R$164,"")</x:f>
        <x:v>1</x:v>
      </x:c>
      <x:c r="S25" t="str">
        <x:f>'Vendor Options'!A25</x:f>
        <x:v>OFFER-59EE493A79B8</x:v>
      </x:c>
      <x:c r="T25" t="str">
        <x:f>'Vendor Options'!C25</x:f>
        <x:v>LCN</x:v>
      </x:c>
      <x:c r="U25" t="str">
        <x:f>'Vendor Options'!D25</x:f>
        <x:v>1460</x:v>
      </x:c>
      <x:c r="V25" t="str">
        <x:f>'Vendor Options'!E25</x:f>
        <x:v>1461 CUSH</x:v>
      </x:c>
      <x:c r="W25" t="str">
        <x:f>'Vendor Options'!F25</x:f>
      </x:c>
      <x:c r="X25" t="str">
        <x:f>'Vendor Options'!G25</x:f>
        <x:v>1461-CUSH</x:v>
      </x:c>
      <x:c r="Y25" t="str">
        <x:f>'Vendor Options'!H25</x:f>
        <x:v>1461-CUSH 689</x:v>
      </x:c>
      <x:c r="Z25" t="n">
        <x:f>'Vendor Options'!I25</x:f>
        <x:v>0</x:v>
      </x:c>
      <x:c r="AA25" s="54" t="n">
        <x:f>'Vendor Options'!J25</x:f>
        <x:v>0</x:v>
      </x:c>
      <x:c r="AB25" t="n">
        <x:f>'Vendor Options'!K25</x:f>
        <x:v>0</x:v>
      </x:c>
      <x:c r="AC25" s="57" t="n">
        <x:f>'Vendor Options'!L25</x:f>
        <x:v>0</x:v>
      </x:c>
      <x:c r="AD25" s="57" t="n">
        <x:f>'Vendor Options'!M25</x:f>
        <x:v>0</x:v>
      </x:c>
      <x:c r="AE25" s="54" t="str">
        <x:f>'Vendor Options'!N25</x:f>
      </x:c>
      <x:c r="AF25" t="str">
        <x:f>'Vendor Options'!O25</x:f>
        <x:v>USD</x:v>
      </x:c>
      <x:c r="AG25" t="str">
        <x:f>'Vendor Options'!P25</x:f>
        <x:v>UNPRICED</x:v>
      </x:c>
      <x:c r="AH25" t="str">
        <x:f>'Vendor Options'!Q25</x:f>
        <x:v>REVIEW</x:v>
      </x:c>
      <x:c r="AI25" t="str">
        <x:f>'Vendor Options'!R25</x:f>
        <x:v>MISSING_PRICE; MISSING_REQUIRED_SPEC</x:v>
      </x:c>
      <x:c r="AJ25" t="n">
        <x:f>'Vendor Options'!S25</x:f>
        <x:v>72</x:v>
      </x:c>
    </x:row>
    <x:row r="26" ht="15" hidden="0" customHeight="1">
      <x:c r="A26" t="str">
        <x:f>'Vendor Options'!B26</x:f>
        <x:v>SPEC-B28DC94068D5</x:v>
      </x:c>
      <x:c r="B26" t="str">
        <x:f>XLOOKUP($A26,'Specs'!$A$2:$A$164,'Specs'!$B$2:$B$164,"")</x:f>
        <x:v>CLOSER</x:v>
      </x:c>
      <x:c r="C26" t="str">
        <x:f>XLOOKUP($A26,'Specs'!$A$2:$A$164,'Specs'!$C$2:$C$164,"")</x:f>
        <x:v>SURFACE CLOSER</x:v>
      </x:c>
      <x:c r="D26" t="str">
        <x:f>XLOOKUP($A26,'Specs'!$A$2:$A$164,'Specs'!$D$2:$D$164,"")</x:f>
      </x:c>
      <x:c r="E26" t="str">
        <x:f>XLOOKUP($A26,'Specs'!$A$2:$A$164,'Specs'!$E$2:$E$164,"")</x:f>
        <x:v>DOOR CLOSER</x:v>
      </x:c>
      <x:c r="F26" t="str">
        <x:f>XLOOKUP($A26,'Specs'!$A$2:$A$164,'Specs'!$F$2:$F$164,"")</x:f>
        <x:v>NOT APPLICABLE</x:v>
      </x:c>
      <x:c r="G26" t="str">
        <x:f>XLOOKUP($A26,'Specs'!$A$2:$A$164,'Specs'!$G$2:$G$164,"")</x:f>
      </x:c>
      <x:c r="H26" t="str">
        <x:f>XLOOKUP($A26,'Specs'!$A$2:$A$164,'Specs'!$H$2:$H$164,"")</x:f>
      </x:c>
      <x:c r="I26" t="str">
        <x:f>XLOOKUP($A26,'Specs'!$A$2:$A$164,'Specs'!$I$2:$I$164,"")</x:f>
      </x:c>
      <x:c r="J26" t="str">
        <x:f>XLOOKUP($A26,'Specs'!$A$2:$A$164,'Specs'!$J$2:$J$164,"")</x:f>
      </x:c>
      <x:c r="K26" t="str">
        <x:f>XLOOKUP($A26,'Specs'!$A$2:$A$164,'Specs'!$K$2:$K$164,"")</x:f>
      </x:c>
      <x:c r="L26" t="str">
        <x:f>XLOOKUP($A26,'Specs'!$A$2:$A$164,'Specs'!$L$2:$L$164,"")</x:f>
      </x:c>
      <x:c r="M26" t="n">
        <x:f>XLOOKUP($A26,'Specs'!$A$2:$A$164,'Specs'!$M$2:$M$164,"")</x:f>
        <x:v>689</x:v>
      </x:c>
      <x:c r="N26" t="str">
        <x:f>XLOOKUP($A26,'Specs'!$A$2:$A$164,'Specs'!$N$2:$N$164,"")</x:f>
      </x:c>
      <x:c r="O26" t="str">
        <x:f>XLOOKUP($A26,'Specs'!$A$2:$A$164,'Specs'!$O$2:$O$164,"")</x:f>
      </x:c>
      <x:c r="P26" t="str">
        <x:f>XLOOKUP($A26,'Specs'!$A$2:$A$164,'Specs'!$P$2:$P$164,"")</x:f>
        <x:v>REVIEW</x:v>
      </x:c>
      <x:c r="Q26" s="53" t="n">
        <x:f>XLOOKUP($A26,'Specs'!$A$2:$A$164,'Specs'!$Q$2:$Q$164,"")</x:f>
        <x:v>1</x:v>
      </x:c>
      <x:c r="R26" s="53" t="n">
        <x:f>XLOOKUP($A26,'Specs'!$A$2:$A$164,'Specs'!$R$2:$R$164,"")</x:f>
        <x:v>1</x:v>
      </x:c>
      <x:c r="S26" t="str">
        <x:f>'Vendor Options'!A26</x:f>
        <x:v>OFFER-AF4D48371066</x:v>
      </x:c>
      <x:c r="T26" t="str">
        <x:f>'Vendor Options'!C26</x:f>
        <x:v>LCN</x:v>
      </x:c>
      <x:c r="U26" t="str">
        <x:f>'Vendor Options'!D26</x:f>
        <x:v>1460</x:v>
      </x:c>
      <x:c r="V26" t="str">
        <x:f>'Vendor Options'!E26</x:f>
        <x:v>1461 SCUSH</x:v>
      </x:c>
      <x:c r="W26" t="str">
        <x:f>'Vendor Options'!F26</x:f>
      </x:c>
      <x:c r="X26" t="str">
        <x:f>'Vendor Options'!G26</x:f>
        <x:v>1461-SCUSH-689</x:v>
      </x:c>
      <x:c r="Y26" t="str">
        <x:f>'Vendor Options'!H26</x:f>
        <x:v>1461-SCUSH-689</x:v>
      </x:c>
      <x:c r="Z26" t="n">
        <x:f>'Vendor Options'!I26</x:f>
        <x:v>0</x:v>
      </x:c>
      <x:c r="AA26" s="54" t="n">
        <x:f>'Vendor Options'!J26</x:f>
        <x:v>0</x:v>
      </x:c>
      <x:c r="AB26" t="n">
        <x:f>'Vendor Options'!K26</x:f>
        <x:v>0</x:v>
      </x:c>
      <x:c r="AC26" s="57" t="n">
        <x:f>'Vendor Options'!L26</x:f>
        <x:v>0</x:v>
      </x:c>
      <x:c r="AD26" s="57" t="n">
        <x:f>'Vendor Options'!M26</x:f>
        <x:v>0</x:v>
      </x:c>
      <x:c r="AE26" s="54" t="str">
        <x:f>'Vendor Options'!N26</x:f>
      </x:c>
      <x:c r="AF26" t="str">
        <x:f>'Vendor Options'!O26</x:f>
        <x:v>USD</x:v>
      </x:c>
      <x:c r="AG26" t="str">
        <x:f>'Vendor Options'!P26</x:f>
        <x:v>UNPRICED</x:v>
      </x:c>
      <x:c r="AH26" t="str">
        <x:f>'Vendor Options'!Q26</x:f>
        <x:v>REVIEW</x:v>
      </x:c>
      <x:c r="AI26" t="str">
        <x:f>'Vendor Options'!R26</x:f>
        <x:v>MISSING_PRICE; MISSING_REQUIRED_SPEC</x:v>
      </x:c>
      <x:c r="AJ26" t="n">
        <x:f>'Vendor Options'!S26</x:f>
        <x:v>73</x:v>
      </x:c>
    </x:row>
    <x:row r="27" ht="15" hidden="0" customHeight="1">
      <x:c r="A27" t="str">
        <x:f>'Vendor Options'!B27</x:f>
        <x:v>SPEC-7396E555AC12</x:v>
      </x:c>
      <x:c r="B27" t="str">
        <x:f>XLOOKUP($A27,'Specs'!$A$2:$A$164,'Specs'!$B$2:$B$164,"")</x:f>
        <x:v>CLOSER</x:v>
      </x:c>
      <x:c r="C27" t="str">
        <x:f>XLOOKUP($A27,'Specs'!$A$2:$A$164,'Specs'!$C$2:$C$164,"")</x:f>
        <x:v>SURFACE CLOSER</x:v>
      </x:c>
      <x:c r="D27" t="str">
        <x:f>XLOOKUP($A27,'Specs'!$A$2:$A$164,'Specs'!$D$2:$D$164,"")</x:f>
      </x:c>
      <x:c r="E27" t="str">
        <x:f>XLOOKUP($A27,'Specs'!$A$2:$A$164,'Specs'!$E$2:$E$164,"")</x:f>
        <x:v>DOOR CLOSER</x:v>
      </x:c>
      <x:c r="F27" t="str">
        <x:f>XLOOKUP($A27,'Specs'!$A$2:$A$164,'Specs'!$F$2:$F$164,"")</x:f>
        <x:v>NOT APPLICABLE</x:v>
      </x:c>
      <x:c r="G27" t="str">
        <x:f>XLOOKUP($A27,'Specs'!$A$2:$A$164,'Specs'!$G$2:$G$164,"")</x:f>
      </x:c>
      <x:c r="H27" t="str">
        <x:f>XLOOKUP($A27,'Specs'!$A$2:$A$164,'Specs'!$H$2:$H$164,"")</x:f>
      </x:c>
      <x:c r="I27" t="str">
        <x:f>XLOOKUP($A27,'Specs'!$A$2:$A$164,'Specs'!$I$2:$I$164,"")</x:f>
      </x:c>
      <x:c r="J27" t="str">
        <x:f>XLOOKUP($A27,'Specs'!$A$2:$A$164,'Specs'!$J$2:$J$164,"")</x:f>
        <x:v>REGULAR ARM</x:v>
      </x:c>
      <x:c r="K27" t="str">
        <x:f>XLOOKUP($A27,'Specs'!$A$2:$A$164,'Specs'!$K$2:$K$164,"")</x:f>
      </x:c>
      <x:c r="L27" t="str">
        <x:f>XLOOKUP($A27,'Specs'!$A$2:$A$164,'Specs'!$L$2:$L$164,"")</x:f>
      </x:c>
      <x:c r="M27" t="n">
        <x:f>XLOOKUP($A27,'Specs'!$A$2:$A$164,'Specs'!$M$2:$M$164,"")</x:f>
        <x:v>689</x:v>
      </x:c>
      <x:c r="N27" t="str">
        <x:f>XLOOKUP($A27,'Specs'!$A$2:$A$164,'Specs'!$N$2:$N$164,"")</x:f>
      </x:c>
      <x:c r="O27" t="str">
        <x:f>XLOOKUP($A27,'Specs'!$A$2:$A$164,'Specs'!$O$2:$O$164,"")</x:f>
      </x:c>
      <x:c r="P27" t="str">
        <x:f>XLOOKUP($A27,'Specs'!$A$2:$A$164,'Specs'!$P$2:$P$164,"")</x:f>
        <x:v>HIGH</x:v>
      </x:c>
      <x:c r="Q27" s="53" t="n">
        <x:f>XLOOKUP($A27,'Specs'!$A$2:$A$164,'Specs'!$Q$2:$Q$164,"")</x:f>
        <x:v>6</x:v>
      </x:c>
      <x:c r="R27" s="53" t="n">
        <x:f>XLOOKUP($A27,'Specs'!$A$2:$A$164,'Specs'!$R$2:$R$164,"")</x:f>
        <x:v>3</x:v>
      </x:c>
      <x:c r="S27" t="str">
        <x:f>'Vendor Options'!A27</x:f>
        <x:v>OFFER-4C0114C1DB0B</x:v>
      </x:c>
      <x:c r="T27" t="str">
        <x:f>'Vendor Options'!C27</x:f>
        <x:v>LCN</x:v>
      </x:c>
      <x:c r="U27" t="str">
        <x:f>'Vendor Options'!D27</x:f>
        <x:v>4040XP</x:v>
      </x:c>
      <x:c r="V27" t="str">
        <x:f>'Vendor Options'!E27</x:f>
        <x:v>4040XP STD ARM</x:v>
      </x:c>
      <x:c r="W27" t="str">
        <x:f>'Vendor Options'!F27</x:f>
      </x:c>
      <x:c r="X27" t="str">
        <x:f>'Vendor Options'!G27</x:f>
        <x:v>4040XP-RW/PA</x:v>
      </x:c>
      <x:c r="Y27" t="str">
        <x:f>'Vendor Options'!H27</x:f>
        <x:v>4040XP-RW/PA 689 TRIPAC</x:v>
      </x:c>
      <x:c r="Z27" t="n">
        <x:f>'Vendor Options'!I27</x:f>
        <x:v>0</x:v>
      </x:c>
      <x:c r="AA27" s="54" t="n">
        <x:f>'Vendor Options'!J27</x:f>
        <x:v>0</x:v>
      </x:c>
      <x:c r="AB27" t="n">
        <x:f>'Vendor Options'!K27</x:f>
        <x:v>0</x:v>
      </x:c>
      <x:c r="AC27" s="57" t="n">
        <x:f>'Vendor Options'!L27</x:f>
        <x:v>0</x:v>
      </x:c>
      <x:c r="AD27" s="57" t="n">
        <x:f>'Vendor Options'!M27</x:f>
        <x:v>0</x:v>
      </x:c>
      <x:c r="AE27" s="54" t="str">
        <x:f>'Vendor Options'!N27</x:f>
      </x:c>
      <x:c r="AF27" t="str">
        <x:f>'Vendor Options'!O27</x:f>
        <x:v>USD</x:v>
      </x:c>
      <x:c r="AG27" t="str">
        <x:f>'Vendor Options'!P27</x:f>
        <x:v>UNPRICED</x:v>
      </x:c>
      <x:c r="AH27" t="str">
        <x:f>'Vendor Options'!Q27</x:f>
        <x:v>ACTIVE</x:v>
      </x:c>
      <x:c r="AI27" t="str">
        <x:f>'Vendor Options'!R27</x:f>
        <x:v>MISSING_PRICE</x:v>
      </x:c>
      <x:c r="AJ27" t="n">
        <x:f>'Vendor Options'!S27</x:f>
        <x:v>74</x:v>
      </x:c>
    </x:row>
    <x:row r="28" ht="15" hidden="0" customHeight="1">
      <x:c r="A28" t="str">
        <x:f>'Vendor Options'!B28</x:f>
        <x:v>SPEC-F1DE3D632C62</x:v>
      </x:c>
      <x:c r="B28" t="str">
        <x:f>XLOOKUP($A28,'Specs'!$A$2:$A$164,'Specs'!$B$2:$B$164,"")</x:f>
        <x:v>CLOSER</x:v>
      </x:c>
      <x:c r="C28" t="str">
        <x:f>XLOOKUP($A28,'Specs'!$A$2:$A$164,'Specs'!$C$2:$C$164,"")</x:f>
        <x:v>SURFACE CLOSER</x:v>
      </x:c>
      <x:c r="D28" t="str">
        <x:f>XLOOKUP($A28,'Specs'!$A$2:$A$164,'Specs'!$D$2:$D$164,"")</x:f>
      </x:c>
      <x:c r="E28" t="str">
        <x:f>XLOOKUP($A28,'Specs'!$A$2:$A$164,'Specs'!$E$2:$E$164,"")</x:f>
        <x:v>DOOR CLOSER</x:v>
      </x:c>
      <x:c r="F28" t="str">
        <x:f>XLOOKUP($A28,'Specs'!$A$2:$A$164,'Specs'!$F$2:$F$164,"")</x:f>
        <x:v>NOT APPLICABLE</x:v>
      </x:c>
      <x:c r="G28" t="str">
        <x:f>XLOOKUP($A28,'Specs'!$A$2:$A$164,'Specs'!$G$2:$G$164,"")</x:f>
      </x:c>
      <x:c r="H28" t="str">
        <x:f>XLOOKUP($A28,'Specs'!$A$2:$A$164,'Specs'!$H$2:$H$164,"")</x:f>
      </x:c>
      <x:c r="I28" t="str">
        <x:f>XLOOKUP($A28,'Specs'!$A$2:$A$164,'Specs'!$I$2:$I$164,"")</x:f>
      </x:c>
      <x:c r="J28" t="str">
        <x:f>XLOOKUP($A28,'Specs'!$A$2:$A$164,'Specs'!$J$2:$J$164,"")</x:f>
        <x:v>HOLD OPEN ARM</x:v>
      </x:c>
      <x:c r="K28" t="str">
        <x:f>XLOOKUP($A28,'Specs'!$A$2:$A$164,'Specs'!$K$2:$K$164,"")</x:f>
      </x:c>
      <x:c r="L28" t="str">
        <x:f>XLOOKUP($A28,'Specs'!$A$2:$A$164,'Specs'!$L$2:$L$164,"")</x:f>
      </x:c>
      <x:c r="M28" t="n">
        <x:f>XLOOKUP($A28,'Specs'!$A$2:$A$164,'Specs'!$M$2:$M$164,"")</x:f>
        <x:v>689</x:v>
      </x:c>
      <x:c r="N28" t="str">
        <x:f>XLOOKUP($A28,'Specs'!$A$2:$A$164,'Specs'!$N$2:$N$164,"")</x:f>
      </x:c>
      <x:c r="O28" t="str">
        <x:f>XLOOKUP($A28,'Specs'!$A$2:$A$164,'Specs'!$O$2:$O$164,"")</x:f>
      </x:c>
      <x:c r="P28" t="str">
        <x:f>XLOOKUP($A28,'Specs'!$A$2:$A$164,'Specs'!$P$2:$P$164,"")</x:f>
        <x:v>HIGH</x:v>
      </x:c>
      <x:c r="Q28" s="53" t="n">
        <x:f>XLOOKUP($A28,'Specs'!$A$2:$A$164,'Specs'!$Q$2:$Q$164,"")</x:f>
        <x:v>2</x:v>
      </x:c>
      <x:c r="R28" s="53" t="n">
        <x:f>XLOOKUP($A28,'Specs'!$A$2:$A$164,'Specs'!$R$2:$R$164,"")</x:f>
        <x:v>1</x:v>
      </x:c>
      <x:c r="S28" t="str">
        <x:f>'Vendor Options'!A28</x:f>
        <x:v>OFFER-80560279FBC5</x:v>
      </x:c>
      <x:c r="T28" t="str">
        <x:f>'Vendor Options'!C28</x:f>
        <x:v>LCN</x:v>
      </x:c>
      <x:c r="U28" t="str">
        <x:f>'Vendor Options'!D28</x:f>
        <x:v>4040XP</x:v>
      </x:c>
      <x:c r="V28" t="str">
        <x:f>'Vendor Options'!E28</x:f>
        <x:v>4040XP HO ARM</x:v>
      </x:c>
      <x:c r="W28" t="str">
        <x:f>'Vendor Options'!F28</x:f>
      </x:c>
      <x:c r="X28" t="str">
        <x:f>'Vendor Options'!G28</x:f>
        <x:v>4040XP-3049-689</x:v>
      </x:c>
      <x:c r="Y28" t="str">
        <x:f>'Vendor Options'!H28</x:f>
        <x:v>4040XP-3049-689</x:v>
      </x:c>
      <x:c r="Z28" t="n">
        <x:f>'Vendor Options'!I28</x:f>
        <x:v>0</x:v>
      </x:c>
      <x:c r="AA28" s="54" t="n">
        <x:f>'Vendor Options'!J28</x:f>
        <x:v>0</x:v>
      </x:c>
      <x:c r="AB28" t="n">
        <x:f>'Vendor Options'!K28</x:f>
        <x:v>0</x:v>
      </x:c>
      <x:c r="AC28" s="57" t="n">
        <x:f>'Vendor Options'!L28</x:f>
        <x:v>0</x:v>
      </x:c>
      <x:c r="AD28" s="57" t="n">
        <x:f>'Vendor Options'!M28</x:f>
        <x:v>0</x:v>
      </x:c>
      <x:c r="AE28" s="54" t="str">
        <x:f>'Vendor Options'!N28</x:f>
      </x:c>
      <x:c r="AF28" t="str">
        <x:f>'Vendor Options'!O28</x:f>
        <x:v>USD</x:v>
      </x:c>
      <x:c r="AG28" t="str">
        <x:f>'Vendor Options'!P28</x:f>
        <x:v>UNPRICED</x:v>
      </x:c>
      <x:c r="AH28" t="str">
        <x:f>'Vendor Options'!Q28</x:f>
        <x:v>ACTIVE</x:v>
      </x:c>
      <x:c r="AI28" t="str">
        <x:f>'Vendor Options'!R28</x:f>
        <x:v>MISSING_PRICE</x:v>
      </x:c>
      <x:c r="AJ28" t="n">
        <x:f>'Vendor Options'!S28</x:f>
        <x:v>75</x:v>
      </x:c>
    </x:row>
    <x:row r="29" ht="15" hidden="0" customHeight="1">
      <x:c r="A29" t="str">
        <x:f>'Vendor Options'!B29</x:f>
        <x:v>SPEC-B3940214D4B6</x:v>
      </x:c>
      <x:c r="B29" t="str">
        <x:f>XLOOKUP($A29,'Specs'!$A$2:$A$164,'Specs'!$B$2:$B$164,"")</x:f>
        <x:v>CLOSER</x:v>
      </x:c>
      <x:c r="C29" t="str">
        <x:f>XLOOKUP($A29,'Specs'!$A$2:$A$164,'Specs'!$C$2:$C$164,"")</x:f>
        <x:v>SURFACE CLOSER</x:v>
      </x:c>
      <x:c r="D29" t="str">
        <x:f>XLOOKUP($A29,'Specs'!$A$2:$A$164,'Specs'!$D$2:$D$164,"")</x:f>
      </x:c>
      <x:c r="E29" t="str">
        <x:f>XLOOKUP($A29,'Specs'!$A$2:$A$164,'Specs'!$E$2:$E$164,"")</x:f>
        <x:v>DOOR CLOSER</x:v>
      </x:c>
      <x:c r="F29" t="str">
        <x:f>XLOOKUP($A29,'Specs'!$A$2:$A$164,'Specs'!$F$2:$F$164,"")</x:f>
        <x:v>NOT APPLICABLE</x:v>
      </x:c>
      <x:c r="G29" t="str">
        <x:f>XLOOKUP($A29,'Specs'!$A$2:$A$164,'Specs'!$G$2:$G$164,"")</x:f>
      </x:c>
      <x:c r="H29" t="str">
        <x:f>XLOOKUP($A29,'Specs'!$A$2:$A$164,'Specs'!$H$2:$H$164,"")</x:f>
      </x:c>
      <x:c r="I29" t="str">
        <x:f>XLOOKUP($A29,'Specs'!$A$2:$A$164,'Specs'!$I$2:$I$164,"")</x:f>
      </x:c>
      <x:c r="J29" t="str">
        <x:f>XLOOKUP($A29,'Specs'!$A$2:$A$164,'Specs'!$J$2:$J$164,"")</x:f>
      </x:c>
      <x:c r="K29" t="str">
        <x:f>XLOOKUP($A29,'Specs'!$A$2:$A$164,'Specs'!$K$2:$K$164,"")</x:f>
      </x:c>
      <x:c r="L29" t="str">
        <x:f>XLOOKUP($A29,'Specs'!$A$2:$A$164,'Specs'!$L$2:$L$164,"")</x:f>
      </x:c>
      <x:c r="M29" t="n">
        <x:f>XLOOKUP($A29,'Specs'!$A$2:$A$164,'Specs'!$M$2:$M$164,"")</x:f>
        <x:v>689</x:v>
      </x:c>
      <x:c r="N29" t="str">
        <x:f>XLOOKUP($A29,'Specs'!$A$2:$A$164,'Specs'!$N$2:$N$164,"")</x:f>
      </x:c>
      <x:c r="O29" t="str">
        <x:f>XLOOKUP($A29,'Specs'!$A$2:$A$164,'Specs'!$O$2:$O$164,"")</x:f>
      </x:c>
      <x:c r="P29" t="str">
        <x:f>XLOOKUP($A29,'Specs'!$A$2:$A$164,'Specs'!$P$2:$P$164,"")</x:f>
        <x:v>REVIEW</x:v>
      </x:c>
      <x:c r="Q29" s="53" t="n">
        <x:f>XLOOKUP($A29,'Specs'!$A$2:$A$164,'Specs'!$Q$2:$Q$164,"")</x:f>
        <x:v>1</x:v>
      </x:c>
      <x:c r="R29" s="53" t="n">
        <x:f>XLOOKUP($A29,'Specs'!$A$2:$A$164,'Specs'!$R$2:$R$164,"")</x:f>
        <x:v>1</x:v>
      </x:c>
      <x:c r="S29" t="str">
        <x:f>'Vendor Options'!A29</x:f>
        <x:v>OFFER-C74C7E492CFD</x:v>
      </x:c>
      <x:c r="T29" t="str">
        <x:f>'Vendor Options'!C29</x:f>
        <x:v>LCN</x:v>
      </x:c>
      <x:c r="U29" t="str">
        <x:f>'Vendor Options'!D29</x:f>
        <x:v>4040XP</x:v>
      </x:c>
      <x:c r="V29" t="str">
        <x:f>'Vendor Options'!E29</x:f>
        <x:v>4040XP CUSH</x:v>
      </x:c>
      <x:c r="W29" t="str">
        <x:f>'Vendor Options'!F29</x:f>
      </x:c>
      <x:c r="X29" t="str">
        <x:f>'Vendor Options'!G29</x:f>
        <x:v>4040XP-CUSH-689</x:v>
      </x:c>
      <x:c r="Y29" t="str">
        <x:f>'Vendor Options'!H29</x:f>
        <x:v>4040XP-CUSH-689</x:v>
      </x:c>
      <x:c r="Z29" t="n">
        <x:f>'Vendor Options'!I29</x:f>
        <x:v>0</x:v>
      </x:c>
      <x:c r="AA29" s="54" t="n">
        <x:f>'Vendor Options'!J29</x:f>
        <x:v>0</x:v>
      </x:c>
      <x:c r="AB29" t="n">
        <x:f>'Vendor Options'!K29</x:f>
        <x:v>0</x:v>
      </x:c>
      <x:c r="AC29" s="57" t="n">
        <x:f>'Vendor Options'!L29</x:f>
        <x:v>0</x:v>
      </x:c>
      <x:c r="AD29" s="57" t="n">
        <x:f>'Vendor Options'!M29</x:f>
        <x:v>0</x:v>
      </x:c>
      <x:c r="AE29" s="54" t="str">
        <x:f>'Vendor Options'!N29</x:f>
      </x:c>
      <x:c r="AF29" t="str">
        <x:f>'Vendor Options'!O29</x:f>
        <x:v>USD</x:v>
      </x:c>
      <x:c r="AG29" t="str">
        <x:f>'Vendor Options'!P29</x:f>
        <x:v>UNPRICED</x:v>
      </x:c>
      <x:c r="AH29" t="str">
        <x:f>'Vendor Options'!Q29</x:f>
        <x:v>REVIEW</x:v>
      </x:c>
      <x:c r="AI29" t="str">
        <x:f>'Vendor Options'!R29</x:f>
        <x:v>MISSING_PRICE; MISSING_REQUIRED_SPEC</x:v>
      </x:c>
      <x:c r="AJ29" t="n">
        <x:f>'Vendor Options'!S29</x:f>
        <x:v>76</x:v>
      </x:c>
    </x:row>
    <x:row r="30" ht="15" hidden="0" customHeight="1">
      <x:c r="A30" t="str">
        <x:f>'Vendor Options'!B30</x:f>
        <x:v>SPEC-E61CB9AEB56F</x:v>
      </x:c>
      <x:c r="B30" t="str">
        <x:f>XLOOKUP($A30,'Specs'!$A$2:$A$164,'Specs'!$B$2:$B$164,"")</x:f>
        <x:v>CLOSER</x:v>
      </x:c>
      <x:c r="C30" t="str">
        <x:f>XLOOKUP($A30,'Specs'!$A$2:$A$164,'Specs'!$C$2:$C$164,"")</x:f>
        <x:v>SURFACE CLOSER</x:v>
      </x:c>
      <x:c r="D30" t="str">
        <x:f>XLOOKUP($A30,'Specs'!$A$2:$A$164,'Specs'!$D$2:$D$164,"")</x:f>
      </x:c>
      <x:c r="E30" t="str">
        <x:f>XLOOKUP($A30,'Specs'!$A$2:$A$164,'Specs'!$E$2:$E$164,"")</x:f>
        <x:v>DOOR CLOSER</x:v>
      </x:c>
      <x:c r="F30" t="str">
        <x:f>XLOOKUP($A30,'Specs'!$A$2:$A$164,'Specs'!$F$2:$F$164,"")</x:f>
        <x:v>NOT APPLICABLE</x:v>
      </x:c>
      <x:c r="G30" t="str">
        <x:f>XLOOKUP($A30,'Specs'!$A$2:$A$164,'Specs'!$G$2:$G$164,"")</x:f>
      </x:c>
      <x:c r="H30" t="str">
        <x:f>XLOOKUP($A30,'Specs'!$A$2:$A$164,'Specs'!$H$2:$H$164,"")</x:f>
      </x:c>
      <x:c r="I30" t="str">
        <x:f>XLOOKUP($A30,'Specs'!$A$2:$A$164,'Specs'!$I$2:$I$164,"")</x:f>
      </x:c>
      <x:c r="J30" t="str">
        <x:f>XLOOKUP($A30,'Specs'!$A$2:$A$164,'Specs'!$J$2:$J$164,"")</x:f>
        <x:v>HOLD OPEN CUSHION</x:v>
      </x:c>
      <x:c r="K30" t="str">
        <x:f>XLOOKUP($A30,'Specs'!$A$2:$A$164,'Specs'!$K$2:$K$164,"")</x:f>
      </x:c>
      <x:c r="L30" t="str">
        <x:f>XLOOKUP($A30,'Specs'!$A$2:$A$164,'Specs'!$L$2:$L$164,"")</x:f>
      </x:c>
      <x:c r="M30" t="n">
        <x:f>XLOOKUP($A30,'Specs'!$A$2:$A$164,'Specs'!$M$2:$M$164,"")</x:f>
        <x:v>689</x:v>
      </x:c>
      <x:c r="N30" t="str">
        <x:f>XLOOKUP($A30,'Specs'!$A$2:$A$164,'Specs'!$N$2:$N$164,"")</x:f>
      </x:c>
      <x:c r="O30" t="str">
        <x:f>XLOOKUP($A30,'Specs'!$A$2:$A$164,'Specs'!$O$2:$O$164,"")</x:f>
      </x:c>
      <x:c r="P30" t="str">
        <x:f>XLOOKUP($A30,'Specs'!$A$2:$A$164,'Specs'!$P$2:$P$164,"")</x:f>
        <x:v>HIGH</x:v>
      </x:c>
      <x:c r="Q30" s="53" t="n">
        <x:f>XLOOKUP($A30,'Specs'!$A$2:$A$164,'Specs'!$Q$2:$Q$164,"")</x:f>
        <x:v>2</x:v>
      </x:c>
      <x:c r="R30" s="53" t="n">
        <x:f>XLOOKUP($A30,'Specs'!$A$2:$A$164,'Specs'!$R$2:$R$164,"")</x:f>
        <x:v>1</x:v>
      </x:c>
      <x:c r="S30" t="str">
        <x:f>'Vendor Options'!A30</x:f>
        <x:v>OFFER-122D3EC55856</x:v>
      </x:c>
      <x:c r="T30" t="str">
        <x:f>'Vendor Options'!C30</x:f>
        <x:v>LCN</x:v>
      </x:c>
      <x:c r="U30" t="str">
        <x:f>'Vendor Options'!D30</x:f>
        <x:v>4040XP</x:v>
      </x:c>
      <x:c r="V30" t="str">
        <x:f>'Vendor Options'!E30</x:f>
        <x:v>4040XP-HO CUSH</x:v>
      </x:c>
      <x:c r="W30" t="str">
        <x:f>'Vendor Options'!F30</x:f>
      </x:c>
      <x:c r="X30" t="str">
        <x:f>'Vendor Options'!G30</x:f>
        <x:v>4040XP-HCUSH-689</x:v>
      </x:c>
      <x:c r="Y30" t="str">
        <x:f>'Vendor Options'!H30</x:f>
        <x:v>4040XP-HCUSH-689</x:v>
      </x:c>
      <x:c r="Z30" t="n">
        <x:f>'Vendor Options'!I30</x:f>
        <x:v>0</x:v>
      </x:c>
      <x:c r="AA30" s="54" t="n">
        <x:f>'Vendor Options'!J30</x:f>
        <x:v>0</x:v>
      </x:c>
      <x:c r="AB30" t="n">
        <x:f>'Vendor Options'!K30</x:f>
        <x:v>0</x:v>
      </x:c>
      <x:c r="AC30" s="57" t="n">
        <x:f>'Vendor Options'!L30</x:f>
        <x:v>0</x:v>
      </x:c>
      <x:c r="AD30" s="57" t="n">
        <x:f>'Vendor Options'!M30</x:f>
        <x:v>0</x:v>
      </x:c>
      <x:c r="AE30" s="54" t="str">
        <x:f>'Vendor Options'!N30</x:f>
      </x:c>
      <x:c r="AF30" t="str">
        <x:f>'Vendor Options'!O30</x:f>
        <x:v>USD</x:v>
      </x:c>
      <x:c r="AG30" t="str">
        <x:f>'Vendor Options'!P30</x:f>
        <x:v>UNPRICED</x:v>
      </x:c>
      <x:c r="AH30" t="str">
        <x:f>'Vendor Options'!Q30</x:f>
        <x:v>ACTIVE</x:v>
      </x:c>
      <x:c r="AI30" t="str">
        <x:f>'Vendor Options'!R30</x:f>
        <x:v>MISSING_PRICE</x:v>
      </x:c>
      <x:c r="AJ30" t="n">
        <x:f>'Vendor Options'!S30</x:f>
        <x:v>77</x:v>
      </x:c>
    </x:row>
    <x:row r="31" ht="15" hidden="0" customHeight="1">
      <x:c r="A31" t="str">
        <x:f>'Vendor Options'!B31</x:f>
        <x:v>SPEC-2F178D1F8472</x:v>
      </x:c>
      <x:c r="B31" t="str">
        <x:f>XLOOKUP($A31,'Specs'!$A$2:$A$164,'Specs'!$B$2:$B$164,"")</x:f>
        <x:v>CLOSER</x:v>
      </x:c>
      <x:c r="C31" t="str">
        <x:f>XLOOKUP($A31,'Specs'!$A$2:$A$164,'Specs'!$C$2:$C$164,"")</x:f>
        <x:v>SURFACE CLOSER</x:v>
      </x:c>
      <x:c r="D31" t="str">
        <x:f>XLOOKUP($A31,'Specs'!$A$2:$A$164,'Specs'!$D$2:$D$164,"")</x:f>
      </x:c>
      <x:c r="E31" t="str">
        <x:f>XLOOKUP($A31,'Specs'!$A$2:$A$164,'Specs'!$E$2:$E$164,"")</x:f>
        <x:v>DOOR CLOSER</x:v>
      </x:c>
      <x:c r="F31" t="str">
        <x:f>XLOOKUP($A31,'Specs'!$A$2:$A$164,'Specs'!$F$2:$F$164,"")</x:f>
        <x:v>NOT APPLICABLE</x:v>
      </x:c>
      <x:c r="G31" t="str">
        <x:f>XLOOKUP($A31,'Specs'!$A$2:$A$164,'Specs'!$G$2:$G$164,"")</x:f>
      </x:c>
      <x:c r="H31" t="str">
        <x:f>XLOOKUP($A31,'Specs'!$A$2:$A$164,'Specs'!$H$2:$H$164,"")</x:f>
      </x:c>
      <x:c r="I31" t="str">
        <x:f>XLOOKUP($A31,'Specs'!$A$2:$A$164,'Specs'!$I$2:$I$164,"")</x:f>
      </x:c>
      <x:c r="J31" t="str">
        <x:f>XLOOKUP($A31,'Specs'!$A$2:$A$164,'Specs'!$J$2:$J$164,"")</x:f>
        <x:v>HOLD OPEN SPRING CUSHION</x:v>
      </x:c>
      <x:c r="K31" t="str">
        <x:f>XLOOKUP($A31,'Specs'!$A$2:$A$164,'Specs'!$K$2:$K$164,"")</x:f>
      </x:c>
      <x:c r="L31" t="str">
        <x:f>XLOOKUP($A31,'Specs'!$A$2:$A$164,'Specs'!$L$2:$L$164,"")</x:f>
      </x:c>
      <x:c r="M31" t="n">
        <x:f>XLOOKUP($A31,'Specs'!$A$2:$A$164,'Specs'!$M$2:$M$164,"")</x:f>
        <x:v>689</x:v>
      </x:c>
      <x:c r="N31" t="str">
        <x:f>XLOOKUP($A31,'Specs'!$A$2:$A$164,'Specs'!$N$2:$N$164,"")</x:f>
      </x:c>
      <x:c r="O31" t="str">
        <x:f>XLOOKUP($A31,'Specs'!$A$2:$A$164,'Specs'!$O$2:$O$164,"")</x:f>
      </x:c>
      <x:c r="P31" t="str">
        <x:f>XLOOKUP($A31,'Specs'!$A$2:$A$164,'Specs'!$P$2:$P$164,"")</x:f>
        <x:v>HIGH</x:v>
      </x:c>
      <x:c r="Q31" s="53" t="n">
        <x:f>XLOOKUP($A31,'Specs'!$A$2:$A$164,'Specs'!$Q$2:$Q$164,"")</x:f>
        <x:v>1</x:v>
      </x:c>
      <x:c r="R31" s="53" t="n">
        <x:f>XLOOKUP($A31,'Specs'!$A$2:$A$164,'Specs'!$R$2:$R$164,"")</x:f>
        <x:v>1</x:v>
      </x:c>
      <x:c r="S31" t="str">
        <x:f>'Vendor Options'!A31</x:f>
        <x:v>OFFER-376F4B8FC259</x:v>
      </x:c>
      <x:c r="T31" t="str">
        <x:f>'Vendor Options'!C31</x:f>
        <x:v>LCN</x:v>
      </x:c>
      <x:c r="U31" t="str">
        <x:f>'Vendor Options'!D31</x:f>
        <x:v>4040XP</x:v>
      </x:c>
      <x:c r="V31" t="str">
        <x:f>'Vendor Options'!E31</x:f>
        <x:v>4040XP HO SPRING CUSH</x:v>
      </x:c>
      <x:c r="W31" t="str">
        <x:f>'Vendor Options'!F31</x:f>
      </x:c>
      <x:c r="X31" t="str">
        <x:f>'Vendor Options'!G31</x:f>
        <x:v>4040XP-SHCUSH-689</x:v>
      </x:c>
      <x:c r="Y31" t="str">
        <x:f>'Vendor Options'!H31</x:f>
        <x:v>4040XP-SHCUSH-689</x:v>
      </x:c>
      <x:c r="Z31" t="n">
        <x:f>'Vendor Options'!I31</x:f>
        <x:v>0</x:v>
      </x:c>
      <x:c r="AA31" s="54" t="n">
        <x:f>'Vendor Options'!J31</x:f>
        <x:v>0</x:v>
      </x:c>
      <x:c r="AB31" t="n">
        <x:f>'Vendor Options'!K31</x:f>
        <x:v>0</x:v>
      </x:c>
      <x:c r="AC31" s="57" t="n">
        <x:f>'Vendor Options'!L31</x:f>
        <x:v>0</x:v>
      </x:c>
      <x:c r="AD31" s="57" t="n">
        <x:f>'Vendor Options'!M31</x:f>
        <x:v>0</x:v>
      </x:c>
      <x:c r="AE31" s="54" t="str">
        <x:f>'Vendor Options'!N31</x:f>
      </x:c>
      <x:c r="AF31" t="str">
        <x:f>'Vendor Options'!O31</x:f>
        <x:v>USD</x:v>
      </x:c>
      <x:c r="AG31" t="str">
        <x:f>'Vendor Options'!P31</x:f>
        <x:v>UNPRICED</x:v>
      </x:c>
      <x:c r="AH31" t="str">
        <x:f>'Vendor Options'!Q31</x:f>
        <x:v>ACTIVE</x:v>
      </x:c>
      <x:c r="AI31" t="str">
        <x:f>'Vendor Options'!R31</x:f>
        <x:v>MISSING_PRICE</x:v>
      </x:c>
      <x:c r="AJ31" t="n">
        <x:f>'Vendor Options'!S31</x:f>
        <x:v>78</x:v>
      </x:c>
    </x:row>
    <x:row r="32" ht="15" hidden="0" customHeight="1">
      <x:c r="A32" t="str">
        <x:f>'Vendor Options'!B32</x:f>
        <x:v>SPEC-7396E555AC12</x:v>
      </x:c>
      <x:c r="B32" t="str">
        <x:f>XLOOKUP($A32,'Specs'!$A$2:$A$164,'Specs'!$B$2:$B$164,"")</x:f>
        <x:v>CLOSER</x:v>
      </x:c>
      <x:c r="C32" t="str">
        <x:f>XLOOKUP($A32,'Specs'!$A$2:$A$164,'Specs'!$C$2:$C$164,"")</x:f>
        <x:v>SURFACE CLOSER</x:v>
      </x:c>
      <x:c r="D32" t="str">
        <x:f>XLOOKUP($A32,'Specs'!$A$2:$A$164,'Specs'!$D$2:$D$164,"")</x:f>
      </x:c>
      <x:c r="E32" t="str">
        <x:f>XLOOKUP($A32,'Specs'!$A$2:$A$164,'Specs'!$E$2:$E$164,"")</x:f>
        <x:v>DOOR CLOSER</x:v>
      </x:c>
      <x:c r="F32" t="str">
        <x:f>XLOOKUP($A32,'Specs'!$A$2:$A$164,'Specs'!$F$2:$F$164,"")</x:f>
        <x:v>NOT APPLICABLE</x:v>
      </x:c>
      <x:c r="G32" t="str">
        <x:f>XLOOKUP($A32,'Specs'!$A$2:$A$164,'Specs'!$G$2:$G$164,"")</x:f>
      </x:c>
      <x:c r="H32" t="str">
        <x:f>XLOOKUP($A32,'Specs'!$A$2:$A$164,'Specs'!$H$2:$H$164,"")</x:f>
      </x:c>
      <x:c r="I32" t="str">
        <x:f>XLOOKUP($A32,'Specs'!$A$2:$A$164,'Specs'!$I$2:$I$164,"")</x:f>
      </x:c>
      <x:c r="J32" t="str">
        <x:f>XLOOKUP($A32,'Specs'!$A$2:$A$164,'Specs'!$J$2:$J$164,"")</x:f>
        <x:v>REGULAR ARM</x:v>
      </x:c>
      <x:c r="K32" t="str">
        <x:f>XLOOKUP($A32,'Specs'!$A$2:$A$164,'Specs'!$K$2:$K$164,"")</x:f>
      </x:c>
      <x:c r="L32" t="str">
        <x:f>XLOOKUP($A32,'Specs'!$A$2:$A$164,'Specs'!$L$2:$L$164,"")</x:f>
      </x:c>
      <x:c r="M32" t="n">
        <x:f>XLOOKUP($A32,'Specs'!$A$2:$A$164,'Specs'!$M$2:$M$164,"")</x:f>
        <x:v>689</x:v>
      </x:c>
      <x:c r="N32" t="str">
        <x:f>XLOOKUP($A32,'Specs'!$A$2:$A$164,'Specs'!$N$2:$N$164,"")</x:f>
      </x:c>
      <x:c r="O32" t="str">
        <x:f>XLOOKUP($A32,'Specs'!$A$2:$A$164,'Specs'!$O$2:$O$164,"")</x:f>
      </x:c>
      <x:c r="P32" t="str">
        <x:f>XLOOKUP($A32,'Specs'!$A$2:$A$164,'Specs'!$P$2:$P$164,"")</x:f>
        <x:v>HIGH</x:v>
      </x:c>
      <x:c r="Q32" s="53" t="n">
        <x:f>XLOOKUP($A32,'Specs'!$A$2:$A$164,'Specs'!$Q$2:$Q$164,"")</x:f>
        <x:v>6</x:v>
      </x:c>
      <x:c r="R32" s="53" t="n">
        <x:f>XLOOKUP($A32,'Specs'!$A$2:$A$164,'Specs'!$R$2:$R$164,"")</x:f>
        <x:v>3</x:v>
      </x:c>
      <x:c r="S32" t="str">
        <x:f>'Vendor Options'!A32</x:f>
        <x:v>OFFER-5E140B60C1AC</x:v>
      </x:c>
      <x:c r="T32" t="str">
        <x:f>'Vendor Options'!C32</x:f>
        <x:v>NOR</x:v>
      </x:c>
      <x:c r="U32" t="str">
        <x:f>'Vendor Options'!D32</x:f>
        <x:v>1601</x:v>
      </x:c>
      <x:c r="V32" t="str">
        <x:f>'Vendor Options'!E32</x:f>
        <x:v>1601</x:v>
      </x:c>
      <x:c r="W32" t="str">
        <x:f>'Vendor Options'!F32</x:f>
      </x:c>
      <x:c r="X32" t="str">
        <x:f>'Vendor Options'!G32</x:f>
        <x:v>1601-689</x:v>
      </x:c>
      <x:c r="Y32" t="str">
        <x:f>'Vendor Options'!H32</x:f>
        <x:v>1601-689 (DH 116)</x:v>
      </x:c>
      <x:c r="Z32" t="n">
        <x:f>'Vendor Options'!I32</x:f>
        <x:v>0</x:v>
      </x:c>
      <x:c r="AA32" s="54" t="n">
        <x:f>'Vendor Options'!J32</x:f>
        <x:v>0</x:v>
      </x:c>
      <x:c r="AB32" t="n">
        <x:f>'Vendor Options'!K32</x:f>
        <x:v>0</x:v>
      </x:c>
      <x:c r="AC32" s="57" t="n">
        <x:f>'Vendor Options'!L32</x:f>
        <x:v>0</x:v>
      </x:c>
      <x:c r="AD32" s="57" t="n">
        <x:f>'Vendor Options'!M32</x:f>
        <x:v>0</x:v>
      </x:c>
      <x:c r="AE32" s="54" t="str">
        <x:f>'Vendor Options'!N32</x:f>
      </x:c>
      <x:c r="AF32" t="str">
        <x:f>'Vendor Options'!O32</x:f>
        <x:v>USD</x:v>
      </x:c>
      <x:c r="AG32" t="str">
        <x:f>'Vendor Options'!P32</x:f>
        <x:v>UNPRICED</x:v>
      </x:c>
      <x:c r="AH32" t="str">
        <x:f>'Vendor Options'!Q32</x:f>
        <x:v>ACTIVE</x:v>
      </x:c>
      <x:c r="AI32" t="str">
        <x:f>'Vendor Options'!R32</x:f>
        <x:v>MISSING_PRICE</x:v>
      </x:c>
      <x:c r="AJ32" t="n">
        <x:f>'Vendor Options'!S32</x:f>
        <x:v>82</x:v>
      </x:c>
    </x:row>
    <x:row r="33" ht="15" hidden="0" customHeight="1">
      <x:c r="A33" t="str">
        <x:f>'Vendor Options'!B33</x:f>
        <x:v>SPEC-7396E555AC12</x:v>
      </x:c>
      <x:c r="B33" t="str">
        <x:f>XLOOKUP($A33,'Specs'!$A$2:$A$164,'Specs'!$B$2:$B$164,"")</x:f>
        <x:v>CLOSER</x:v>
      </x:c>
      <x:c r="C33" t="str">
        <x:f>XLOOKUP($A33,'Specs'!$A$2:$A$164,'Specs'!$C$2:$C$164,"")</x:f>
        <x:v>SURFACE CLOSER</x:v>
      </x:c>
      <x:c r="D33" t="str">
        <x:f>XLOOKUP($A33,'Specs'!$A$2:$A$164,'Specs'!$D$2:$D$164,"")</x:f>
      </x:c>
      <x:c r="E33" t="str">
        <x:f>XLOOKUP($A33,'Specs'!$A$2:$A$164,'Specs'!$E$2:$E$164,"")</x:f>
        <x:v>DOOR CLOSER</x:v>
      </x:c>
      <x:c r="F33" t="str">
        <x:f>XLOOKUP($A33,'Specs'!$A$2:$A$164,'Specs'!$F$2:$F$164,"")</x:f>
        <x:v>NOT APPLICABLE</x:v>
      </x:c>
      <x:c r="G33" t="str">
        <x:f>XLOOKUP($A33,'Specs'!$A$2:$A$164,'Specs'!$G$2:$G$164,"")</x:f>
      </x:c>
      <x:c r="H33" t="str">
        <x:f>XLOOKUP($A33,'Specs'!$A$2:$A$164,'Specs'!$H$2:$H$164,"")</x:f>
      </x:c>
      <x:c r="I33" t="str">
        <x:f>XLOOKUP($A33,'Specs'!$A$2:$A$164,'Specs'!$I$2:$I$164,"")</x:f>
      </x:c>
      <x:c r="J33" t="str">
        <x:f>XLOOKUP($A33,'Specs'!$A$2:$A$164,'Specs'!$J$2:$J$164,"")</x:f>
        <x:v>REGULAR ARM</x:v>
      </x:c>
      <x:c r="K33" t="str">
        <x:f>XLOOKUP($A33,'Specs'!$A$2:$A$164,'Specs'!$K$2:$K$164,"")</x:f>
      </x:c>
      <x:c r="L33" t="str">
        <x:f>XLOOKUP($A33,'Specs'!$A$2:$A$164,'Specs'!$L$2:$L$164,"")</x:f>
      </x:c>
      <x:c r="M33" t="n">
        <x:f>XLOOKUP($A33,'Specs'!$A$2:$A$164,'Specs'!$M$2:$M$164,"")</x:f>
        <x:v>689</x:v>
      </x:c>
      <x:c r="N33" t="str">
        <x:f>XLOOKUP($A33,'Specs'!$A$2:$A$164,'Specs'!$N$2:$N$164,"")</x:f>
      </x:c>
      <x:c r="O33" t="str">
        <x:f>XLOOKUP($A33,'Specs'!$A$2:$A$164,'Specs'!$O$2:$O$164,"")</x:f>
      </x:c>
      <x:c r="P33" t="str">
        <x:f>XLOOKUP($A33,'Specs'!$A$2:$A$164,'Specs'!$P$2:$P$164,"")</x:f>
        <x:v>HIGH</x:v>
      </x:c>
      <x:c r="Q33" s="53" t="n">
        <x:f>XLOOKUP($A33,'Specs'!$A$2:$A$164,'Specs'!$Q$2:$Q$164,"")</x:f>
        <x:v>6</x:v>
      </x:c>
      <x:c r="R33" s="53" t="n">
        <x:f>XLOOKUP($A33,'Specs'!$A$2:$A$164,'Specs'!$R$2:$R$164,"")</x:f>
        <x:v>3</x:v>
      </x:c>
      <x:c r="S33" t="str">
        <x:f>'Vendor Options'!A33</x:f>
        <x:v>OFFER-0A4062C3081C</x:v>
      </x:c>
      <x:c r="T33" t="str">
        <x:f>'Vendor Options'!C33</x:f>
        <x:v>NOR</x:v>
      </x:c>
      <x:c r="U33" t="str">
        <x:f>'Vendor Options'!D33</x:f>
        <x:v>8501</x:v>
      </x:c>
      <x:c r="V33" t="str">
        <x:f>'Vendor Options'!E33</x:f>
        <x:v>8501</x:v>
      </x:c>
      <x:c r="W33" t="str">
        <x:f>'Vendor Options'!F33</x:f>
      </x:c>
      <x:c r="X33" t="str">
        <x:f>'Vendor Options'!G33</x:f>
        <x:v>8501-689</x:v>
      </x:c>
      <x:c r="Y33" t="str">
        <x:f>'Vendor Options'!H33</x:f>
        <x:v>8501-689 (DH 316)</x:v>
      </x:c>
      <x:c r="Z33" t="n">
        <x:f>'Vendor Options'!I33</x:f>
        <x:v>0</x:v>
      </x:c>
      <x:c r="AA33" s="54" t="n">
        <x:f>'Vendor Options'!J33</x:f>
        <x:v>0</x:v>
      </x:c>
      <x:c r="AB33" t="n">
        <x:f>'Vendor Options'!K33</x:f>
        <x:v>0</x:v>
      </x:c>
      <x:c r="AC33" s="57" t="n">
        <x:f>'Vendor Options'!L33</x:f>
        <x:v>0</x:v>
      </x:c>
      <x:c r="AD33" s="57" t="n">
        <x:f>'Vendor Options'!M33</x:f>
        <x:v>0</x:v>
      </x:c>
      <x:c r="AE33" s="54" t="str">
        <x:f>'Vendor Options'!N33</x:f>
      </x:c>
      <x:c r="AF33" t="str">
        <x:f>'Vendor Options'!O33</x:f>
        <x:v>USD</x:v>
      </x:c>
      <x:c r="AG33" t="str">
        <x:f>'Vendor Options'!P33</x:f>
        <x:v>UNPRICED</x:v>
      </x:c>
      <x:c r="AH33" t="str">
        <x:f>'Vendor Options'!Q33</x:f>
        <x:v>ACTIVE</x:v>
      </x:c>
      <x:c r="AI33" t="str">
        <x:f>'Vendor Options'!R33</x:f>
        <x:v>MISSING_PRICE</x:v>
      </x:c>
      <x:c r="AJ33" t="n">
        <x:f>'Vendor Options'!S33</x:f>
        <x:v>83</x:v>
      </x:c>
    </x:row>
    <x:row r="34" ht="15" hidden="0" customHeight="1">
      <x:c r="A34" t="str">
        <x:f>'Vendor Options'!B34</x:f>
        <x:v>SPEC-7396E555AC12</x:v>
      </x:c>
      <x:c r="B34" t="str">
        <x:f>XLOOKUP($A34,'Specs'!$A$2:$A$164,'Specs'!$B$2:$B$164,"")</x:f>
        <x:v>CLOSER</x:v>
      </x:c>
      <x:c r="C34" t="str">
        <x:f>XLOOKUP($A34,'Specs'!$A$2:$A$164,'Specs'!$C$2:$C$164,"")</x:f>
        <x:v>SURFACE CLOSER</x:v>
      </x:c>
      <x:c r="D34" t="str">
        <x:f>XLOOKUP($A34,'Specs'!$A$2:$A$164,'Specs'!$D$2:$D$164,"")</x:f>
      </x:c>
      <x:c r="E34" t="str">
        <x:f>XLOOKUP($A34,'Specs'!$A$2:$A$164,'Specs'!$E$2:$E$164,"")</x:f>
        <x:v>DOOR CLOSER</x:v>
      </x:c>
      <x:c r="F34" t="str">
        <x:f>XLOOKUP($A34,'Specs'!$A$2:$A$164,'Specs'!$F$2:$F$164,"")</x:f>
        <x:v>NOT APPLICABLE</x:v>
      </x:c>
      <x:c r="G34" t="str">
        <x:f>XLOOKUP($A34,'Specs'!$A$2:$A$164,'Specs'!$G$2:$G$164,"")</x:f>
      </x:c>
      <x:c r="H34" t="str">
        <x:f>XLOOKUP($A34,'Specs'!$A$2:$A$164,'Specs'!$H$2:$H$164,"")</x:f>
      </x:c>
      <x:c r="I34" t="str">
        <x:f>XLOOKUP($A34,'Specs'!$A$2:$A$164,'Specs'!$I$2:$I$164,"")</x:f>
      </x:c>
      <x:c r="J34" t="str">
        <x:f>XLOOKUP($A34,'Specs'!$A$2:$A$164,'Specs'!$J$2:$J$164,"")</x:f>
        <x:v>REGULAR ARM</x:v>
      </x:c>
      <x:c r="K34" t="str">
        <x:f>XLOOKUP($A34,'Specs'!$A$2:$A$164,'Specs'!$K$2:$K$164,"")</x:f>
      </x:c>
      <x:c r="L34" t="str">
        <x:f>XLOOKUP($A34,'Specs'!$A$2:$A$164,'Specs'!$L$2:$L$164,"")</x:f>
      </x:c>
      <x:c r="M34" t="n">
        <x:f>XLOOKUP($A34,'Specs'!$A$2:$A$164,'Specs'!$M$2:$M$164,"")</x:f>
        <x:v>689</x:v>
      </x:c>
      <x:c r="N34" t="str">
        <x:f>XLOOKUP($A34,'Specs'!$A$2:$A$164,'Specs'!$N$2:$N$164,"")</x:f>
      </x:c>
      <x:c r="O34" t="str">
        <x:f>XLOOKUP($A34,'Specs'!$A$2:$A$164,'Specs'!$O$2:$O$164,"")</x:f>
      </x:c>
      <x:c r="P34" t="str">
        <x:f>XLOOKUP($A34,'Specs'!$A$2:$A$164,'Specs'!$P$2:$P$164,"")</x:f>
        <x:v>HIGH</x:v>
      </x:c>
      <x:c r="Q34" s="53" t="n">
        <x:f>XLOOKUP($A34,'Specs'!$A$2:$A$164,'Specs'!$Q$2:$Q$164,"")</x:f>
        <x:v>6</x:v>
      </x:c>
      <x:c r="R34" s="53" t="n">
        <x:f>XLOOKUP($A34,'Specs'!$A$2:$A$164,'Specs'!$R$2:$R$164,"")</x:f>
        <x:v>3</x:v>
      </x:c>
      <x:c r="S34" t="str">
        <x:f>'Vendor Options'!A34</x:f>
        <x:v>OFFER-B24E660037BC</x:v>
      </x:c>
      <x:c r="T34" t="str">
        <x:f>'Vendor Options'!C34</x:f>
        <x:v>SAR</x:v>
      </x:c>
      <x:c r="U34" t="str">
        <x:f>'Vendor Options'!D34</x:f>
        <x:v>351</x:v>
      </x:c>
      <x:c r="V34" t="str">
        <x:f>'Vendor Options'!E34</x:f>
        <x:v>351 UNIVERSAL STD ARM THRU BOLT TRI PAC</x:v>
      </x:c>
      <x:c r="W34" t="str">
        <x:f>'Vendor Options'!F34</x:f>
      </x:c>
      <x:c r="X34" t="str">
        <x:f>'Vendor Options'!G34</x:f>
        <x:v>351-UO</x:v>
      </x:c>
      <x:c r="Y34" t="str">
        <x:f>'Vendor Options'!H34</x:f>
        <x:v>351-UO TB EN</x:v>
      </x:c>
      <x:c r="Z34" t="n">
        <x:f>'Vendor Options'!I34</x:f>
        <x:v>0</x:v>
      </x:c>
      <x:c r="AA34" s="54" t="n">
        <x:f>'Vendor Options'!J34</x:f>
        <x:v>0</x:v>
      </x:c>
      <x:c r="AB34" t="n">
        <x:f>'Vendor Options'!K34</x:f>
        <x:v>0</x:v>
      </x:c>
      <x:c r="AC34" s="57" t="n">
        <x:f>'Vendor Options'!L34</x:f>
        <x:v>0</x:v>
      </x:c>
      <x:c r="AD34" s="57" t="n">
        <x:f>'Vendor Options'!M34</x:f>
        <x:v>0</x:v>
      </x:c>
      <x:c r="AE34" s="54" t="str">
        <x:f>'Vendor Options'!N34</x:f>
      </x:c>
      <x:c r="AF34" t="str">
        <x:f>'Vendor Options'!O34</x:f>
        <x:v>USD</x:v>
      </x:c>
      <x:c r="AG34" t="str">
        <x:f>'Vendor Options'!P34</x:f>
        <x:v>UNPRICED</x:v>
      </x:c>
      <x:c r="AH34" t="str">
        <x:f>'Vendor Options'!Q34</x:f>
        <x:v>ACTIVE</x:v>
      </x:c>
      <x:c r="AI34" t="str">
        <x:f>'Vendor Options'!R34</x:f>
        <x:v>MISSING_PRICE</x:v>
      </x:c>
      <x:c r="AJ34" t="n">
        <x:f>'Vendor Options'!S34</x:f>
        <x:v>80</x:v>
      </x:c>
    </x:row>
    <x:row r="35" ht="15" hidden="0" customHeight="1">
      <x:c r="A35" t="str">
        <x:f>'Vendor Options'!B35</x:f>
        <x:v>SPEC-7396E555AC12</x:v>
      </x:c>
      <x:c r="B35" t="str">
        <x:f>XLOOKUP($A35,'Specs'!$A$2:$A$164,'Specs'!$B$2:$B$164,"")</x:f>
        <x:v>CLOSER</x:v>
      </x:c>
      <x:c r="C35" t="str">
        <x:f>XLOOKUP($A35,'Specs'!$A$2:$A$164,'Specs'!$C$2:$C$164,"")</x:f>
        <x:v>SURFACE CLOSER</x:v>
      </x:c>
      <x:c r="D35" t="str">
        <x:f>XLOOKUP($A35,'Specs'!$A$2:$A$164,'Specs'!$D$2:$D$164,"")</x:f>
      </x:c>
      <x:c r="E35" t="str">
        <x:f>XLOOKUP($A35,'Specs'!$A$2:$A$164,'Specs'!$E$2:$E$164,"")</x:f>
        <x:v>DOOR CLOSER</x:v>
      </x:c>
      <x:c r="F35" t="str">
        <x:f>XLOOKUP($A35,'Specs'!$A$2:$A$164,'Specs'!$F$2:$F$164,"")</x:f>
        <x:v>NOT APPLICABLE</x:v>
      </x:c>
      <x:c r="G35" t="str">
        <x:f>XLOOKUP($A35,'Specs'!$A$2:$A$164,'Specs'!$G$2:$G$164,"")</x:f>
      </x:c>
      <x:c r="H35" t="str">
        <x:f>XLOOKUP($A35,'Specs'!$A$2:$A$164,'Specs'!$H$2:$H$164,"")</x:f>
      </x:c>
      <x:c r="I35" t="str">
        <x:f>XLOOKUP($A35,'Specs'!$A$2:$A$164,'Specs'!$I$2:$I$164,"")</x:f>
      </x:c>
      <x:c r="J35" t="str">
        <x:f>XLOOKUP($A35,'Specs'!$A$2:$A$164,'Specs'!$J$2:$J$164,"")</x:f>
        <x:v>REGULAR ARM</x:v>
      </x:c>
      <x:c r="K35" t="str">
        <x:f>XLOOKUP($A35,'Specs'!$A$2:$A$164,'Specs'!$K$2:$K$164,"")</x:f>
      </x:c>
      <x:c r="L35" t="str">
        <x:f>XLOOKUP($A35,'Specs'!$A$2:$A$164,'Specs'!$L$2:$L$164,"")</x:f>
      </x:c>
      <x:c r="M35" t="n">
        <x:f>XLOOKUP($A35,'Specs'!$A$2:$A$164,'Specs'!$M$2:$M$164,"")</x:f>
        <x:v>689</x:v>
      </x:c>
      <x:c r="N35" t="str">
        <x:f>XLOOKUP($A35,'Specs'!$A$2:$A$164,'Specs'!$N$2:$N$164,"")</x:f>
      </x:c>
      <x:c r="O35" t="str">
        <x:f>XLOOKUP($A35,'Specs'!$A$2:$A$164,'Specs'!$O$2:$O$164,"")</x:f>
      </x:c>
      <x:c r="P35" t="str">
        <x:f>XLOOKUP($A35,'Specs'!$A$2:$A$164,'Specs'!$P$2:$P$164,"")</x:f>
        <x:v>HIGH</x:v>
      </x:c>
      <x:c r="Q35" s="53" t="n">
        <x:f>XLOOKUP($A35,'Specs'!$A$2:$A$164,'Specs'!$Q$2:$Q$164,"")</x:f>
        <x:v>6</x:v>
      </x:c>
      <x:c r="R35" s="53" t="n">
        <x:f>XLOOKUP($A35,'Specs'!$A$2:$A$164,'Specs'!$R$2:$R$164,"")</x:f>
        <x:v>3</x:v>
      </x:c>
      <x:c r="S35" t="str">
        <x:f>'Vendor Options'!A35</x:f>
        <x:v>OFFER-33CFFEF3BC5A</x:v>
      </x:c>
      <x:c r="T35" t="str">
        <x:f>'Vendor Options'!C35</x:f>
        <x:v>SAR</x:v>
      </x:c>
      <x:c r="U35" t="str">
        <x:f>'Vendor Options'!D35</x:f>
        <x:v>351</x:v>
      </x:c>
      <x:c r="V35" t="str">
        <x:f>'Vendor Options'!E35</x:f>
        <x:v>351 STANDARD ARM THRU BOLT</x:v>
      </x:c>
      <x:c r="W35" t="str">
        <x:f>'Vendor Options'!F35</x:f>
      </x:c>
      <x:c r="X35" t="str">
        <x:f>'Vendor Options'!G35</x:f>
        <x:v>351-0-TB</x:v>
      </x:c>
      <x:c r="Y35" t="str">
        <x:f>'Vendor Options'!H35</x:f>
        <x:v>351-0-TB EN</x:v>
      </x:c>
      <x:c r="Z35" t="n">
        <x:f>'Vendor Options'!I35</x:f>
        <x:v>0</x:v>
      </x:c>
      <x:c r="AA35" s="54" t="n">
        <x:f>'Vendor Options'!J35</x:f>
        <x:v>0</x:v>
      </x:c>
      <x:c r="AB35" t="n">
        <x:f>'Vendor Options'!K35</x:f>
        <x:v>0</x:v>
      </x:c>
      <x:c r="AC35" s="57" t="n">
        <x:f>'Vendor Options'!L35</x:f>
        <x:v>0</x:v>
      </x:c>
      <x:c r="AD35" s="57" t="n">
        <x:f>'Vendor Options'!M35</x:f>
        <x:v>0</x:v>
      </x:c>
      <x:c r="AE35" s="54" t="str">
        <x:f>'Vendor Options'!N35</x:f>
      </x:c>
      <x:c r="AF35" t="str">
        <x:f>'Vendor Options'!O35</x:f>
        <x:v>USD</x:v>
      </x:c>
      <x:c r="AG35" t="str">
        <x:f>'Vendor Options'!P35</x:f>
        <x:v>UNPRICED</x:v>
      </x:c>
      <x:c r="AH35" t="str">
        <x:f>'Vendor Options'!Q35</x:f>
        <x:v>ACTIVE</x:v>
      </x:c>
      <x:c r="AI35" t="str">
        <x:f>'Vendor Options'!R35</x:f>
        <x:v>MISSING_PRICE</x:v>
      </x:c>
      <x:c r="AJ35" t="n">
        <x:f>'Vendor Options'!S35</x:f>
        <x:v>81</x:v>
      </x:c>
    </x:row>
    <x:row r="36" ht="15" hidden="0" customHeight="1">
      <x:c r="A36" t="str">
        <x:f>'Vendor Options'!B36</x:f>
        <x:v>SPEC-2A2BB6A51907</x:v>
      </x:c>
      <x:c r="B36" t="str">
        <x:f>XLOOKUP($A36,'Specs'!$A$2:$A$164,'Specs'!$B$2:$B$164,"")</x:f>
        <x:v>CLOSER</x:v>
      </x:c>
      <x:c r="C36" t="str">
        <x:f>XLOOKUP($A36,'Specs'!$A$2:$A$164,'Specs'!$C$2:$C$164,"")</x:f>
        <x:v>SURFACE CLOSER</x:v>
      </x:c>
      <x:c r="D36" t="str">
        <x:f>XLOOKUP($A36,'Specs'!$A$2:$A$164,'Specs'!$D$2:$D$164,"")</x:f>
      </x:c>
      <x:c r="E36" t="str">
        <x:f>XLOOKUP($A36,'Specs'!$A$2:$A$164,'Specs'!$E$2:$E$164,"")</x:f>
        <x:v>DOOR CLOSER</x:v>
      </x:c>
      <x:c r="F36" t="str">
        <x:f>XLOOKUP($A36,'Specs'!$A$2:$A$164,'Specs'!$F$2:$F$164,"")</x:f>
        <x:v>NOT APPLICABLE</x:v>
      </x:c>
      <x:c r="G36" t="str">
        <x:f>XLOOKUP($A36,'Specs'!$A$2:$A$164,'Specs'!$G$2:$G$164,"")</x:f>
      </x:c>
      <x:c r="H36" t="str">
        <x:f>XLOOKUP($A36,'Specs'!$A$2:$A$164,'Specs'!$H$2:$H$164,"")</x:f>
      </x:c>
      <x:c r="I36" t="str">
        <x:f>XLOOKUP($A36,'Specs'!$A$2:$A$164,'Specs'!$I$2:$I$164,"")</x:f>
        <x:v>MEDIUM DUTY</x:v>
      </x:c>
      <x:c r="J36" t="str">
        <x:f>XLOOKUP($A36,'Specs'!$A$2:$A$164,'Specs'!$J$2:$J$164,"")</x:f>
        <x:v>HOLD OPEN ARM</x:v>
      </x:c>
      <x:c r="K36" t="str">
        <x:f>XLOOKUP($A36,'Specs'!$A$2:$A$164,'Specs'!$K$2:$K$164,"")</x:f>
      </x:c>
      <x:c r="L36" t="str">
        <x:f>XLOOKUP($A36,'Specs'!$A$2:$A$164,'Specs'!$L$2:$L$164,"")</x:f>
      </x:c>
      <x:c r="M36" t="str">
        <x:f>XLOOKUP($A36,'Specs'!$A$2:$A$164,'Specs'!$M$2:$M$164,"")</x:f>
        <x:v>ALUMINUM SPRAY</x:v>
      </x:c>
      <x:c r="N36" t="str">
        <x:f>XLOOKUP($A36,'Specs'!$A$2:$A$164,'Specs'!$N$2:$N$164,"")</x:f>
      </x:c>
      <x:c r="O36" t="str">
        <x:f>XLOOKUP($A36,'Specs'!$A$2:$A$164,'Specs'!$O$2:$O$164,"")</x:f>
      </x:c>
      <x:c r="P36" t="str">
        <x:f>XLOOKUP($A36,'Specs'!$A$2:$A$164,'Specs'!$P$2:$P$164,"")</x:f>
        <x:v>HIGH</x:v>
      </x:c>
      <x:c r="Q36" s="53" t="n">
        <x:f>XLOOKUP($A36,'Specs'!$A$2:$A$164,'Specs'!$Q$2:$Q$164,"")</x:f>
        <x:v>1</x:v>
      </x:c>
      <x:c r="R36" s="53" t="n">
        <x:f>XLOOKUP($A36,'Specs'!$A$2:$A$164,'Specs'!$R$2:$R$164,"")</x:f>
        <x:v>1</x:v>
      </x:c>
      <x:c r="S36" t="str">
        <x:f>'Vendor Options'!A36</x:f>
        <x:v>OFFER-9F9C590BC14A</x:v>
      </x:c>
      <x:c r="T36" t="str">
        <x:f>'Vendor Options'!C36</x:f>
        <x:v>DH</x:v>
      </x:c>
      <x:c r="U36" t="str">
        <x:f>'Vendor Options'!D36</x:f>
        <x:v>316</x:v>
      </x:c>
      <x:c r="V36" t="str">
        <x:f>'Vendor Options'!E36</x:f>
        <x:v>316 HO ARM</x:v>
      </x:c>
      <x:c r="W36" t="str">
        <x:f>'Vendor Options'!F36</x:f>
      </x:c>
      <x:c r="X36" t="str">
        <x:f>'Vendor Options'!G36</x:f>
        <x:v>78000720</x:v>
      </x:c>
      <x:c r="Y36" t="str">
        <x:f>'Vendor Options'!H36</x:f>
        <x:v>78000720 - 316 /116 Heavy Duty Arm w/ Deadstop</x:v>
      </x:c>
      <x:c r="Z36" t="n">
        <x:f>'Vendor Options'!I36</x:f>
        <x:v>0</x:v>
      </x:c>
      <x:c r="AA36" s="54" t="n">
        <x:f>'Vendor Options'!J36</x:f>
        <x:v>0</x:v>
      </x:c>
      <x:c r="AB36" t="n">
        <x:f>'Vendor Options'!K36</x:f>
        <x:v>0</x:v>
      </x:c>
      <x:c r="AC36" s="57" t="n">
        <x:f>'Vendor Options'!L36</x:f>
        <x:v>0</x:v>
      </x:c>
      <x:c r="AD36" s="57" t="n">
        <x:f>'Vendor Options'!M36</x:f>
        <x:v>0</x:v>
      </x:c>
      <x:c r="AE36" s="54" t="str">
        <x:f>'Vendor Options'!N36</x:f>
      </x:c>
      <x:c r="AF36" t="str">
        <x:f>'Vendor Options'!O36</x:f>
        <x:v>USD</x:v>
      </x:c>
      <x:c r="AG36" t="str">
        <x:f>'Vendor Options'!P36</x:f>
        <x:v>UNPRICED</x:v>
      </x:c>
      <x:c r="AH36" t="str">
        <x:f>'Vendor Options'!Q36</x:f>
        <x:v>ACTIVE</x:v>
      </x:c>
      <x:c r="AI36" t="str">
        <x:f>'Vendor Options'!R36</x:f>
        <x:v>MISSING_PRICE</x:v>
      </x:c>
      <x:c r="AJ36" t="n">
        <x:f>'Vendor Options'!S36</x:f>
        <x:v>46</x:v>
      </x:c>
    </x:row>
    <x:row r="37" ht="15" hidden="0" customHeight="1">
      <x:c r="A37" t="str">
        <x:f>'Vendor Options'!B37</x:f>
        <x:v>SPEC-163ABA1E6026</x:v>
      </x:c>
      <x:c r="B37" t="str">
        <x:f>XLOOKUP($A37,'Specs'!$A$2:$A$164,'Specs'!$B$2:$B$164,"")</x:f>
        <x:v>CLOSER</x:v>
      </x:c>
      <x:c r="C37" t="str">
        <x:f>XLOOKUP($A37,'Specs'!$A$2:$A$164,'Specs'!$C$2:$C$164,"")</x:f>
        <x:v>SURFACE CLOSER</x:v>
      </x:c>
      <x:c r="D37" t="str">
        <x:f>XLOOKUP($A37,'Specs'!$A$2:$A$164,'Specs'!$D$2:$D$164,"")</x:f>
      </x:c>
      <x:c r="E37" t="str">
        <x:f>XLOOKUP($A37,'Specs'!$A$2:$A$164,'Specs'!$E$2:$E$164,"")</x:f>
        <x:v>DOOR CLOSER</x:v>
      </x:c>
      <x:c r="F37" t="str">
        <x:f>XLOOKUP($A37,'Specs'!$A$2:$A$164,'Specs'!$F$2:$F$164,"")</x:f>
        <x:v>NOT APPLICABLE</x:v>
      </x:c>
      <x:c r="G37" t="str">
        <x:f>XLOOKUP($A37,'Specs'!$A$2:$A$164,'Specs'!$G$2:$G$164,"")</x:f>
      </x:c>
      <x:c r="H37" t="str">
        <x:f>XLOOKUP($A37,'Specs'!$A$2:$A$164,'Specs'!$H$2:$H$164,"")</x:f>
      </x:c>
      <x:c r="I37" t="str">
        <x:f>XLOOKUP($A37,'Specs'!$A$2:$A$164,'Specs'!$I$2:$I$164,"")</x:f>
        <x:v>INSTITUTIONAL</x:v>
      </x:c>
      <x:c r="J37" t="str">
        <x:f>XLOOKUP($A37,'Specs'!$A$2:$A$164,'Specs'!$J$2:$J$164,"")</x:f>
      </x:c>
      <x:c r="K37" t="str">
        <x:f>XLOOKUP($A37,'Specs'!$A$2:$A$164,'Specs'!$K$2:$K$164,"")</x:f>
      </x:c>
      <x:c r="L37" t="str">
        <x:f>XLOOKUP($A37,'Specs'!$A$2:$A$164,'Specs'!$L$2:$L$164,"")</x:f>
      </x:c>
      <x:c r="M37" t="str">
        <x:f>XLOOKUP($A37,'Specs'!$A$2:$A$164,'Specs'!$M$2:$M$164,"")</x:f>
        <x:v>ALUMINUM SPRAY</x:v>
      </x:c>
      <x:c r="N37" t="str">
        <x:f>XLOOKUP($A37,'Specs'!$A$2:$A$164,'Specs'!$N$2:$N$164,"")</x:f>
      </x:c>
      <x:c r="O37" t="str">
        <x:f>XLOOKUP($A37,'Specs'!$A$2:$A$164,'Specs'!$O$2:$O$164,"")</x:f>
      </x:c>
      <x:c r="P37" t="str">
        <x:f>XLOOKUP($A37,'Specs'!$A$2:$A$164,'Specs'!$P$2:$P$164,"")</x:f>
        <x:v>HIGH</x:v>
      </x:c>
      <x:c r="Q37" s="53" t="n">
        <x:f>XLOOKUP($A37,'Specs'!$A$2:$A$164,'Specs'!$Q$2:$Q$164,"")</x:f>
        <x:v>1</x:v>
      </x:c>
      <x:c r="R37" s="53" t="n">
        <x:f>XLOOKUP($A37,'Specs'!$A$2:$A$164,'Specs'!$R$2:$R$164,"")</x:f>
        <x:v>1</x:v>
      </x:c>
      <x:c r="S37" t="str">
        <x:f>'Vendor Options'!A37</x:f>
        <x:v>OFFER-936427C75E0B</x:v>
      </x:c>
      <x:c r="T37" t="str">
        <x:f>'Vendor Options'!C37</x:f>
        <x:v>DH</x:v>
      </x:c>
      <x:c r="U37" t="str">
        <x:f>'Vendor Options'!D37</x:f>
        <x:v>416</x:v>
      </x:c>
      <x:c r="V37" t="str">
        <x:f>'Vendor Options'!E37</x:f>
        <x:v>416 H0 ARM</x:v>
      </x:c>
      <x:c r="W37" t="str">
        <x:f>'Vendor Options'!F37</x:f>
      </x:c>
      <x:c r="X37" t="str">
        <x:f>'Vendor Options'!G37</x:f>
        <x:v>78000767</x:v>
      </x:c>
      <x:c r="Y37" t="str">
        <x:f>'Vendor Options'!H37</x:f>
        <x:v>78000767 - 416 HD Hold Open Arm w/ Deadstop</x:v>
      </x:c>
      <x:c r="Z37" t="str">
        <x:f>'Vendor Options'!I37</x:f>
      </x:c>
      <x:c r="AA37" s="54" t="n">
        <x:f>'Vendor Options'!J37</x:f>
        <x:v>0</x:v>
      </x:c>
      <x:c r="AB37" t="n">
        <x:f>'Vendor Options'!K37</x:f>
        <x:v>0</x:v>
      </x:c>
      <x:c r="AC37" s="57" t="n">
        <x:f>'Vendor Options'!L37</x:f>
        <x:v>0</x:v>
      </x:c>
      <x:c r="AD37" s="57" t="n">
        <x:f>'Vendor Options'!M37</x:f>
        <x:v>0</x:v>
      </x:c>
      <x:c r="AE37" s="54" t="str">
        <x:f>'Vendor Options'!N37</x:f>
      </x:c>
      <x:c r="AF37" t="str">
        <x:f>'Vendor Options'!O37</x:f>
        <x:v>USD</x:v>
      </x:c>
      <x:c r="AG37" t="str">
        <x:f>'Vendor Options'!P37</x:f>
        <x:v>UNPRICED</x:v>
      </x:c>
      <x:c r="AH37" t="str">
        <x:f>'Vendor Options'!Q37</x:f>
        <x:v>ACTIVE</x:v>
      </x:c>
      <x:c r="AI37" t="str">
        <x:f>'Vendor Options'!R37</x:f>
        <x:v>MISSING_PRICE</x:v>
      </x:c>
      <x:c r="AJ37" t="n">
        <x:f>'Vendor Options'!S37</x:f>
        <x:v>44</x:v>
      </x:c>
    </x:row>
    <x:row r="38" ht="15" hidden="0" customHeight="1">
      <x:c r="A38" t="str">
        <x:f>'Vendor Options'!B38</x:f>
        <x:v>SPEC-7C72CC593688</x:v>
      </x:c>
      <x:c r="B38" t="str">
        <x:f>XLOOKUP($A38,'Specs'!$A$2:$A$164,'Specs'!$B$2:$B$164,"")</x:f>
        <x:v>DEADBOLT</x:v>
      </x:c>
      <x:c r="C38" t="str">
        <x:f>XLOOKUP($A38,'Specs'!$A$2:$A$164,'Specs'!$C$2:$C$164,"")</x:f>
        <x:v>CLASSROOM DEADBOLT</x:v>
      </x:c>
      <x:c r="D38" t="str">
        <x:f>XLOOKUP($A38,'Specs'!$A$2:$A$164,'Specs'!$D$2:$D$164,"")</x:f>
      </x:c>
      <x:c r="E38" t="str">
        <x:f>XLOOKUP($A38,'Specs'!$A$2:$A$164,'Specs'!$E$2:$E$164,"")</x:f>
        <x:v>CLASSROOM</x:v>
      </x:c>
      <x:c r="F38" t="str">
        <x:f>XLOOKUP($A38,'Specs'!$A$2:$A$164,'Specs'!$F$2:$F$164,"")</x:f>
        <x:v>LFIC</x:v>
      </x:c>
      <x:c r="G38" t="str">
        <x:f>XLOOKUP($A38,'Specs'!$A$2:$A$164,'Specs'!$G$2:$G$164,"")</x:f>
      </x:c>
      <x:c r="H38" t="str">
        <x:f>XLOOKUP($A38,'Specs'!$A$2:$A$164,'Specs'!$H$2:$H$164,"")</x:f>
      </x:c>
      <x:c r="I38" t="str">
        <x:f>XLOOKUP($A38,'Specs'!$A$2:$A$164,'Specs'!$I$2:$I$164,"")</x:f>
      </x:c>
      <x:c r="J38" t="str">
        <x:f>XLOOKUP($A38,'Specs'!$A$2:$A$164,'Specs'!$J$2:$J$164,"")</x:f>
      </x:c>
      <x:c r="K38" t="str">
        <x:f>XLOOKUP($A38,'Specs'!$A$2:$A$164,'Specs'!$K$2:$K$164,"")</x:f>
      </x:c>
      <x:c r="L38" t="str">
        <x:f>XLOOKUP($A38,'Specs'!$A$2:$A$164,'Specs'!$L$2:$L$164,"")</x:f>
      </x:c>
      <x:c r="M38" t="n">
        <x:f>XLOOKUP($A38,'Specs'!$A$2:$A$164,'Specs'!$M$2:$M$164,"")</x:f>
        <x:v>626</x:v>
      </x:c>
      <x:c r="N38" t="str">
        <x:f>XLOOKUP($A38,'Specs'!$A$2:$A$164,'Specs'!$N$2:$N$164,"")</x:f>
      </x:c>
      <x:c r="O38" t="str">
        <x:f>XLOOKUP($A38,'Specs'!$A$2:$A$164,'Specs'!$O$2:$O$164,"")</x:f>
      </x:c>
      <x:c r="P38" t="str">
        <x:f>XLOOKUP($A38,'Specs'!$A$2:$A$164,'Specs'!$P$2:$P$164,"")</x:f>
        <x:v>HIGH</x:v>
      </x:c>
      <x:c r="Q38" s="53" t="n">
        <x:f>XLOOKUP($A38,'Specs'!$A$2:$A$164,'Specs'!$Q$2:$Q$164,"")</x:f>
        <x:v>1</x:v>
      </x:c>
      <x:c r="R38" s="53" t="n">
        <x:f>XLOOKUP($A38,'Specs'!$A$2:$A$164,'Specs'!$R$2:$R$164,"")</x:f>
        <x:v>1</x:v>
      </x:c>
      <x:c r="S38" t="str">
        <x:f>'Vendor Options'!A38</x:f>
        <x:v>OFFER-627C30610BA1</x:v>
      </x:c>
      <x:c r="T38" t="str">
        <x:f>'Vendor Options'!C38</x:f>
        <x:v>PHG</x:v>
      </x:c>
      <x:c r="U38" t="str">
        <x:f>'Vendor Options'!D38</x:f>
        <x:v>DB SGL CLASS-LFIC</x:v>
      </x:c>
      <x:c r="V38" t="str">
        <x:f>'Vendor Options'!E38</x:f>
        <x:v>E0171-LFIC</x:v>
      </x:c>
      <x:c r="W38" t="str">
        <x:f>'Vendor Options'!F38</x:f>
        <x:v>E0171</x:v>
      </x:c>
      <x:c r="X38" t="str">
        <x:f>'Vendor Options'!G38</x:f>
        <x:v>LM23026DICS</x:v>
      </x:c>
      <x:c r="Y38" t="str">
        <x:f>'Vendor Options'!H38</x:f>
        <x:v>LM23026DICS LM230 - Classroom (E0171) - ICS</x:v>
      </x:c>
      <x:c r="Z38" t="str">
        <x:f>'Vendor Options'!I38</x:f>
      </x:c>
      <x:c r="AA38" s="54" t="n">
        <x:f>'Vendor Options'!J38</x:f>
        <x:v>150.89</x:v>
      </x:c>
      <x:c r="AB38" t="n">
        <x:f>'Vendor Options'!K38</x:f>
        <x:v>0</x:v>
      </x:c>
      <x:c r="AC38" s="57" t="n">
        <x:f>'Vendor Options'!L38</x:f>
        <x:v>0</x:v>
      </x:c>
      <x:c r="AD38" s="57" t="n">
        <x:f>'Vendor Options'!M38</x:f>
        <x:v>0</x:v>
      </x:c>
      <x:c r="AE38" s="54" t="n">
        <x:f>'Vendor Options'!N38</x:f>
        <x:v>150.89</x:v>
      </x:c>
      <x:c r="AF38" t="str">
        <x:f>'Vendor Options'!O38</x:f>
        <x:v>USD</x:v>
      </x:c>
      <x:c r="AG38" t="str">
        <x:f>'Vendor Options'!P38</x:f>
        <x:v>PRICED</x:v>
      </x:c>
      <x:c r="AH38" t="str">
        <x:f>'Vendor Options'!Q38</x:f>
        <x:v>ACTIVE</x:v>
      </x:c>
      <x:c r="AI38" t="str">
        <x:f>'Vendor Options'!R38</x:f>
      </x:c>
      <x:c r="AJ38" t="n">
        <x:f>'Vendor Options'!S38</x:f>
        <x:v>96</x:v>
      </x:c>
    </x:row>
    <x:row r="39" ht="15" hidden="0" customHeight="1">
      <x:c r="A39" t="str">
        <x:f>'Vendor Options'!B39</x:f>
        <x:v>SPEC-7F8EB42856A9</x:v>
      </x:c>
      <x:c r="B39" t="str">
        <x:f>XLOOKUP($A39,'Specs'!$A$2:$A$164,'Specs'!$B$2:$B$164,"")</x:f>
        <x:v>DEADBOLT</x:v>
      </x:c>
      <x:c r="C39" t="str">
        <x:f>XLOOKUP($A39,'Specs'!$A$2:$A$164,'Specs'!$C$2:$C$164,"")</x:f>
        <x:v>CLASSROOM DEADBOLT</x:v>
      </x:c>
      <x:c r="D39" t="str">
        <x:f>XLOOKUP($A39,'Specs'!$A$2:$A$164,'Specs'!$D$2:$D$164,"")</x:f>
      </x:c>
      <x:c r="E39" t="str">
        <x:f>XLOOKUP($A39,'Specs'!$A$2:$A$164,'Specs'!$E$2:$E$164,"")</x:f>
        <x:v>CLASSROOM</x:v>
      </x:c>
      <x:c r="F39" t="str">
        <x:f>XLOOKUP($A39,'Specs'!$A$2:$A$164,'Specs'!$F$2:$F$164,"")</x:f>
        <x:v>SFIC</x:v>
      </x:c>
      <x:c r="G39" t="str">
        <x:f>XLOOKUP($A39,'Specs'!$A$2:$A$164,'Specs'!$G$2:$G$164,"")</x:f>
      </x:c>
      <x:c r="H39" t="str">
        <x:f>XLOOKUP($A39,'Specs'!$A$2:$A$164,'Specs'!$H$2:$H$164,"")</x:f>
      </x:c>
      <x:c r="I39" t="str">
        <x:f>XLOOKUP($A39,'Specs'!$A$2:$A$164,'Specs'!$I$2:$I$164,"")</x:f>
      </x:c>
      <x:c r="J39" t="str">
        <x:f>XLOOKUP($A39,'Specs'!$A$2:$A$164,'Specs'!$J$2:$J$164,"")</x:f>
      </x:c>
      <x:c r="K39" t="str">
        <x:f>XLOOKUP($A39,'Specs'!$A$2:$A$164,'Specs'!$K$2:$K$164,"")</x:f>
      </x:c>
      <x:c r="L39" t="str">
        <x:f>XLOOKUP($A39,'Specs'!$A$2:$A$164,'Specs'!$L$2:$L$164,"")</x:f>
      </x:c>
      <x:c r="M39" t="n">
        <x:f>XLOOKUP($A39,'Specs'!$A$2:$A$164,'Specs'!$M$2:$M$164,"")</x:f>
        <x:v>626</x:v>
      </x:c>
      <x:c r="N39" t="str">
        <x:f>XLOOKUP($A39,'Specs'!$A$2:$A$164,'Specs'!$N$2:$N$164,"")</x:f>
      </x:c>
      <x:c r="O39" t="str">
        <x:f>XLOOKUP($A39,'Specs'!$A$2:$A$164,'Specs'!$O$2:$O$164,"")</x:f>
      </x:c>
      <x:c r="P39" t="str">
        <x:f>XLOOKUP($A39,'Specs'!$A$2:$A$164,'Specs'!$P$2:$P$164,"")</x:f>
        <x:v>HIGH</x:v>
      </x:c>
      <x:c r="Q39" s="53" t="n">
        <x:f>XLOOKUP($A39,'Specs'!$A$2:$A$164,'Specs'!$Q$2:$Q$164,"")</x:f>
        <x:v>2</x:v>
      </x:c>
      <x:c r="R39" s="53" t="n">
        <x:f>XLOOKUP($A39,'Specs'!$A$2:$A$164,'Specs'!$R$2:$R$164,"")</x:f>
        <x:v>2</x:v>
      </x:c>
      <x:c r="S39" t="str">
        <x:f>'Vendor Options'!A39</x:f>
        <x:v>OFFER-3C634E6CE19F</x:v>
      </x:c>
      <x:c r="T39" t="str">
        <x:f>'Vendor Options'!C39</x:f>
        <x:v>PHG</x:v>
      </x:c>
      <x:c r="U39" t="str">
        <x:f>'Vendor Options'!D39</x:f>
        <x:v>DB SGL CLASS-SFIC</x:v>
      </x:c>
      <x:c r="V39" t="str">
        <x:f>'Vendor Options'!E39</x:f>
        <x:v>E0171-SFIC</x:v>
      </x:c>
      <x:c r="W39" t="str">
        <x:f>'Vendor Options'!F39</x:f>
        <x:v>E0171</x:v>
      </x:c>
      <x:c r="X39" t="str">
        <x:f>'Vendor Options'!G39</x:f>
        <x:v>LM23026DICB</x:v>
      </x:c>
      <x:c r="Y39" t="str">
        <x:f>'Vendor Options'!H39</x:f>
        <x:v>LM23026DICB LM230 - Classroom (E0171) - ICB</x:v>
      </x:c>
      <x:c r="Z39" t="str">
        <x:f>'Vendor Options'!I39</x:f>
      </x:c>
      <x:c r="AA39" s="54" t="n">
        <x:f>'Vendor Options'!J39</x:f>
        <x:v>110.96</x:v>
      </x:c>
      <x:c r="AB39" t="n">
        <x:f>'Vendor Options'!K39</x:f>
        <x:v>0</x:v>
      </x:c>
      <x:c r="AC39" s="57" t="n">
        <x:f>'Vendor Options'!L39</x:f>
        <x:v>0</x:v>
      </x:c>
      <x:c r="AD39" s="57" t="n">
        <x:f>'Vendor Options'!M39</x:f>
        <x:v>0</x:v>
      </x:c>
      <x:c r="AE39" s="54" t="n">
        <x:f>'Vendor Options'!N39</x:f>
        <x:v>110.96</x:v>
      </x:c>
      <x:c r="AF39" t="str">
        <x:f>'Vendor Options'!O39</x:f>
        <x:v>USD</x:v>
      </x:c>
      <x:c r="AG39" t="str">
        <x:f>'Vendor Options'!P39</x:f>
        <x:v>PRICED</x:v>
      </x:c>
      <x:c r="AH39" t="str">
        <x:f>'Vendor Options'!Q39</x:f>
        <x:v>ACTIVE</x:v>
      </x:c>
      <x:c r="AI39" t="str">
        <x:f>'Vendor Options'!R39</x:f>
      </x:c>
      <x:c r="AJ39" t="n">
        <x:f>'Vendor Options'!S39</x:f>
        <x:v>95</x:v>
      </x:c>
    </x:row>
    <x:row r="40" ht="15" hidden="0" customHeight="1">
      <x:c r="A40" t="str">
        <x:f>'Vendor Options'!B40</x:f>
        <x:v>SPEC-7F8EB42856A9</x:v>
      </x:c>
      <x:c r="B40" t="str">
        <x:f>XLOOKUP($A40,'Specs'!$A$2:$A$164,'Specs'!$B$2:$B$164,"")</x:f>
        <x:v>DEADBOLT</x:v>
      </x:c>
      <x:c r="C40" t="str">
        <x:f>XLOOKUP($A40,'Specs'!$A$2:$A$164,'Specs'!$C$2:$C$164,"")</x:f>
        <x:v>CLASSROOM DEADBOLT</x:v>
      </x:c>
      <x:c r="D40" t="str">
        <x:f>XLOOKUP($A40,'Specs'!$A$2:$A$164,'Specs'!$D$2:$D$164,"")</x:f>
      </x:c>
      <x:c r="E40" t="str">
        <x:f>XLOOKUP($A40,'Specs'!$A$2:$A$164,'Specs'!$E$2:$E$164,"")</x:f>
        <x:v>CLASSROOM</x:v>
      </x:c>
      <x:c r="F40" t="str">
        <x:f>XLOOKUP($A40,'Specs'!$A$2:$A$164,'Specs'!$F$2:$F$164,"")</x:f>
        <x:v>SFIC</x:v>
      </x:c>
      <x:c r="G40" t="str">
        <x:f>XLOOKUP($A40,'Specs'!$A$2:$A$164,'Specs'!$G$2:$G$164,"")</x:f>
      </x:c>
      <x:c r="H40" t="str">
        <x:f>XLOOKUP($A40,'Specs'!$A$2:$A$164,'Specs'!$H$2:$H$164,"")</x:f>
      </x:c>
      <x:c r="I40" t="str">
        <x:f>XLOOKUP($A40,'Specs'!$A$2:$A$164,'Specs'!$I$2:$I$164,"")</x:f>
      </x:c>
      <x:c r="J40" t="str">
        <x:f>XLOOKUP($A40,'Specs'!$A$2:$A$164,'Specs'!$J$2:$J$164,"")</x:f>
      </x:c>
      <x:c r="K40" t="str">
        <x:f>XLOOKUP($A40,'Specs'!$A$2:$A$164,'Specs'!$K$2:$K$164,"")</x:f>
      </x:c>
      <x:c r="L40" t="str">
        <x:f>XLOOKUP($A40,'Specs'!$A$2:$A$164,'Specs'!$L$2:$L$164,"")</x:f>
      </x:c>
      <x:c r="M40" t="n">
        <x:f>XLOOKUP($A40,'Specs'!$A$2:$A$164,'Specs'!$M$2:$M$164,"")</x:f>
        <x:v>626</x:v>
      </x:c>
      <x:c r="N40" t="str">
        <x:f>XLOOKUP($A40,'Specs'!$A$2:$A$164,'Specs'!$N$2:$N$164,"")</x:f>
      </x:c>
      <x:c r="O40" t="str">
        <x:f>XLOOKUP($A40,'Specs'!$A$2:$A$164,'Specs'!$O$2:$O$164,"")</x:f>
      </x:c>
      <x:c r="P40" t="str">
        <x:f>XLOOKUP($A40,'Specs'!$A$2:$A$164,'Specs'!$P$2:$P$164,"")</x:f>
        <x:v>HIGH</x:v>
      </x:c>
      <x:c r="Q40" s="53" t="n">
        <x:f>XLOOKUP($A40,'Specs'!$A$2:$A$164,'Specs'!$Q$2:$Q$164,"")</x:f>
        <x:v>2</x:v>
      </x:c>
      <x:c r="R40" s="53" t="n">
        <x:f>XLOOKUP($A40,'Specs'!$A$2:$A$164,'Specs'!$R$2:$R$164,"")</x:f>
        <x:v>2</x:v>
      </x:c>
      <x:c r="S40" t="str">
        <x:f>'Vendor Options'!A40</x:f>
        <x:v>OFFER-88A0661396C8</x:v>
      </x:c>
      <x:c r="T40" t="str">
        <x:f>'Vendor Options'!C40</x:f>
        <x:v>SCH</x:v>
      </x:c>
      <x:c r="U40" t="str">
        <x:f>'Vendor Options'!D40</x:f>
        <x:v>DB SFIC CLASS</x:v>
      </x:c>
      <x:c r="V40" t="str">
        <x:f>'Vendor Options'!E40</x:f>
        <x:v>TUBE DB 7 PIN</x:v>
      </x:c>
      <x:c r="W40" t="str">
        <x:f>'Vendor Options'!F40</x:f>
      </x:c>
      <x:c r="X40" t="str">
        <x:f>'Vendor Options'!G40</x:f>
        <x:v>8T37SSTK</x:v>
      </x:c>
      <x:c r="Y40" t="str">
        <x:f>'Vendor Options'!H40</x:f>
        <x:v>8T37SSTK 626-SFIC</x:v>
      </x:c>
      <x:c r="Z40" t="str">
        <x:f>'Vendor Options'!I40</x:f>
      </x:c>
      <x:c r="AA40" s="54" t="n">
        <x:f>'Vendor Options'!J40</x:f>
        <x:v>179.5</x:v>
      </x:c>
      <x:c r="AB40" t="n">
        <x:f>'Vendor Options'!K40</x:f>
        <x:v>0</x:v>
      </x:c>
      <x:c r="AC40" s="57" t="n">
        <x:f>'Vendor Options'!L40</x:f>
        <x:v>0</x:v>
      </x:c>
      <x:c r="AD40" s="57" t="n">
        <x:f>'Vendor Options'!M40</x:f>
        <x:v>0</x:v>
      </x:c>
      <x:c r="AE40" s="54" t="n">
        <x:f>'Vendor Options'!N40</x:f>
        <x:v>179.5</x:v>
      </x:c>
      <x:c r="AF40" t="str">
        <x:f>'Vendor Options'!O40</x:f>
        <x:v>USD</x:v>
      </x:c>
      <x:c r="AG40" t="str">
        <x:f>'Vendor Options'!P40</x:f>
        <x:v>PRICED</x:v>
      </x:c>
      <x:c r="AH40" t="str">
        <x:f>'Vendor Options'!Q40</x:f>
        <x:v>ACTIVE</x:v>
      </x:c>
      <x:c r="AI40" t="str">
        <x:f>'Vendor Options'!R40</x:f>
      </x:c>
      <x:c r="AJ40" t="n">
        <x:f>'Vendor Options'!S40</x:f>
        <x:v>102</x:v>
      </x:c>
    </x:row>
    <x:row r="41" ht="15" hidden="0" customHeight="1">
      <x:c r="A41" t="str">
        <x:f>'Vendor Options'!B41</x:f>
        <x:v>SPEC-7EAD2E558CB5</x:v>
      </x:c>
      <x:c r="B41" t="str">
        <x:f>XLOOKUP($A41,'Specs'!$A$2:$A$164,'Specs'!$B$2:$B$164,"")</x:f>
        <x:v>DEADBOLT</x:v>
      </x:c>
      <x:c r="C41" t="str">
        <x:f>XLOOKUP($A41,'Specs'!$A$2:$A$164,'Specs'!$C$2:$C$164,"")</x:f>
        <x:v>CLASSROOM DEADBOLT</x:v>
      </x:c>
      <x:c r="D41" t="str">
        <x:f>XLOOKUP($A41,'Specs'!$A$2:$A$164,'Specs'!$D$2:$D$164,"")</x:f>
      </x:c>
      <x:c r="E41" t="str">
        <x:f>XLOOKUP($A41,'Specs'!$A$2:$A$164,'Specs'!$E$2:$E$164,"")</x:f>
        <x:v>CLASSROOM</x:v>
      </x:c>
      <x:c r="F41" t="str">
        <x:f>XLOOKUP($A41,'Specs'!$A$2:$A$164,'Specs'!$F$2:$F$164,"")</x:f>
        <x:v>STANDARD</x:v>
      </x:c>
      <x:c r="G41" t="str">
        <x:f>XLOOKUP($A41,'Specs'!$A$2:$A$164,'Specs'!$G$2:$G$164,"")</x:f>
      </x:c>
      <x:c r="H41" t="str">
        <x:f>XLOOKUP($A41,'Specs'!$A$2:$A$164,'Specs'!$H$2:$H$164,"")</x:f>
      </x:c>
      <x:c r="I41" t="str">
        <x:f>XLOOKUP($A41,'Specs'!$A$2:$A$164,'Specs'!$I$2:$I$164,"")</x:f>
      </x:c>
      <x:c r="J41" t="str">
        <x:f>XLOOKUP($A41,'Specs'!$A$2:$A$164,'Specs'!$J$2:$J$164,"")</x:f>
      </x:c>
      <x:c r="K41" t="str">
        <x:f>XLOOKUP($A41,'Specs'!$A$2:$A$164,'Specs'!$K$2:$K$164,"")</x:f>
      </x:c>
      <x:c r="L41" t="str">
        <x:f>XLOOKUP($A41,'Specs'!$A$2:$A$164,'Specs'!$L$2:$L$164,"")</x:f>
      </x:c>
      <x:c r="M41" t="n">
        <x:f>XLOOKUP($A41,'Specs'!$A$2:$A$164,'Specs'!$M$2:$M$164,"")</x:f>
        <x:v>626</x:v>
      </x:c>
      <x:c r="N41" t="str">
        <x:f>XLOOKUP($A41,'Specs'!$A$2:$A$164,'Specs'!$N$2:$N$164,"")</x:f>
      </x:c>
      <x:c r="O41" t="str">
        <x:f>XLOOKUP($A41,'Specs'!$A$2:$A$164,'Specs'!$O$2:$O$164,"")</x:f>
      </x:c>
      <x:c r="P41" t="str">
        <x:f>XLOOKUP($A41,'Specs'!$A$2:$A$164,'Specs'!$P$2:$P$164,"")</x:f>
        <x:v>HIGH</x:v>
      </x:c>
      <x:c r="Q41" s="53" t="n">
        <x:f>XLOOKUP($A41,'Specs'!$A$2:$A$164,'Specs'!$Q$2:$Q$164,"")</x:f>
        <x:v>1</x:v>
      </x:c>
      <x:c r="R41" s="53" t="n">
        <x:f>XLOOKUP($A41,'Specs'!$A$2:$A$164,'Specs'!$R$2:$R$164,"")</x:f>
        <x:v>1</x:v>
      </x:c>
      <x:c r="S41" t="str">
        <x:f>'Vendor Options'!A41</x:f>
        <x:v>OFFER-78EE496E0A73</x:v>
      </x:c>
      <x:c r="T41" t="str">
        <x:f>'Vendor Options'!C41</x:f>
      </x:c>
      <x:c r="U41" t="str">
        <x:f>'Vendor Options'!D41</x:f>
        <x:v>DB SGL CLASS</x:v>
      </x:c>
      <x:c r="V41" t="str">
        <x:f>'Vendor Options'!E41</x:f>
        <x:v>E0171</x:v>
      </x:c>
      <x:c r="W41" t="str">
        <x:f>'Vendor Options'!F41</x:f>
        <x:v>E0171</x:v>
      </x:c>
      <x:c r="X41" t="str">
        <x:f>'Vendor Options'!G41</x:f>
        <x:v>LM23026D</x:v>
      </x:c>
      <x:c r="Y41" t="str">
        <x:f>'Vendor Options'!H41</x:f>
        <x:v>LM23026D LM230 - Classroom (E0171)</x:v>
      </x:c>
      <x:c r="Z41" t="str">
        <x:f>'Vendor Options'!I41</x:f>
      </x:c>
      <x:c r="AA41" s="54" t="n">
        <x:f>'Vendor Options'!J41</x:f>
        <x:v>110.96</x:v>
      </x:c>
      <x:c r="AB41" t="n">
        <x:f>'Vendor Options'!K41</x:f>
        <x:v>0</x:v>
      </x:c>
      <x:c r="AC41" s="57" t="n">
        <x:f>'Vendor Options'!L41</x:f>
        <x:v>0</x:v>
      </x:c>
      <x:c r="AD41" s="57" t="n">
        <x:f>'Vendor Options'!M41</x:f>
        <x:v>0</x:v>
      </x:c>
      <x:c r="AE41" s="54" t="n">
        <x:f>'Vendor Options'!N41</x:f>
        <x:v>110.96</x:v>
      </x:c>
      <x:c r="AF41" t="str">
        <x:f>'Vendor Options'!O41</x:f>
        <x:v>USD</x:v>
      </x:c>
      <x:c r="AG41" t="str">
        <x:f>'Vendor Options'!P41</x:f>
        <x:v>PRICED</x:v>
      </x:c>
      <x:c r="AH41" t="str">
        <x:f>'Vendor Options'!Q41</x:f>
        <x:v>REVIEW</x:v>
      </x:c>
      <x:c r="AI41" t="str">
        <x:f>'Vendor Options'!R41</x:f>
        <x:v>MISSING_VENDOR</x:v>
      </x:c>
      <x:c r="AJ41" t="n">
        <x:f>'Vendor Options'!S41</x:f>
        <x:v>94</x:v>
      </x:c>
    </x:row>
    <x:row r="42" ht="15" hidden="0" customHeight="1">
      <x:c r="A42" t="str">
        <x:f>'Vendor Options'!B42</x:f>
        <x:v>SPEC-4CA2AA9D327A</x:v>
      </x:c>
      <x:c r="B42" t="str">
        <x:f>XLOOKUP($A42,'Specs'!$A$2:$A$164,'Specs'!$B$2:$B$164,"")</x:f>
        <x:v>DEADBOLT</x:v>
      </x:c>
      <x:c r="C42" t="str">
        <x:f>XLOOKUP($A42,'Specs'!$A$2:$A$164,'Specs'!$C$2:$C$164,"")</x:f>
        <x:v>DEADBOLT</x:v>
      </x:c>
      <x:c r="D42" t="str">
        <x:f>XLOOKUP($A42,'Specs'!$A$2:$A$164,'Specs'!$D$2:$D$164,"")</x:f>
      </x:c>
      <x:c r="E42" t="str">
        <x:f>XLOOKUP($A42,'Specs'!$A$2:$A$164,'Specs'!$E$2:$E$164,"")</x:f>
        <x:v>8 SERIES G1 STD DB</x:v>
      </x:c>
      <x:c r="F42" t="str">
        <x:f>XLOOKUP($A42,'Specs'!$A$2:$A$164,'Specs'!$F$2:$F$164,"")</x:f>
        <x:v>SFIC</x:v>
      </x:c>
      <x:c r="G42" t="str">
        <x:f>XLOOKUP($A42,'Specs'!$A$2:$A$164,'Specs'!$G$2:$G$164,"")</x:f>
      </x:c>
      <x:c r="H42" t="str">
        <x:f>XLOOKUP($A42,'Specs'!$A$2:$A$164,'Specs'!$H$2:$H$164,"")</x:f>
      </x:c>
      <x:c r="I42" t="str">
        <x:f>XLOOKUP($A42,'Specs'!$A$2:$A$164,'Specs'!$I$2:$I$164,"")</x:f>
      </x:c>
      <x:c r="J42" t="str">
        <x:f>XLOOKUP($A42,'Specs'!$A$2:$A$164,'Specs'!$J$2:$J$164,"")</x:f>
      </x:c>
      <x:c r="K42" t="str">
        <x:f>XLOOKUP($A42,'Specs'!$A$2:$A$164,'Specs'!$K$2:$K$164,"")</x:f>
      </x:c>
      <x:c r="L42" t="str">
        <x:f>XLOOKUP($A42,'Specs'!$A$2:$A$164,'Specs'!$L$2:$L$164,"")</x:f>
      </x:c>
      <x:c r="M42" t="n">
        <x:f>XLOOKUP($A42,'Specs'!$A$2:$A$164,'Specs'!$M$2:$M$164,"")</x:f>
        <x:v>626</x:v>
      </x:c>
      <x:c r="N42" t="str">
        <x:f>XLOOKUP($A42,'Specs'!$A$2:$A$164,'Specs'!$N$2:$N$164,"")</x:f>
      </x:c>
      <x:c r="O42" t="str">
        <x:f>XLOOKUP($A42,'Specs'!$A$2:$A$164,'Specs'!$O$2:$O$164,"")</x:f>
      </x:c>
      <x:c r="P42" t="str">
        <x:f>XLOOKUP($A42,'Specs'!$A$2:$A$164,'Specs'!$P$2:$P$164,"")</x:f>
        <x:v>HIGH</x:v>
      </x:c>
      <x:c r="Q42" s="53" t="n">
        <x:f>XLOOKUP($A42,'Specs'!$A$2:$A$164,'Specs'!$Q$2:$Q$164,"")</x:f>
        <x:v>1</x:v>
      </x:c>
      <x:c r="R42" s="53" t="n">
        <x:f>XLOOKUP($A42,'Specs'!$A$2:$A$164,'Specs'!$R$2:$R$164,"")</x:f>
        <x:v>1</x:v>
      </x:c>
      <x:c r="S42" t="str">
        <x:f>'Vendor Options'!A42</x:f>
        <x:v>OFFER-FB59BACE74B1</x:v>
      </x:c>
      <x:c r="T42" t="str">
        <x:f>'Vendor Options'!C42</x:f>
        <x:v>SCH</x:v>
      </x:c>
      <x:c r="U42" t="str">
        <x:f>'Vendor Options'!D42</x:f>
        <x:v>DB SFIC</x:v>
      </x:c>
      <x:c r="V42" t="str">
        <x:f>'Vendor Options'!E42</x:f>
        <x:v>TUBE DB 7 PIN</x:v>
      </x:c>
      <x:c r="W42" t="str">
        <x:f>'Vendor Options'!F42</x:f>
      </x:c>
      <x:c r="X42" t="str">
        <x:f>'Vendor Options'!G42</x:f>
        <x:v>8T37KSTK</x:v>
      </x:c>
      <x:c r="Y42" t="str">
        <x:f>'Vendor Options'!H42</x:f>
        <x:v>8T37KSTK 626-SFIC</x:v>
      </x:c>
      <x:c r="Z42" t="str">
        <x:f>'Vendor Options'!I42</x:f>
      </x:c>
      <x:c r="AA42" s="54" t="n">
        <x:f>'Vendor Options'!J42</x:f>
        <x:v>179.5</x:v>
      </x:c>
      <x:c r="AB42" t="n">
        <x:f>'Vendor Options'!K42</x:f>
        <x:v>0</x:v>
      </x:c>
      <x:c r="AC42" s="57" t="n">
        <x:f>'Vendor Options'!L42</x:f>
        <x:v>0</x:v>
      </x:c>
      <x:c r="AD42" s="57" t="n">
        <x:f>'Vendor Options'!M42</x:f>
        <x:v>0</x:v>
      </x:c>
      <x:c r="AE42" s="54" t="n">
        <x:f>'Vendor Options'!N42</x:f>
        <x:v>179.5</x:v>
      </x:c>
      <x:c r="AF42" t="str">
        <x:f>'Vendor Options'!O42</x:f>
        <x:v>USD</x:v>
      </x:c>
      <x:c r="AG42" t="str">
        <x:f>'Vendor Options'!P42</x:f>
        <x:v>PRICED</x:v>
      </x:c>
      <x:c r="AH42" t="str">
        <x:f>'Vendor Options'!Q42</x:f>
        <x:v>ACTIVE</x:v>
      </x:c>
      <x:c r="AI42" t="str">
        <x:f>'Vendor Options'!R42</x:f>
      </x:c>
      <x:c r="AJ42" t="n">
        <x:f>'Vendor Options'!S42</x:f>
        <x:v>101</x:v>
      </x:c>
    </x:row>
    <x:row r="43" ht="15" hidden="0" customHeight="1">
      <x:c r="A43" t="str">
        <x:f>'Vendor Options'!B43</x:f>
        <x:v>SPEC-F8964A11918A</x:v>
      </x:c>
      <x:c r="B43" t="str">
        <x:f>XLOOKUP($A43,'Specs'!$A$2:$A$164,'Specs'!$B$2:$B$164,"")</x:f>
        <x:v>DEADBOLT</x:v>
      </x:c>
      <x:c r="C43" t="str">
        <x:f>XLOOKUP($A43,'Specs'!$A$2:$A$164,'Specs'!$C$2:$C$164,"")</x:f>
        <x:v>DEADBOLT</x:v>
      </x:c>
      <x:c r="D43" t="str">
        <x:f>XLOOKUP($A43,'Specs'!$A$2:$A$164,'Specs'!$D$2:$D$164,"")</x:f>
      </x:c>
      <x:c r="E43" t="str">
        <x:f>XLOOKUP($A43,'Specs'!$A$2:$A$164,'Specs'!$E$2:$E$164,"")</x:f>
        <x:v>B660B G1 6 PIN INDICATOR</x:v>
      </x:c>
      <x:c r="F43" t="str">
        <x:f>XLOOKUP($A43,'Specs'!$A$2:$A$164,'Specs'!$F$2:$F$164,"")</x:f>
        <x:v>SFIC</x:v>
      </x:c>
      <x:c r="G43" t="str">
        <x:f>XLOOKUP($A43,'Specs'!$A$2:$A$164,'Specs'!$G$2:$G$164,"")</x:f>
      </x:c>
      <x:c r="H43" t="str">
        <x:f>XLOOKUP($A43,'Specs'!$A$2:$A$164,'Specs'!$H$2:$H$164,"")</x:f>
      </x:c>
      <x:c r="I43" t="str">
        <x:f>XLOOKUP($A43,'Specs'!$A$2:$A$164,'Specs'!$I$2:$I$164,"")</x:f>
      </x:c>
      <x:c r="J43" t="str">
        <x:f>XLOOKUP($A43,'Specs'!$A$2:$A$164,'Specs'!$J$2:$J$164,"")</x:f>
      </x:c>
      <x:c r="K43" t="str">
        <x:f>XLOOKUP($A43,'Specs'!$A$2:$A$164,'Specs'!$K$2:$K$164,"")</x:f>
      </x:c>
      <x:c r="L43" t="str">
        <x:f>XLOOKUP($A43,'Specs'!$A$2:$A$164,'Specs'!$L$2:$L$164,"")</x:f>
      </x:c>
      <x:c r="M43" t="str">
        <x:f>XLOOKUP($A43,'Specs'!$A$2:$A$164,'Specs'!$M$2:$M$164,"")</x:f>
      </x:c>
      <x:c r="N43" t="str">
        <x:f>XLOOKUP($A43,'Specs'!$A$2:$A$164,'Specs'!$N$2:$N$164,"")</x:f>
      </x:c>
      <x:c r="O43" t="str">
        <x:f>XLOOKUP($A43,'Specs'!$A$2:$A$164,'Specs'!$O$2:$O$164,"")</x:f>
      </x:c>
      <x:c r="P43" t="str">
        <x:f>XLOOKUP($A43,'Specs'!$A$2:$A$164,'Specs'!$P$2:$P$164,"")</x:f>
        <x:v>MEDIUM</x:v>
      </x:c>
      <x:c r="Q43" s="53" t="n">
        <x:f>XLOOKUP($A43,'Specs'!$A$2:$A$164,'Specs'!$Q$2:$Q$164,"")</x:f>
        <x:v>1</x:v>
      </x:c>
      <x:c r="R43" s="53" t="n">
        <x:f>XLOOKUP($A43,'Specs'!$A$2:$A$164,'Specs'!$R$2:$R$164,"")</x:f>
        <x:v>1</x:v>
      </x:c>
      <x:c r="S43" t="str">
        <x:f>'Vendor Options'!A43</x:f>
        <x:v>OFFER-82FC3473DC07</x:v>
      </x:c>
      <x:c r="T43" t="str">
        <x:f>'Vendor Options'!C43</x:f>
        <x:v>SCH</x:v>
      </x:c>
      <x:c r="U43" t="str">
        <x:f>'Vendor Options'!D43</x:f>
        <x:v>DB SGL-SFIC</x:v>
      </x:c>
      <x:c r="V43" t="str">
        <x:f>'Vendor Options'!E43</x:f>
        <x:v>INDICATOR SFIC</x:v>
      </x:c>
      <x:c r="W43" t="str">
        <x:f>'Vendor Options'!F43</x:f>
      </x:c>
      <x:c r="X43" t="str">
        <x:f>'Vendor Options'!G43</x:f>
        <x:v>B660P</x:v>
      </x:c>
      <x:c r="Y43" t="str">
        <x:f>'Vendor Options'!H43</x:f>
        <x:v>B660P 626 OS-OCC</x:v>
      </x:c>
      <x:c r="Z43" t="str">
        <x:f>'Vendor Options'!I43</x:f>
      </x:c>
      <x:c r="AA43" s="54" t="n">
        <x:f>'Vendor Options'!J43</x:f>
        <x:v>207.84</x:v>
      </x:c>
      <x:c r="AB43" t="n">
        <x:f>'Vendor Options'!K43</x:f>
        <x:v>0</x:v>
      </x:c>
      <x:c r="AC43" s="57" t="n">
        <x:f>'Vendor Options'!L43</x:f>
        <x:v>0</x:v>
      </x:c>
      <x:c r="AD43" s="57" t="n">
        <x:f>'Vendor Options'!M43</x:f>
        <x:v>0</x:v>
      </x:c>
      <x:c r="AE43" s="54" t="n">
        <x:f>'Vendor Options'!N43</x:f>
        <x:v>207.84</x:v>
      </x:c>
      <x:c r="AF43" t="str">
        <x:f>'Vendor Options'!O43</x:f>
        <x:v>USD</x:v>
      </x:c>
      <x:c r="AG43" t="str">
        <x:f>'Vendor Options'!P43</x:f>
        <x:v>PRICED</x:v>
      </x:c>
      <x:c r="AH43" t="str">
        <x:f>'Vendor Options'!Q43</x:f>
        <x:v>REVIEW</x:v>
      </x:c>
      <x:c r="AI43" t="str">
        <x:f>'Vendor Options'!R43</x:f>
        <x:v>CATEGORY_ALIAS_NORMALIZED; PART_NUMBER_CONFLICT</x:v>
      </x:c>
      <x:c r="AJ43" t="n">
        <x:f>'Vendor Options'!S43</x:f>
        <x:v>100</x:v>
      </x:c>
    </x:row>
    <x:row r="44" ht="15" hidden="0" customHeight="1">
      <x:c r="A44" t="str">
        <x:f>'Vendor Options'!B44</x:f>
        <x:v>SPEC-C2F54366822D</x:v>
      </x:c>
      <x:c r="B44" t="str">
        <x:f>XLOOKUP($A44,'Specs'!$A$2:$A$164,'Specs'!$B$2:$B$164,"")</x:f>
        <x:v>DEADBOLT</x:v>
      </x:c>
      <x:c r="C44" t="str">
        <x:f>XLOOKUP($A44,'Specs'!$A$2:$A$164,'Specs'!$C$2:$C$164,"")</x:f>
        <x:v>DEADBOLT</x:v>
      </x:c>
      <x:c r="D44" t="str">
        <x:f>XLOOKUP($A44,'Specs'!$A$2:$A$164,'Specs'!$D$2:$D$164,"")</x:f>
      </x:c>
      <x:c r="E44" t="str">
        <x:f>XLOOKUP($A44,'Specs'!$A$2:$A$164,'Specs'!$E$2:$E$164,"")</x:f>
        <x:v>B660P G1 6 PIN INDICATOR</x:v>
      </x:c>
      <x:c r="F44" t="str">
        <x:f>XLOOKUP($A44,'Specs'!$A$2:$A$164,'Specs'!$F$2:$F$164,"")</x:f>
        <x:v>STANDARD</x:v>
      </x:c>
      <x:c r="G44" t="str">
        <x:f>XLOOKUP($A44,'Specs'!$A$2:$A$164,'Specs'!$G$2:$G$164,"")</x:f>
      </x:c>
      <x:c r="H44" t="str">
        <x:f>XLOOKUP($A44,'Specs'!$A$2:$A$164,'Specs'!$H$2:$H$164,"")</x:f>
      </x:c>
      <x:c r="I44" t="str">
        <x:f>XLOOKUP($A44,'Specs'!$A$2:$A$164,'Specs'!$I$2:$I$164,"")</x:f>
      </x:c>
      <x:c r="J44" t="str">
        <x:f>XLOOKUP($A44,'Specs'!$A$2:$A$164,'Specs'!$J$2:$J$164,"")</x:f>
      </x:c>
      <x:c r="K44" t="str">
        <x:f>XLOOKUP($A44,'Specs'!$A$2:$A$164,'Specs'!$K$2:$K$164,"")</x:f>
      </x:c>
      <x:c r="L44" t="str">
        <x:f>XLOOKUP($A44,'Specs'!$A$2:$A$164,'Specs'!$L$2:$L$164,"")</x:f>
      </x:c>
      <x:c r="M44" t="str">
        <x:f>XLOOKUP($A44,'Specs'!$A$2:$A$164,'Specs'!$M$2:$M$164,"")</x:f>
      </x:c>
      <x:c r="N44" t="str">
        <x:f>XLOOKUP($A44,'Specs'!$A$2:$A$164,'Specs'!$N$2:$N$164,"")</x:f>
      </x:c>
      <x:c r="O44" t="str">
        <x:f>XLOOKUP($A44,'Specs'!$A$2:$A$164,'Specs'!$O$2:$O$164,"")</x:f>
      </x:c>
      <x:c r="P44" t="str">
        <x:f>XLOOKUP($A44,'Specs'!$A$2:$A$164,'Specs'!$P$2:$P$164,"")</x:f>
        <x:v>MEDIUM</x:v>
      </x:c>
      <x:c r="Q44" s="53" t="n">
        <x:f>XLOOKUP($A44,'Specs'!$A$2:$A$164,'Specs'!$Q$2:$Q$164,"")</x:f>
        <x:v>1</x:v>
      </x:c>
      <x:c r="R44" s="53" t="n">
        <x:f>XLOOKUP($A44,'Specs'!$A$2:$A$164,'Specs'!$R$2:$R$164,"")</x:f>
        <x:v>1</x:v>
      </x:c>
      <x:c r="S44" t="str">
        <x:f>'Vendor Options'!A44</x:f>
        <x:v>OFFER-6016F1721701</x:v>
      </x:c>
      <x:c r="T44" t="str">
        <x:f>'Vendor Options'!C44</x:f>
        <x:v>SCH</x:v>
      </x:c>
      <x:c r="U44" t="str">
        <x:f>'Vendor Options'!D44</x:f>
        <x:v>DB SGL</x:v>
      </x:c>
      <x:c r="V44" t="str">
        <x:f>'Vendor Options'!E44</x:f>
        <x:v>INDICATOR</x:v>
      </x:c>
      <x:c r="W44" t="str">
        <x:f>'Vendor Options'!F44</x:f>
      </x:c>
      <x:c r="X44" t="str">
        <x:f>'Vendor Options'!G44</x:f>
        <x:v>B660B</x:v>
      </x:c>
      <x:c r="Y44" t="str">
        <x:f>'Vendor Options'!H44</x:f>
        <x:v>B660B 626 OS-OCC</x:v>
      </x:c>
      <x:c r="Z44" t="str">
        <x:f>'Vendor Options'!I44</x:f>
      </x:c>
      <x:c r="AA44" s="54" t="n">
        <x:f>'Vendor Options'!J44</x:f>
        <x:v>207.84</x:v>
      </x:c>
      <x:c r="AB44" t="n">
        <x:f>'Vendor Options'!K44</x:f>
        <x:v>0</x:v>
      </x:c>
      <x:c r="AC44" s="57" t="n">
        <x:f>'Vendor Options'!L44</x:f>
        <x:v>0</x:v>
      </x:c>
      <x:c r="AD44" s="57" t="n">
        <x:f>'Vendor Options'!M44</x:f>
        <x:v>0</x:v>
      </x:c>
      <x:c r="AE44" s="54" t="n">
        <x:f>'Vendor Options'!N44</x:f>
        <x:v>207.84</x:v>
      </x:c>
      <x:c r="AF44" t="str">
        <x:f>'Vendor Options'!O44</x:f>
        <x:v>USD</x:v>
      </x:c>
      <x:c r="AG44" t="str">
        <x:f>'Vendor Options'!P44</x:f>
        <x:v>PRICED</x:v>
      </x:c>
      <x:c r="AH44" t="str">
        <x:f>'Vendor Options'!Q44</x:f>
        <x:v>REVIEW</x:v>
      </x:c>
      <x:c r="AI44" t="str">
        <x:f>'Vendor Options'!R44</x:f>
        <x:v>CATEGORY_ALIAS_NORMALIZED; PART_NUMBER_CONFLICT</x:v>
      </x:c>
      <x:c r="AJ44" t="n">
        <x:f>'Vendor Options'!S44</x:f>
        <x:v>99</x:v>
      </x:c>
    </x:row>
    <x:row r="45" ht="15" hidden="0" customHeight="1">
      <x:c r="A45" t="str">
        <x:f>'Vendor Options'!B45</x:f>
        <x:v>SPEC-26D5BBD2F119</x:v>
      </x:c>
      <x:c r="B45" t="str">
        <x:f>XLOOKUP($A45,'Specs'!$A$2:$A$164,'Specs'!$B$2:$B$164,"")</x:f>
        <x:v>DEADBOLT</x:v>
      </x:c>
      <x:c r="C45" t="str">
        <x:f>XLOOKUP($A45,'Specs'!$A$2:$A$164,'Specs'!$C$2:$C$164,"")</x:f>
        <x:v>DEADBOLT</x:v>
      </x:c>
      <x:c r="D45" t="str">
        <x:f>XLOOKUP($A45,'Specs'!$A$2:$A$164,'Specs'!$D$2:$D$164,"")</x:f>
      </x:c>
      <x:c r="E45" t="str">
        <x:f>XLOOKUP($A45,'Specs'!$A$2:$A$164,'Specs'!$E$2:$E$164,"")</x:f>
        <x:v>D1S SGL CYL DEADBOLT SFIC</x:v>
      </x:c>
      <x:c r="F45" t="str">
        <x:f>XLOOKUP($A45,'Specs'!$A$2:$A$164,'Specs'!$F$2:$F$164,"")</x:f>
        <x:v>SFIC</x:v>
      </x:c>
      <x:c r="G45" t="str">
        <x:f>XLOOKUP($A45,'Specs'!$A$2:$A$164,'Specs'!$G$2:$G$164,"")</x:f>
        <x:v>2.75" BACKSET</x:v>
      </x:c>
      <x:c r="H45" t="str">
        <x:f>XLOOKUP($A45,'Specs'!$A$2:$A$164,'Specs'!$H$2:$H$164,"")</x:f>
      </x:c>
      <x:c r="I45" t="str">
        <x:f>XLOOKUP($A45,'Specs'!$A$2:$A$164,'Specs'!$I$2:$I$164,"")</x:f>
      </x:c>
      <x:c r="J45" t="str">
        <x:f>XLOOKUP($A45,'Specs'!$A$2:$A$164,'Specs'!$J$2:$J$164,"")</x:f>
      </x:c>
      <x:c r="K45" t="str">
        <x:f>XLOOKUP($A45,'Specs'!$A$2:$A$164,'Specs'!$K$2:$K$164,"")</x:f>
      </x:c>
      <x:c r="L45" t="str">
        <x:f>XLOOKUP($A45,'Specs'!$A$2:$A$164,'Specs'!$L$2:$L$164,"")</x:f>
      </x:c>
      <x:c r="M45" t="n">
        <x:f>XLOOKUP($A45,'Specs'!$A$2:$A$164,'Specs'!$M$2:$M$164,"")</x:f>
        <x:v>626</x:v>
      </x:c>
      <x:c r="N45" t="str">
        <x:f>XLOOKUP($A45,'Specs'!$A$2:$A$164,'Specs'!$N$2:$N$164,"")</x:f>
      </x:c>
      <x:c r="O45" t="str">
        <x:f>XLOOKUP($A45,'Specs'!$A$2:$A$164,'Specs'!$O$2:$O$164,"")</x:f>
      </x:c>
      <x:c r="P45" t="str">
        <x:f>XLOOKUP($A45,'Specs'!$A$2:$A$164,'Specs'!$P$2:$P$164,"")</x:f>
        <x:v>HIGH</x:v>
      </x:c>
      <x:c r="Q45" s="53" t="n">
        <x:f>XLOOKUP($A45,'Specs'!$A$2:$A$164,'Specs'!$Q$2:$Q$164,"")</x:f>
        <x:v>1</x:v>
      </x:c>
      <x:c r="R45" s="53" t="n">
        <x:f>XLOOKUP($A45,'Specs'!$A$2:$A$164,'Specs'!$R$2:$R$164,"")</x:f>
        <x:v>1</x:v>
      </x:c>
      <x:c r="S45" t="str">
        <x:f>'Vendor Options'!A45</x:f>
        <x:v>OFFER-CA46F754A6A1</x:v>
      </x:c>
      <x:c r="T45" t="str">
        <x:f>'Vendor Options'!C45</x:f>
        <x:v>DH</x:v>
      </x:c>
      <x:c r="U45" t="str">
        <x:f>'Vendor Options'!D45</x:f>
        <x:v>D1S-SFIC</x:v>
      </x:c>
      <x:c r="V45" t="str">
        <x:f>'Vendor Options'!E45</x:f>
        <x:v>2.75 BS</x:v>
      </x:c>
      <x:c r="W45" t="str">
        <x:f>'Vendor Options'!F45</x:f>
      </x:c>
      <x:c r="X45" t="str">
        <x:f>'Vendor Options'!G45</x:f>
        <x:v>78001542</x:v>
      </x:c>
      <x:c r="Y45" t="str">
        <x:f>'Vendor Options'!H45</x:f>
        <x:v>78001542 - D1-S-IC Single Cylinder Deadbolt (SFIC - no core)</x:v>
      </x:c>
      <x:c r="Z45" t="str">
        <x:f>'Vendor Options'!I45</x:f>
      </x:c>
      <x:c r="AA45" s="54" t="n">
        <x:f>'Vendor Options'!J45</x:f>
        <x:v>138.25</x:v>
      </x:c>
      <x:c r="AB45" t="n">
        <x:f>'Vendor Options'!K45</x:f>
        <x:v>0</x:v>
      </x:c>
      <x:c r="AC45" s="57" t="n">
        <x:f>'Vendor Options'!L45</x:f>
        <x:v>0</x:v>
      </x:c>
      <x:c r="AD45" s="57" t="n">
        <x:f>'Vendor Options'!M45</x:f>
        <x:v>0</x:v>
      </x:c>
      <x:c r="AE45" s="54" t="n">
        <x:f>'Vendor Options'!N45</x:f>
        <x:v>138.25</x:v>
      </x:c>
      <x:c r="AF45" t="str">
        <x:f>'Vendor Options'!O45</x:f>
        <x:v>USD</x:v>
      </x:c>
      <x:c r="AG45" t="str">
        <x:f>'Vendor Options'!P45</x:f>
        <x:v>PRICED</x:v>
      </x:c>
      <x:c r="AH45" t="str">
        <x:f>'Vendor Options'!Q45</x:f>
        <x:v>ACTIVE</x:v>
      </x:c>
      <x:c r="AI45" t="str">
        <x:f>'Vendor Options'!R45</x:f>
      </x:c>
      <x:c r="AJ45" t="n">
        <x:f>'Vendor Options'!S45</x:f>
        <x:v>86</x:v>
      </x:c>
    </x:row>
    <x:row r="46" ht="15" hidden="0" customHeight="1">
      <x:c r="A46" t="str">
        <x:f>'Vendor Options'!B46</x:f>
        <x:v>SPEC-510A92415613</x:v>
      </x:c>
      <x:c r="B46" t="str">
        <x:f>XLOOKUP($A46,'Specs'!$A$2:$A$164,'Specs'!$B$2:$B$164,"")</x:f>
        <x:v>DEADBOLT</x:v>
      </x:c>
      <x:c r="C46" t="str">
        <x:f>XLOOKUP($A46,'Specs'!$A$2:$A$164,'Specs'!$C$2:$C$164,"")</x:f>
        <x:v>DEADBOLT</x:v>
      </x:c>
      <x:c r="D46" t="str">
        <x:f>XLOOKUP($A46,'Specs'!$A$2:$A$164,'Specs'!$D$2:$D$164,"")</x:f>
      </x:c>
      <x:c r="E46" t="str">
        <x:f>XLOOKUP($A46,'Specs'!$A$2:$A$164,'Specs'!$E$2:$E$164,"")</x:f>
        <x:v>D1S SGL CYL DEADBOLT</x:v>
      </x:c>
      <x:c r="F46" t="str">
        <x:f>XLOOKUP($A46,'Specs'!$A$2:$A$164,'Specs'!$F$2:$F$164,"")</x:f>
        <x:v>STANDARD</x:v>
      </x:c>
      <x:c r="G46" t="str">
        <x:f>XLOOKUP($A46,'Specs'!$A$2:$A$164,'Specs'!$G$2:$G$164,"")</x:f>
        <x:v>2.75" BACKSET</x:v>
      </x:c>
      <x:c r="H46" t="str">
        <x:f>XLOOKUP($A46,'Specs'!$A$2:$A$164,'Specs'!$H$2:$H$164,"")</x:f>
      </x:c>
      <x:c r="I46" t="str">
        <x:f>XLOOKUP($A46,'Specs'!$A$2:$A$164,'Specs'!$I$2:$I$164,"")</x:f>
      </x:c>
      <x:c r="J46" t="str">
        <x:f>XLOOKUP($A46,'Specs'!$A$2:$A$164,'Specs'!$J$2:$J$164,"")</x:f>
      </x:c>
      <x:c r="K46" t="str">
        <x:f>XLOOKUP($A46,'Specs'!$A$2:$A$164,'Specs'!$K$2:$K$164,"")</x:f>
      </x:c>
      <x:c r="L46" t="str">
        <x:f>XLOOKUP($A46,'Specs'!$A$2:$A$164,'Specs'!$L$2:$L$164,"")</x:f>
      </x:c>
      <x:c r="M46" t="n">
        <x:f>XLOOKUP($A46,'Specs'!$A$2:$A$164,'Specs'!$M$2:$M$164,"")</x:f>
        <x:v>626</x:v>
      </x:c>
      <x:c r="N46" t="str">
        <x:f>XLOOKUP($A46,'Specs'!$A$2:$A$164,'Specs'!$N$2:$N$164,"")</x:f>
      </x:c>
      <x:c r="O46" t="str">
        <x:f>XLOOKUP($A46,'Specs'!$A$2:$A$164,'Specs'!$O$2:$O$164,"")</x:f>
      </x:c>
      <x:c r="P46" t="str">
        <x:f>XLOOKUP($A46,'Specs'!$A$2:$A$164,'Specs'!$P$2:$P$164,"")</x:f>
        <x:v>HIGH</x:v>
      </x:c>
      <x:c r="Q46" s="53" t="n">
        <x:f>XLOOKUP($A46,'Specs'!$A$2:$A$164,'Specs'!$Q$2:$Q$164,"")</x:f>
        <x:v>1</x:v>
      </x:c>
      <x:c r="R46" s="53" t="n">
        <x:f>XLOOKUP($A46,'Specs'!$A$2:$A$164,'Specs'!$R$2:$R$164,"")</x:f>
        <x:v>1</x:v>
      </x:c>
      <x:c r="S46" t="str">
        <x:f>'Vendor Options'!A46</x:f>
        <x:v>OFFER-0BC2D03C5327</x:v>
      </x:c>
      <x:c r="T46" t="str">
        <x:f>'Vendor Options'!C46</x:f>
        <x:v>DH</x:v>
      </x:c>
      <x:c r="U46" t="str">
        <x:f>'Vendor Options'!D46</x:f>
        <x:v>D1S</x:v>
      </x:c>
      <x:c r="V46" t="str">
        <x:f>'Vendor Options'!E46</x:f>
        <x:v>2.75 BS</x:v>
      </x:c>
      <x:c r="W46" t="str">
        <x:f>'Vendor Options'!F46</x:f>
      </x:c>
      <x:c r="X46" t="str">
        <x:f>'Vendor Options'!G46</x:f>
        <x:v>78001539</x:v>
      </x:c>
      <x:c r="Y46" t="str">
        <x:f>'Vendor Options'!H46</x:f>
        <x:v>78001539 - D1-S Single Cylinder Deadbolt</x:v>
      </x:c>
      <x:c r="Z46" t="str">
        <x:f>'Vendor Options'!I46</x:f>
      </x:c>
      <x:c r="AA46" s="54" t="n">
        <x:f>'Vendor Options'!J46</x:f>
        <x:v>138.25</x:v>
      </x:c>
      <x:c r="AB46" t="n">
        <x:f>'Vendor Options'!K46</x:f>
        <x:v>0</x:v>
      </x:c>
      <x:c r="AC46" s="57" t="n">
        <x:f>'Vendor Options'!L46</x:f>
        <x:v>0</x:v>
      </x:c>
      <x:c r="AD46" s="57" t="n">
        <x:f>'Vendor Options'!M46</x:f>
        <x:v>0</x:v>
      </x:c>
      <x:c r="AE46" s="54" t="n">
        <x:f>'Vendor Options'!N46</x:f>
        <x:v>138.25</x:v>
      </x:c>
      <x:c r="AF46" t="str">
        <x:f>'Vendor Options'!O46</x:f>
        <x:v>USD</x:v>
      </x:c>
      <x:c r="AG46" t="str">
        <x:f>'Vendor Options'!P46</x:f>
        <x:v>PRICED</x:v>
      </x:c>
      <x:c r="AH46" t="str">
        <x:f>'Vendor Options'!Q46</x:f>
        <x:v>ACTIVE</x:v>
      </x:c>
      <x:c r="AI46" t="str">
        <x:f>'Vendor Options'!R46</x:f>
      </x:c>
      <x:c r="AJ46" t="n">
        <x:f>'Vendor Options'!S46</x:f>
        <x:v>85</x:v>
      </x:c>
    </x:row>
    <x:row r="47" ht="15" hidden="0" customHeight="1">
      <x:c r="A47" t="str">
        <x:f>'Vendor Options'!B47</x:f>
        <x:v>SPEC-84C1D93020B1</x:v>
      </x:c>
      <x:c r="B47" t="str">
        <x:f>XLOOKUP($A47,'Specs'!$A$2:$A$164,'Specs'!$B$2:$B$164,"")</x:f>
        <x:v>DEADBOLT</x:v>
      </x:c>
      <x:c r="C47" t="str">
        <x:f>XLOOKUP($A47,'Specs'!$A$2:$A$164,'Specs'!$C$2:$C$164,"")</x:f>
        <x:v>DEADBOLT</x:v>
      </x:c>
      <x:c r="D47" t="str">
        <x:f>XLOOKUP($A47,'Specs'!$A$2:$A$164,'Specs'!$D$2:$D$164,"")</x:f>
      </x:c>
      <x:c r="E47" t="str">
        <x:f>XLOOKUP($A47,'Specs'!$A$2:$A$164,'Specs'!$E$2:$E$164,"")</x:f>
        <x:v>D2S SGL CYL DEADBOLT SFIC</x:v>
      </x:c>
      <x:c r="F47" t="str">
        <x:f>XLOOKUP($A47,'Specs'!$A$2:$A$164,'Specs'!$F$2:$F$164,"")</x:f>
        <x:v>SFIC</x:v>
      </x:c>
      <x:c r="G47" t="str">
        <x:f>XLOOKUP($A47,'Specs'!$A$2:$A$164,'Specs'!$G$2:$G$164,"")</x:f>
        <x:v>2.75" BACKSET</x:v>
      </x:c>
      <x:c r="H47" t="str">
        <x:f>XLOOKUP($A47,'Specs'!$A$2:$A$164,'Specs'!$H$2:$H$164,"")</x:f>
      </x:c>
      <x:c r="I47" t="str">
        <x:f>XLOOKUP($A47,'Specs'!$A$2:$A$164,'Specs'!$I$2:$I$164,"")</x:f>
      </x:c>
      <x:c r="J47" t="str">
        <x:f>XLOOKUP($A47,'Specs'!$A$2:$A$164,'Specs'!$J$2:$J$164,"")</x:f>
      </x:c>
      <x:c r="K47" t="str">
        <x:f>XLOOKUP($A47,'Specs'!$A$2:$A$164,'Specs'!$K$2:$K$164,"")</x:f>
      </x:c>
      <x:c r="L47" t="str">
        <x:f>XLOOKUP($A47,'Specs'!$A$2:$A$164,'Specs'!$L$2:$L$164,"")</x:f>
      </x:c>
      <x:c r="M47" t="n">
        <x:f>XLOOKUP($A47,'Specs'!$A$2:$A$164,'Specs'!$M$2:$M$164,"")</x:f>
        <x:v>626</x:v>
      </x:c>
      <x:c r="N47" t="str">
        <x:f>XLOOKUP($A47,'Specs'!$A$2:$A$164,'Specs'!$N$2:$N$164,"")</x:f>
      </x:c>
      <x:c r="O47" t="str">
        <x:f>XLOOKUP($A47,'Specs'!$A$2:$A$164,'Specs'!$O$2:$O$164,"")</x:f>
      </x:c>
      <x:c r="P47" t="str">
        <x:f>XLOOKUP($A47,'Specs'!$A$2:$A$164,'Specs'!$P$2:$P$164,"")</x:f>
        <x:v>HIGH</x:v>
      </x:c>
      <x:c r="Q47" s="53" t="n">
        <x:f>XLOOKUP($A47,'Specs'!$A$2:$A$164,'Specs'!$Q$2:$Q$164,"")</x:f>
        <x:v>1</x:v>
      </x:c>
      <x:c r="R47" s="53" t="n">
        <x:f>XLOOKUP($A47,'Specs'!$A$2:$A$164,'Specs'!$R$2:$R$164,"")</x:f>
        <x:v>1</x:v>
      </x:c>
      <x:c r="S47" t="str">
        <x:f>'Vendor Options'!A47</x:f>
        <x:v>OFFER-52F14986C3B8</x:v>
      </x:c>
      <x:c r="T47" t="str">
        <x:f>'Vendor Options'!C47</x:f>
        <x:v>DH</x:v>
      </x:c>
      <x:c r="U47" t="str">
        <x:f>'Vendor Options'!D47</x:f>
        <x:v>D2S-SFIC</x:v>
      </x:c>
      <x:c r="V47" t="str">
        <x:f>'Vendor Options'!E47</x:f>
        <x:v>2.75 BS</x:v>
      </x:c>
      <x:c r="W47" t="str">
        <x:f>'Vendor Options'!F47</x:f>
      </x:c>
      <x:c r="X47" t="str">
        <x:f>'Vendor Options'!G47</x:f>
        <x:v>78001579</x:v>
      </x:c>
      <x:c r="Y47" t="str">
        <x:f>'Vendor Options'!H47</x:f>
        <x:v>78001579 - D2-S-IC Single Cylinder Deadbolt (SFIC - no core)</x:v>
      </x:c>
      <x:c r="Z47" t="str">
        <x:f>'Vendor Options'!I47</x:f>
      </x:c>
      <x:c r="AA47" s="54" t="n">
        <x:f>'Vendor Options'!J47</x:f>
        <x:v>88.95</x:v>
      </x:c>
      <x:c r="AB47" t="n">
        <x:f>'Vendor Options'!K47</x:f>
        <x:v>0</x:v>
      </x:c>
      <x:c r="AC47" s="57" t="n">
        <x:f>'Vendor Options'!L47</x:f>
        <x:v>0</x:v>
      </x:c>
      <x:c r="AD47" s="57" t="n">
        <x:f>'Vendor Options'!M47</x:f>
        <x:v>0</x:v>
      </x:c>
      <x:c r="AE47" s="54" t="n">
        <x:f>'Vendor Options'!N47</x:f>
        <x:v>88.95</x:v>
      </x:c>
      <x:c r="AF47" t="str">
        <x:f>'Vendor Options'!O47</x:f>
        <x:v>USD</x:v>
      </x:c>
      <x:c r="AG47" t="str">
        <x:f>'Vendor Options'!P47</x:f>
        <x:v>PRICED</x:v>
      </x:c>
      <x:c r="AH47" t="str">
        <x:f>'Vendor Options'!Q47</x:f>
        <x:v>ACTIVE</x:v>
      </x:c>
      <x:c r="AI47" t="str">
        <x:f>'Vendor Options'!R47</x:f>
      </x:c>
      <x:c r="AJ47" t="n">
        <x:f>'Vendor Options'!S47</x:f>
        <x:v>88</x:v>
      </x:c>
    </x:row>
    <x:row r="48" ht="15" hidden="0" customHeight="1">
      <x:c r="A48" t="str">
        <x:f>'Vendor Options'!B48</x:f>
        <x:v>SPEC-E24F62A042A6</x:v>
      </x:c>
      <x:c r="B48" t="str">
        <x:f>XLOOKUP($A48,'Specs'!$A$2:$A$164,'Specs'!$B$2:$B$164,"")</x:f>
        <x:v>DEADBOLT</x:v>
      </x:c>
      <x:c r="C48" t="str">
        <x:f>XLOOKUP($A48,'Specs'!$A$2:$A$164,'Specs'!$C$2:$C$164,"")</x:f>
        <x:v>DEADBOLT</x:v>
      </x:c>
      <x:c r="D48" t="str">
        <x:f>XLOOKUP($A48,'Specs'!$A$2:$A$164,'Specs'!$D$2:$D$164,"")</x:f>
      </x:c>
      <x:c r="E48" t="str">
        <x:f>XLOOKUP($A48,'Specs'!$A$2:$A$164,'Specs'!$E$2:$E$164,"")</x:f>
        <x:v>D2S SGL CYL DEADBOLT</x:v>
      </x:c>
      <x:c r="F48" t="str">
        <x:f>XLOOKUP($A48,'Specs'!$A$2:$A$164,'Specs'!$F$2:$F$164,"")</x:f>
        <x:v>STANDARD</x:v>
      </x:c>
      <x:c r="G48" t="str">
        <x:f>XLOOKUP($A48,'Specs'!$A$2:$A$164,'Specs'!$G$2:$G$164,"")</x:f>
        <x:v>2.75" BACKSET</x:v>
      </x:c>
      <x:c r="H48" t="str">
        <x:f>XLOOKUP($A48,'Specs'!$A$2:$A$164,'Specs'!$H$2:$H$164,"")</x:f>
      </x:c>
      <x:c r="I48" t="str">
        <x:f>XLOOKUP($A48,'Specs'!$A$2:$A$164,'Specs'!$I$2:$I$164,"")</x:f>
      </x:c>
      <x:c r="J48" t="str">
        <x:f>XLOOKUP($A48,'Specs'!$A$2:$A$164,'Specs'!$J$2:$J$164,"")</x:f>
      </x:c>
      <x:c r="K48" t="str">
        <x:f>XLOOKUP($A48,'Specs'!$A$2:$A$164,'Specs'!$K$2:$K$164,"")</x:f>
      </x:c>
      <x:c r="L48" t="str">
        <x:f>XLOOKUP($A48,'Specs'!$A$2:$A$164,'Specs'!$L$2:$L$164,"")</x:f>
      </x:c>
      <x:c r="M48" t="n">
        <x:f>XLOOKUP($A48,'Specs'!$A$2:$A$164,'Specs'!$M$2:$M$164,"")</x:f>
        <x:v>626</x:v>
      </x:c>
      <x:c r="N48" t="str">
        <x:f>XLOOKUP($A48,'Specs'!$A$2:$A$164,'Specs'!$N$2:$N$164,"")</x:f>
      </x:c>
      <x:c r="O48" t="str">
        <x:f>XLOOKUP($A48,'Specs'!$A$2:$A$164,'Specs'!$O$2:$O$164,"")</x:f>
      </x:c>
      <x:c r="P48" t="str">
        <x:f>XLOOKUP($A48,'Specs'!$A$2:$A$164,'Specs'!$P$2:$P$164,"")</x:f>
        <x:v>HIGH</x:v>
      </x:c>
      <x:c r="Q48" s="53" t="n">
        <x:f>XLOOKUP($A48,'Specs'!$A$2:$A$164,'Specs'!$Q$2:$Q$164,"")</x:f>
        <x:v>1</x:v>
      </x:c>
      <x:c r="R48" s="53" t="n">
        <x:f>XLOOKUP($A48,'Specs'!$A$2:$A$164,'Specs'!$R$2:$R$164,"")</x:f>
        <x:v>1</x:v>
      </x:c>
      <x:c r="S48" t="str">
        <x:f>'Vendor Options'!A48</x:f>
        <x:v>OFFER-C9DC2BB3B6DB</x:v>
      </x:c>
      <x:c r="T48" t="str">
        <x:f>'Vendor Options'!C48</x:f>
        <x:v>DH</x:v>
      </x:c>
      <x:c r="U48" t="str">
        <x:f>'Vendor Options'!D48</x:f>
        <x:v>D2S</x:v>
      </x:c>
      <x:c r="V48" t="str">
        <x:f>'Vendor Options'!E48</x:f>
        <x:v>2.75 BS</x:v>
      </x:c>
      <x:c r="W48" t="str">
        <x:f>'Vendor Options'!F48</x:f>
      </x:c>
      <x:c r="X48" t="str">
        <x:f>'Vendor Options'!G48</x:f>
        <x:v>78001576</x:v>
      </x:c>
      <x:c r="Y48" t="str">
        <x:f>'Vendor Options'!H48</x:f>
        <x:v>78001576 - D2-S Single Cylinder Deadbolt</x:v>
      </x:c>
      <x:c r="Z48" t="n">
        <x:f>'Vendor Options'!I48</x:f>
        <x:v>0</x:v>
      </x:c>
      <x:c r="AA48" s="54" t="n">
        <x:f>'Vendor Options'!J48</x:f>
        <x:v>88.95</x:v>
      </x:c>
      <x:c r="AB48" t="n">
        <x:f>'Vendor Options'!K48</x:f>
        <x:v>0</x:v>
      </x:c>
      <x:c r="AC48" s="57" t="n">
        <x:f>'Vendor Options'!L48</x:f>
        <x:v>0</x:v>
      </x:c>
      <x:c r="AD48" s="57" t="n">
        <x:f>'Vendor Options'!M48</x:f>
        <x:v>0</x:v>
      </x:c>
      <x:c r="AE48" s="54" t="n">
        <x:f>'Vendor Options'!N48</x:f>
        <x:v>88.95</x:v>
      </x:c>
      <x:c r="AF48" t="str">
        <x:f>'Vendor Options'!O48</x:f>
        <x:v>USD</x:v>
      </x:c>
      <x:c r="AG48" t="str">
        <x:f>'Vendor Options'!P48</x:f>
        <x:v>PRICED</x:v>
      </x:c>
      <x:c r="AH48" t="str">
        <x:f>'Vendor Options'!Q48</x:f>
        <x:v>ACTIVE</x:v>
      </x:c>
      <x:c r="AI48" t="str">
        <x:f>'Vendor Options'!R48</x:f>
      </x:c>
      <x:c r="AJ48" t="n">
        <x:f>'Vendor Options'!S48</x:f>
        <x:v>87</x:v>
      </x:c>
    </x:row>
    <x:row r="49" ht="15" hidden="0" customHeight="1">
      <x:c r="A49" t="str">
        <x:f>'Vendor Options'!B49</x:f>
        <x:v>SPEC-7DFF62A819FC</x:v>
      </x:c>
      <x:c r="B49" t="str">
        <x:f>XLOOKUP($A49,'Specs'!$A$2:$A$164,'Specs'!$B$2:$B$164,"")</x:f>
        <x:v>DEADBOLT</x:v>
      </x:c>
      <x:c r="C49" t="str">
        <x:f>XLOOKUP($A49,'Specs'!$A$2:$A$164,'Specs'!$C$2:$C$164,"")</x:f>
        <x:v>PULL PLATE</x:v>
      </x:c>
      <x:c r="D49" t="str">
        <x:f>XLOOKUP($A49,'Specs'!$A$2:$A$164,'Specs'!$D$2:$D$164,"")</x:f>
      </x:c>
      <x:c r="E49" t="str">
        <x:f>XLOOKUP($A49,'Specs'!$A$2:$A$164,'Specs'!$E$2:$E$164,"")</x:f>
        <x:v>3 * 4.5" .625 PROJECTION 2.125 HOLE</x:v>
      </x:c>
      <x:c r="F49" t="str">
        <x:f>XLOOKUP($A49,'Specs'!$A$2:$A$164,'Specs'!$F$2:$F$164,"")</x:f>
        <x:v>STANDARD</x:v>
      </x:c>
      <x:c r="G49" t="str">
        <x:f>XLOOKUP($A49,'Specs'!$A$2:$A$164,'Specs'!$G$2:$G$164,"")</x:f>
      </x:c>
      <x:c r="H49" t="str">
        <x:f>XLOOKUP($A49,'Specs'!$A$2:$A$164,'Specs'!$H$2:$H$164,"")</x:f>
      </x:c>
      <x:c r="I49" t="str">
        <x:f>XLOOKUP($A49,'Specs'!$A$2:$A$164,'Specs'!$I$2:$I$164,"")</x:f>
      </x:c>
      <x:c r="J49" t="str">
        <x:f>XLOOKUP($A49,'Specs'!$A$2:$A$164,'Specs'!$J$2:$J$164,"")</x:f>
      </x:c>
      <x:c r="K49" t="str">
        <x:f>XLOOKUP($A49,'Specs'!$A$2:$A$164,'Specs'!$K$2:$K$164,"")</x:f>
      </x:c>
      <x:c r="L49" t="str">
        <x:f>XLOOKUP($A49,'Specs'!$A$2:$A$164,'Specs'!$L$2:$L$164,"")</x:f>
      </x:c>
      <x:c r="M49" t="n">
        <x:f>XLOOKUP($A49,'Specs'!$A$2:$A$164,'Specs'!$M$2:$M$164,"")</x:f>
        <x:v>630</x:v>
      </x:c>
      <x:c r="N49" t="str">
        <x:f>XLOOKUP($A49,'Specs'!$A$2:$A$164,'Specs'!$N$2:$N$164,"")</x:f>
      </x:c>
      <x:c r="O49" t="str">
        <x:f>XLOOKUP($A49,'Specs'!$A$2:$A$164,'Specs'!$O$2:$O$164,"")</x:f>
      </x:c>
      <x:c r="P49" t="str">
        <x:f>XLOOKUP($A49,'Specs'!$A$2:$A$164,'Specs'!$P$2:$P$164,"")</x:f>
        <x:v>HIGH</x:v>
      </x:c>
      <x:c r="Q49" s="53" t="n">
        <x:f>XLOOKUP($A49,'Specs'!$A$2:$A$164,'Specs'!$Q$2:$Q$164,"")</x:f>
        <x:v>1</x:v>
      </x:c>
      <x:c r="R49" s="53" t="n">
        <x:f>XLOOKUP($A49,'Specs'!$A$2:$A$164,'Specs'!$R$2:$R$164,"")</x:f>
        <x:v>1</x:v>
      </x:c>
      <x:c r="S49" t="str">
        <x:f>'Vendor Options'!A49</x:f>
        <x:v>OFFER-329B13A6AC55</x:v>
      </x:c>
      <x:c r="T49" t="str">
        <x:f>'Vendor Options'!C49</x:f>
        <x:v>DJ</x:v>
      </x:c>
      <x:c r="U49" t="str">
        <x:f>'Vendor Options'!D49</x:f>
        <x:v>DB PULL PLATE OFFSET</x:v>
      </x:c>
      <x:c r="V49" t="str">
        <x:f>'Vendor Options'!E49</x:f>
        <x:v>DEADBOLT PULL</x:v>
      </x:c>
      <x:c r="W49" t="str">
        <x:f>'Vendor Options'!F49</x:f>
      </x:c>
      <x:c r="X49" t="str">
        <x:f>'Vendor Options'!G49</x:f>
        <x:v>1875</x:v>
      </x:c>
      <x:c r="Y49" t="str">
        <x:f>'Vendor Options'!H49</x:f>
        <x:v>1875</x:v>
      </x:c>
      <x:c r="Z49" t="n">
        <x:f>'Vendor Options'!I49</x:f>
        <x:v>0</x:v>
      </x:c>
      <x:c r="AA49" s="54" t="n">
        <x:f>'Vendor Options'!J49</x:f>
        <x:v>0</x:v>
      </x:c>
      <x:c r="AB49" t="n">
        <x:f>'Vendor Options'!K49</x:f>
        <x:v>0</x:v>
      </x:c>
      <x:c r="AC49" s="57" t="n">
        <x:f>'Vendor Options'!L49</x:f>
        <x:v>0</x:v>
      </x:c>
      <x:c r="AD49" s="57" t="n">
        <x:f>'Vendor Options'!M49</x:f>
        <x:v>0</x:v>
      </x:c>
      <x:c r="AE49" s="54" t="str">
        <x:f>'Vendor Options'!N49</x:f>
      </x:c>
      <x:c r="AF49" t="str">
        <x:f>'Vendor Options'!O49</x:f>
        <x:v>USD</x:v>
      </x:c>
      <x:c r="AG49" t="str">
        <x:f>'Vendor Options'!P49</x:f>
        <x:v>UNPRICED</x:v>
      </x:c>
      <x:c r="AH49" t="str">
        <x:f>'Vendor Options'!Q49</x:f>
        <x:v>ACTIVE</x:v>
      </x:c>
      <x:c r="AI49" t="str">
        <x:f>'Vendor Options'!R49</x:f>
        <x:v>MISSING_PRICE</x:v>
      </x:c>
      <x:c r="AJ49" t="n">
        <x:f>'Vendor Options'!S49</x:f>
        <x:v>104</x:v>
      </x:c>
    </x:row>
    <x:row r="50" ht="15" hidden="0" customHeight="1">
      <x:c r="A50" t="str">
        <x:f>'Vendor Options'!B50</x:f>
        <x:v>SPEC-FEDA413E0129</x:v>
      </x:c>
      <x:c r="B50" t="str">
        <x:f>XLOOKUP($A50,'Specs'!$A$2:$A$164,'Specs'!$B$2:$B$164,"")</x:f>
        <x:v>DEADBOLT</x:v>
      </x:c>
      <x:c r="C50" t="str">
        <x:f>XLOOKUP($A50,'Specs'!$A$2:$A$164,'Specs'!$C$2:$C$164,"")</x:f>
        <x:v>PULL PLATE</x:v>
      </x:c>
      <x:c r="D50" t="str">
        <x:f>XLOOKUP($A50,'Specs'!$A$2:$A$164,'Specs'!$D$2:$D$164,"")</x:f>
      </x:c>
      <x:c r="E50" t="str">
        <x:f>XLOOKUP($A50,'Specs'!$A$2:$A$164,'Specs'!$E$2:$E$164,"")</x:f>
        <x:v>4 * 16 BORED PLATE W 6" PULL 2.125 HOLE</x:v>
      </x:c>
      <x:c r="F50" t="str">
        <x:f>XLOOKUP($A50,'Specs'!$A$2:$A$164,'Specs'!$F$2:$F$164,"")</x:f>
        <x:v>STANDARD</x:v>
      </x:c>
      <x:c r="G50" t="str">
        <x:f>XLOOKUP($A50,'Specs'!$A$2:$A$164,'Specs'!$G$2:$G$164,"")</x:f>
      </x:c>
      <x:c r="H50" t="str">
        <x:f>XLOOKUP($A50,'Specs'!$A$2:$A$164,'Specs'!$H$2:$H$164,"")</x:f>
      </x:c>
      <x:c r="I50" t="str">
        <x:f>XLOOKUP($A50,'Specs'!$A$2:$A$164,'Specs'!$I$2:$I$164,"")</x:f>
      </x:c>
      <x:c r="J50" t="str">
        <x:f>XLOOKUP($A50,'Specs'!$A$2:$A$164,'Specs'!$J$2:$J$164,"")</x:f>
      </x:c>
      <x:c r="K50" t="str">
        <x:f>XLOOKUP($A50,'Specs'!$A$2:$A$164,'Specs'!$K$2:$K$164,"")</x:f>
      </x:c>
      <x:c r="L50" t="str">
        <x:f>XLOOKUP($A50,'Specs'!$A$2:$A$164,'Specs'!$L$2:$L$164,"")</x:f>
      </x:c>
      <x:c r="M50" t="n">
        <x:f>XLOOKUP($A50,'Specs'!$A$2:$A$164,'Specs'!$M$2:$M$164,"")</x:f>
        <x:v>630</x:v>
      </x:c>
      <x:c r="N50" t="str">
        <x:f>XLOOKUP($A50,'Specs'!$A$2:$A$164,'Specs'!$N$2:$N$164,"")</x:f>
      </x:c>
      <x:c r="O50" t="str">
        <x:f>XLOOKUP($A50,'Specs'!$A$2:$A$164,'Specs'!$O$2:$O$164,"")</x:f>
      </x:c>
      <x:c r="P50" t="str">
        <x:f>XLOOKUP($A50,'Specs'!$A$2:$A$164,'Specs'!$P$2:$P$164,"")</x:f>
        <x:v>HIGH</x:v>
      </x:c>
      <x:c r="Q50" s="53" t="n">
        <x:f>XLOOKUP($A50,'Specs'!$A$2:$A$164,'Specs'!$Q$2:$Q$164,"")</x:f>
        <x:v>1</x:v>
      </x:c>
      <x:c r="R50" s="53" t="n">
        <x:f>XLOOKUP($A50,'Specs'!$A$2:$A$164,'Specs'!$R$2:$R$164,"")</x:f>
        <x:v>1</x:v>
      </x:c>
      <x:c r="S50" t="str">
        <x:f>'Vendor Options'!A50</x:f>
        <x:v>OFFER-A97BAAAAD0D4</x:v>
      </x:c>
      <x:c r="T50" t="str">
        <x:f>'Vendor Options'!C50</x:f>
        <x:v>DJ</x:v>
      </x:c>
      <x:c r="U50" t="str">
        <x:f>'Vendor Options'!D50</x:f>
        <x:v>DB PULL PLATE HANDLE</x:v>
      </x:c>
      <x:c r="V50" t="str">
        <x:f>'Vendor Options'!E50</x:f>
        <x:v>PULL PLATE</x:v>
      </x:c>
      <x:c r="W50" t="str">
        <x:f>'Vendor Options'!F50</x:f>
      </x:c>
      <x:c r="X50" t="str">
        <x:f>'Vendor Options'!G50</x:f>
        <x:v>CFK</x:v>
      </x:c>
      <x:c r="Y50" t="str">
        <x:f>'Vendor Options'!H50</x:f>
        <x:v>CFK 7115</x:v>
      </x:c>
      <x:c r="Z50" t="str">
        <x:f>'Vendor Options'!I50</x:f>
      </x:c>
      <x:c r="AA50" s="54" t="n">
        <x:f>'Vendor Options'!J50</x:f>
        <x:v>0</x:v>
      </x:c>
      <x:c r="AB50" t="n">
        <x:f>'Vendor Options'!K50</x:f>
        <x:v>0</x:v>
      </x:c>
      <x:c r="AC50" s="57" t="n">
        <x:f>'Vendor Options'!L50</x:f>
        <x:v>0</x:v>
      </x:c>
      <x:c r="AD50" s="57" t="n">
        <x:f>'Vendor Options'!M50</x:f>
        <x:v>0</x:v>
      </x:c>
      <x:c r="AE50" s="54" t="str">
        <x:f>'Vendor Options'!N50</x:f>
      </x:c>
      <x:c r="AF50" t="str">
        <x:f>'Vendor Options'!O50</x:f>
        <x:v>USD</x:v>
      </x:c>
      <x:c r="AG50" t="str">
        <x:f>'Vendor Options'!P50</x:f>
        <x:v>UNPRICED</x:v>
      </x:c>
      <x:c r="AH50" t="str">
        <x:f>'Vendor Options'!Q50</x:f>
        <x:v>ACTIVE</x:v>
      </x:c>
      <x:c r="AI50" t="str">
        <x:f>'Vendor Options'!R50</x:f>
        <x:v>MISSING_PRICE</x:v>
      </x:c>
      <x:c r="AJ50" t="n">
        <x:f>'Vendor Options'!S50</x:f>
        <x:v>103</x:v>
      </x:c>
    </x:row>
    <x:row r="51" ht="15" hidden="0" customHeight="1">
      <x:c r="A51" t="str">
        <x:f>'Vendor Options'!B51</x:f>
        <x:v>SPEC-617DEEC26694</x:v>
      </x:c>
      <x:c r="B51" t="str">
        <x:f>XLOOKUP($A51,'Specs'!$A$2:$A$164,'Specs'!$B$2:$B$164,"")</x:f>
        <x:v>DEADBOLT</x:v>
      </x:c>
      <x:c r="C51" t="str">
        <x:f>XLOOKUP($A51,'Specs'!$A$2:$A$164,'Specs'!$C$2:$C$164,"")</x:f>
        <x:v>SINGLE CYLINDER DEADBOLT</x:v>
      </x:c>
      <x:c r="D51" t="str">
        <x:f>XLOOKUP($A51,'Specs'!$A$2:$A$164,'Specs'!$D$2:$D$164,"")</x:f>
      </x:c>
      <x:c r="E51" t="str">
        <x:f>XLOOKUP($A51,'Specs'!$A$2:$A$164,'Specs'!$E$2:$E$164,"")</x:f>
        <x:v>SINGLE CYLINDER</x:v>
      </x:c>
      <x:c r="F51" t="str">
        <x:f>XLOOKUP($A51,'Specs'!$A$2:$A$164,'Specs'!$F$2:$F$164,"")</x:f>
        <x:v>LFIC</x:v>
      </x:c>
      <x:c r="G51" t="str">
        <x:f>XLOOKUP($A51,'Specs'!$A$2:$A$164,'Specs'!$G$2:$G$164,"")</x:f>
      </x:c>
      <x:c r="H51" t="str">
        <x:f>XLOOKUP($A51,'Specs'!$A$2:$A$164,'Specs'!$H$2:$H$164,"")</x:f>
      </x:c>
      <x:c r="I51" t="str">
        <x:f>XLOOKUP($A51,'Specs'!$A$2:$A$164,'Specs'!$I$2:$I$164,"")</x:f>
      </x:c>
      <x:c r="J51" t="str">
        <x:f>XLOOKUP($A51,'Specs'!$A$2:$A$164,'Specs'!$J$2:$J$164,"")</x:f>
      </x:c>
      <x:c r="K51" t="str">
        <x:f>XLOOKUP($A51,'Specs'!$A$2:$A$164,'Specs'!$K$2:$K$164,"")</x:f>
      </x:c>
      <x:c r="L51" t="str">
        <x:f>XLOOKUP($A51,'Specs'!$A$2:$A$164,'Specs'!$L$2:$L$164,"")</x:f>
      </x:c>
      <x:c r="M51" t="n">
        <x:f>XLOOKUP($A51,'Specs'!$A$2:$A$164,'Specs'!$M$2:$M$164,"")</x:f>
        <x:v>626</x:v>
      </x:c>
      <x:c r="N51" t="str">
        <x:f>XLOOKUP($A51,'Specs'!$A$2:$A$164,'Specs'!$N$2:$N$164,"")</x:f>
      </x:c>
      <x:c r="O51" t="str">
        <x:f>XLOOKUP($A51,'Specs'!$A$2:$A$164,'Specs'!$O$2:$O$164,"")</x:f>
      </x:c>
      <x:c r="P51" t="str">
        <x:f>XLOOKUP($A51,'Specs'!$A$2:$A$164,'Specs'!$P$2:$P$164,"")</x:f>
        <x:v>HIGH</x:v>
      </x:c>
      <x:c r="Q51" s="53" t="n">
        <x:f>XLOOKUP($A51,'Specs'!$A$2:$A$164,'Specs'!$Q$2:$Q$164,"")</x:f>
        <x:v>1</x:v>
      </x:c>
      <x:c r="R51" s="53" t="n">
        <x:f>XLOOKUP($A51,'Specs'!$A$2:$A$164,'Specs'!$R$2:$R$164,"")</x:f>
        <x:v>1</x:v>
      </x:c>
      <x:c r="S51" t="str">
        <x:f>'Vendor Options'!A51</x:f>
        <x:v>OFFER-B98D0D0C4DF8</x:v>
      </x:c>
      <x:c r="T51" t="str">
        <x:f>'Vendor Options'!C51</x:f>
        <x:v>PHG</x:v>
      </x:c>
      <x:c r="U51" t="str">
        <x:f>'Vendor Options'!D51</x:f>
        <x:v>DB SGL LFIC</x:v>
      </x:c>
      <x:c r="V51" t="str">
        <x:f>'Vendor Options'!E51</x:f>
        <x:v>E0151-LFIC</x:v>
      </x:c>
      <x:c r="W51" t="str">
        <x:f>'Vendor Options'!F51</x:f>
        <x:v>E0151</x:v>
      </x:c>
      <x:c r="X51" t="str">
        <x:f>'Vendor Options'!G51</x:f>
        <x:v>LM20026DICS</x:v>
      </x:c>
      <x:c r="Y51" t="str">
        <x:f>'Vendor Options'!H51</x:f>
        <x:v>LM20026DICS LM200 - Single Cylinder (E0151) - ICS</x:v>
      </x:c>
      <x:c r="Z51" t="str">
        <x:f>'Vendor Options'!I51</x:f>
      </x:c>
      <x:c r="AA51" s="54" t="n">
        <x:f>'Vendor Options'!J51</x:f>
        <x:v>138.68</x:v>
      </x:c>
      <x:c r="AB51" t="n">
        <x:f>'Vendor Options'!K51</x:f>
        <x:v>0</x:v>
      </x:c>
      <x:c r="AC51" s="57" t="n">
        <x:f>'Vendor Options'!L51</x:f>
        <x:v>0</x:v>
      </x:c>
      <x:c r="AD51" s="57" t="n">
        <x:f>'Vendor Options'!M51</x:f>
        <x:v>0</x:v>
      </x:c>
      <x:c r="AE51" s="54" t="n">
        <x:f>'Vendor Options'!N51</x:f>
        <x:v>138.68</x:v>
      </x:c>
      <x:c r="AF51" t="str">
        <x:f>'Vendor Options'!O51</x:f>
        <x:v>USD</x:v>
      </x:c>
      <x:c r="AG51" t="str">
        <x:f>'Vendor Options'!P51</x:f>
        <x:v>PRICED</x:v>
      </x:c>
      <x:c r="AH51" t="str">
        <x:f>'Vendor Options'!Q51</x:f>
        <x:v>ACTIVE</x:v>
      </x:c>
      <x:c r="AI51" t="str">
        <x:f>'Vendor Options'!R51</x:f>
      </x:c>
      <x:c r="AJ51" t="n">
        <x:f>'Vendor Options'!S51</x:f>
        <x:v>92</x:v>
      </x:c>
    </x:row>
    <x:row r="52" ht="15" hidden="0" customHeight="1">
      <x:c r="A52" t="str">
        <x:f>'Vendor Options'!B52</x:f>
        <x:v>SPEC-D1B62C606D00</x:v>
      </x:c>
      <x:c r="B52" t="str">
        <x:f>XLOOKUP($A52,'Specs'!$A$2:$A$164,'Specs'!$B$2:$B$164,"")</x:f>
        <x:v>DEADBOLT</x:v>
      </x:c>
      <x:c r="C52" t="str">
        <x:f>XLOOKUP($A52,'Specs'!$A$2:$A$164,'Specs'!$C$2:$C$164,"")</x:f>
        <x:v>SINGLE CYLINDER DEADBOLT</x:v>
      </x:c>
      <x:c r="D52" t="str">
        <x:f>XLOOKUP($A52,'Specs'!$A$2:$A$164,'Specs'!$D$2:$D$164,"")</x:f>
      </x:c>
      <x:c r="E52" t="str">
        <x:f>XLOOKUP($A52,'Specs'!$A$2:$A$164,'Specs'!$E$2:$E$164,"")</x:f>
        <x:v>SINGLE CYLINDER</x:v>
      </x:c>
      <x:c r="F52" t="str">
        <x:f>XLOOKUP($A52,'Specs'!$A$2:$A$164,'Specs'!$F$2:$F$164,"")</x:f>
        <x:v>SFIC</x:v>
      </x:c>
      <x:c r="G52" t="str">
        <x:f>XLOOKUP($A52,'Specs'!$A$2:$A$164,'Specs'!$G$2:$G$164,"")</x:f>
      </x:c>
      <x:c r="H52" t="str">
        <x:f>XLOOKUP($A52,'Specs'!$A$2:$A$164,'Specs'!$H$2:$H$164,"")</x:f>
      </x:c>
      <x:c r="I52" t="str">
        <x:f>XLOOKUP($A52,'Specs'!$A$2:$A$164,'Specs'!$I$2:$I$164,"")</x:f>
      </x:c>
      <x:c r="J52" t="str">
        <x:f>XLOOKUP($A52,'Specs'!$A$2:$A$164,'Specs'!$J$2:$J$164,"")</x:f>
      </x:c>
      <x:c r="K52" t="str">
        <x:f>XLOOKUP($A52,'Specs'!$A$2:$A$164,'Specs'!$K$2:$K$164,"")</x:f>
      </x:c>
      <x:c r="L52" t="str">
        <x:f>XLOOKUP($A52,'Specs'!$A$2:$A$164,'Specs'!$L$2:$L$164,"")</x:f>
      </x:c>
      <x:c r="M52" t="n">
        <x:f>XLOOKUP($A52,'Specs'!$A$2:$A$164,'Specs'!$M$2:$M$164,"")</x:f>
        <x:v>626</x:v>
      </x:c>
      <x:c r="N52" t="str">
        <x:f>XLOOKUP($A52,'Specs'!$A$2:$A$164,'Specs'!$N$2:$N$164,"")</x:f>
      </x:c>
      <x:c r="O52" t="str">
        <x:f>XLOOKUP($A52,'Specs'!$A$2:$A$164,'Specs'!$O$2:$O$164,"")</x:f>
      </x:c>
      <x:c r="P52" t="str">
        <x:f>XLOOKUP($A52,'Specs'!$A$2:$A$164,'Specs'!$P$2:$P$164,"")</x:f>
        <x:v>HIGH</x:v>
      </x:c>
      <x:c r="Q52" s="53" t="n">
        <x:f>XLOOKUP($A52,'Specs'!$A$2:$A$164,'Specs'!$Q$2:$Q$164,"")</x:f>
        <x:v>2</x:v>
      </x:c>
      <x:c r="R52" s="53" t="n">
        <x:f>XLOOKUP($A52,'Specs'!$A$2:$A$164,'Specs'!$R$2:$R$164,"")</x:f>
        <x:v>2</x:v>
      </x:c>
      <x:c r="S52" t="str">
        <x:f>'Vendor Options'!A52</x:f>
        <x:v>OFFER-D1FE0796EF19</x:v>
      </x:c>
      <x:c r="T52" t="str">
        <x:f>'Vendor Options'!C52</x:f>
        <x:v>PHG</x:v>
      </x:c>
      <x:c r="U52" t="str">
        <x:f>'Vendor Options'!D52</x:f>
        <x:v>DB SGL SFIC</x:v>
      </x:c>
      <x:c r="V52" t="str">
        <x:f>'Vendor Options'!E52</x:f>
        <x:v>E0151-SFIC</x:v>
      </x:c>
      <x:c r="W52" t="str">
        <x:f>'Vendor Options'!F52</x:f>
        <x:v>E0151</x:v>
      </x:c>
      <x:c r="X52" t="str">
        <x:f>'Vendor Options'!G52</x:f>
        <x:v>LM20026DICB</x:v>
      </x:c>
      <x:c r="Y52" t="str">
        <x:f>'Vendor Options'!H52</x:f>
        <x:v>LM20026DICB LM200 - Single Cylinder (E0151) - ICB</x:v>
      </x:c>
      <x:c r="Z52" t="str">
        <x:f>'Vendor Options'!I52</x:f>
      </x:c>
      <x:c r="AA52" s="54" t="n">
        <x:f>'Vendor Options'!J52</x:f>
        <x:v>101.99</x:v>
      </x:c>
      <x:c r="AB52" t="n">
        <x:f>'Vendor Options'!K52</x:f>
        <x:v>0</x:v>
      </x:c>
      <x:c r="AC52" s="57" t="n">
        <x:f>'Vendor Options'!L52</x:f>
        <x:v>0</x:v>
      </x:c>
      <x:c r="AD52" s="57" t="n">
        <x:f>'Vendor Options'!M52</x:f>
        <x:v>0</x:v>
      </x:c>
      <x:c r="AE52" s="54" t="n">
        <x:f>'Vendor Options'!N52</x:f>
        <x:v>101.99</x:v>
      </x:c>
      <x:c r="AF52" t="str">
        <x:f>'Vendor Options'!O52</x:f>
        <x:v>USD</x:v>
      </x:c>
      <x:c r="AG52" t="str">
        <x:f>'Vendor Options'!P52</x:f>
        <x:v>PRICED</x:v>
      </x:c>
      <x:c r="AH52" t="str">
        <x:f>'Vendor Options'!Q52</x:f>
        <x:v>ACTIVE</x:v>
      </x:c>
      <x:c r="AI52" t="str">
        <x:f>'Vendor Options'!R52</x:f>
      </x:c>
      <x:c r="AJ52" t="n">
        <x:f>'Vendor Options'!S52</x:f>
        <x:v>91</x:v>
      </x:c>
    </x:row>
    <x:row r="53" ht="15" hidden="0" customHeight="1">
      <x:c r="A53" t="str">
        <x:f>'Vendor Options'!B53</x:f>
        <x:v>SPEC-D1B62C606D00</x:v>
      </x:c>
      <x:c r="B53" t="str">
        <x:f>XLOOKUP($A53,'Specs'!$A$2:$A$164,'Specs'!$B$2:$B$164,"")</x:f>
        <x:v>DEADBOLT</x:v>
      </x:c>
      <x:c r="C53" t="str">
        <x:f>XLOOKUP($A53,'Specs'!$A$2:$A$164,'Specs'!$C$2:$C$164,"")</x:f>
        <x:v>SINGLE CYLINDER DEADBOLT</x:v>
      </x:c>
      <x:c r="D53" t="str">
        <x:f>XLOOKUP($A53,'Specs'!$A$2:$A$164,'Specs'!$D$2:$D$164,"")</x:f>
      </x:c>
      <x:c r="E53" t="str">
        <x:f>XLOOKUP($A53,'Specs'!$A$2:$A$164,'Specs'!$E$2:$E$164,"")</x:f>
        <x:v>SINGLE CYLINDER</x:v>
      </x:c>
      <x:c r="F53" t="str">
        <x:f>XLOOKUP($A53,'Specs'!$A$2:$A$164,'Specs'!$F$2:$F$164,"")</x:f>
        <x:v>SFIC</x:v>
      </x:c>
      <x:c r="G53" t="str">
        <x:f>XLOOKUP($A53,'Specs'!$A$2:$A$164,'Specs'!$G$2:$G$164,"")</x:f>
      </x:c>
      <x:c r="H53" t="str">
        <x:f>XLOOKUP($A53,'Specs'!$A$2:$A$164,'Specs'!$H$2:$H$164,"")</x:f>
      </x:c>
      <x:c r="I53" t="str">
        <x:f>XLOOKUP($A53,'Specs'!$A$2:$A$164,'Specs'!$I$2:$I$164,"")</x:f>
      </x:c>
      <x:c r="J53" t="str">
        <x:f>XLOOKUP($A53,'Specs'!$A$2:$A$164,'Specs'!$J$2:$J$164,"")</x:f>
      </x:c>
      <x:c r="K53" t="str">
        <x:f>XLOOKUP($A53,'Specs'!$A$2:$A$164,'Specs'!$K$2:$K$164,"")</x:f>
      </x:c>
      <x:c r="L53" t="str">
        <x:f>XLOOKUP($A53,'Specs'!$A$2:$A$164,'Specs'!$L$2:$L$164,"")</x:f>
      </x:c>
      <x:c r="M53" t="n">
        <x:f>XLOOKUP($A53,'Specs'!$A$2:$A$164,'Specs'!$M$2:$M$164,"")</x:f>
        <x:v>626</x:v>
      </x:c>
      <x:c r="N53" t="str">
        <x:f>XLOOKUP($A53,'Specs'!$A$2:$A$164,'Specs'!$N$2:$N$164,"")</x:f>
      </x:c>
      <x:c r="O53" t="str">
        <x:f>XLOOKUP($A53,'Specs'!$A$2:$A$164,'Specs'!$O$2:$O$164,"")</x:f>
      </x:c>
      <x:c r="P53" t="str">
        <x:f>XLOOKUP($A53,'Specs'!$A$2:$A$164,'Specs'!$P$2:$P$164,"")</x:f>
        <x:v>HIGH</x:v>
      </x:c>
      <x:c r="Q53" s="53" t="n">
        <x:f>XLOOKUP($A53,'Specs'!$A$2:$A$164,'Specs'!$Q$2:$Q$164,"")</x:f>
        <x:v>2</x:v>
      </x:c>
      <x:c r="R53" s="53" t="n">
        <x:f>XLOOKUP($A53,'Specs'!$A$2:$A$164,'Specs'!$R$2:$R$164,"")</x:f>
        <x:v>2</x:v>
      </x:c>
      <x:c r="S53" t="str">
        <x:f>'Vendor Options'!A53</x:f>
        <x:v>OFFER-D08A461B7ED1</x:v>
      </x:c>
      <x:c r="T53" t="str">
        <x:f>'Vendor Options'!C53</x:f>
        <x:v>SCH</x:v>
      </x:c>
      <x:c r="U53" t="str">
        <x:f>'Vendor Options'!D53</x:f>
        <x:v>DB SGL-SFIC</x:v>
      </x:c>
      <x:c r="V53" t="str">
        <x:f>'Vendor Options'!E53</x:f>
        <x:v>B660B</x:v>
      </x:c>
      <x:c r="W53" t="str">
        <x:f>'Vendor Options'!F53</x:f>
      </x:c>
      <x:c r="X53" t="str">
        <x:f>'Vendor Options'!G53</x:f>
        <x:v>B660B</x:v>
      </x:c>
      <x:c r="Y53" t="str">
        <x:f>'Vendor Options'!H53</x:f>
        <x:v>B660B 626</x:v>
      </x:c>
      <x:c r="Z53" t="str">
        <x:f>'Vendor Options'!I53</x:f>
      </x:c>
      <x:c r="AA53" s="54" t="n">
        <x:f>'Vendor Options'!J53</x:f>
        <x:v>163.2</x:v>
      </x:c>
      <x:c r="AB53" t="n">
        <x:f>'Vendor Options'!K53</x:f>
        <x:v>0</x:v>
      </x:c>
      <x:c r="AC53" s="57" t="n">
        <x:f>'Vendor Options'!L53</x:f>
        <x:v>0</x:v>
      </x:c>
      <x:c r="AD53" s="57" t="n">
        <x:f>'Vendor Options'!M53</x:f>
        <x:v>0</x:v>
      </x:c>
      <x:c r="AE53" s="54" t="n">
        <x:f>'Vendor Options'!N53</x:f>
        <x:v>163.2</x:v>
      </x:c>
      <x:c r="AF53" t="str">
        <x:f>'Vendor Options'!O53</x:f>
        <x:v>USD</x:v>
      </x:c>
      <x:c r="AG53" t="str">
        <x:f>'Vendor Options'!P53</x:f>
        <x:v>PRICED</x:v>
      </x:c>
      <x:c r="AH53" t="str">
        <x:f>'Vendor Options'!Q53</x:f>
        <x:v>REVIEW</x:v>
      </x:c>
      <x:c r="AI53" t="str">
        <x:f>'Vendor Options'!R53</x:f>
        <x:v>CATEGORY_ALIAS_NORMALIZED; PART_NUMBER_CONFLICT</x:v>
      </x:c>
      <x:c r="AJ53" t="n">
        <x:f>'Vendor Options'!S53</x:f>
        <x:v>98</x:v>
      </x:c>
    </x:row>
    <x:row r="54" ht="15" hidden="0" customHeight="1">
      <x:c r="A54" t="str">
        <x:f>'Vendor Options'!B54</x:f>
        <x:v>SPEC-2AEF47AC9FAB</x:v>
      </x:c>
      <x:c r="B54" t="str">
        <x:f>XLOOKUP($A54,'Specs'!$A$2:$A$164,'Specs'!$B$2:$B$164,"")</x:f>
        <x:v>DEADBOLT</x:v>
      </x:c>
      <x:c r="C54" t="str">
        <x:f>XLOOKUP($A54,'Specs'!$A$2:$A$164,'Specs'!$C$2:$C$164,"")</x:f>
        <x:v>SINGLE CYLINDER DEADBOLT</x:v>
      </x:c>
      <x:c r="D54" t="str">
        <x:f>XLOOKUP($A54,'Specs'!$A$2:$A$164,'Specs'!$D$2:$D$164,"")</x:f>
      </x:c>
      <x:c r="E54" t="str">
        <x:f>XLOOKUP($A54,'Specs'!$A$2:$A$164,'Specs'!$E$2:$E$164,"")</x:f>
        <x:v>SINGLE CYLINDER</x:v>
      </x:c>
      <x:c r="F54" t="str">
        <x:f>XLOOKUP($A54,'Specs'!$A$2:$A$164,'Specs'!$F$2:$F$164,"")</x:f>
        <x:v>STANDARD</x:v>
      </x:c>
      <x:c r="G54" t="str">
        <x:f>XLOOKUP($A54,'Specs'!$A$2:$A$164,'Specs'!$G$2:$G$164,"")</x:f>
      </x:c>
      <x:c r="H54" t="str">
        <x:f>XLOOKUP($A54,'Specs'!$A$2:$A$164,'Specs'!$H$2:$H$164,"")</x:f>
      </x:c>
      <x:c r="I54" t="str">
        <x:f>XLOOKUP($A54,'Specs'!$A$2:$A$164,'Specs'!$I$2:$I$164,"")</x:f>
      </x:c>
      <x:c r="J54" t="str">
        <x:f>XLOOKUP($A54,'Specs'!$A$2:$A$164,'Specs'!$J$2:$J$164,"")</x:f>
      </x:c>
      <x:c r="K54" t="str">
        <x:f>XLOOKUP($A54,'Specs'!$A$2:$A$164,'Specs'!$K$2:$K$164,"")</x:f>
      </x:c>
      <x:c r="L54" t="str">
        <x:f>XLOOKUP($A54,'Specs'!$A$2:$A$164,'Specs'!$L$2:$L$164,"")</x:f>
      </x:c>
      <x:c r="M54" t="n">
        <x:f>XLOOKUP($A54,'Specs'!$A$2:$A$164,'Specs'!$M$2:$M$164,"")</x:f>
        <x:v>626</x:v>
      </x:c>
      <x:c r="N54" t="str">
        <x:f>XLOOKUP($A54,'Specs'!$A$2:$A$164,'Specs'!$N$2:$N$164,"")</x:f>
      </x:c>
      <x:c r="O54" t="str">
        <x:f>XLOOKUP($A54,'Specs'!$A$2:$A$164,'Specs'!$O$2:$O$164,"")</x:f>
      </x:c>
      <x:c r="P54" t="str">
        <x:f>XLOOKUP($A54,'Specs'!$A$2:$A$164,'Specs'!$P$2:$P$164,"")</x:f>
        <x:v>HIGH</x:v>
      </x:c>
      <x:c r="Q54" s="53" t="n">
        <x:f>XLOOKUP($A54,'Specs'!$A$2:$A$164,'Specs'!$Q$2:$Q$164,"")</x:f>
        <x:v>2</x:v>
      </x:c>
      <x:c r="R54" s="53" t="n">
        <x:f>XLOOKUP($A54,'Specs'!$A$2:$A$164,'Specs'!$R$2:$R$164,"")</x:f>
        <x:v>2</x:v>
      </x:c>
      <x:c r="S54" t="str">
        <x:f>'Vendor Options'!A54</x:f>
        <x:v>OFFER-86D446EC92B0</x:v>
      </x:c>
      <x:c r="T54" t="str">
        <x:f>'Vendor Options'!C54</x:f>
        <x:v>PHG</x:v>
      </x:c>
      <x:c r="U54" t="str">
        <x:f>'Vendor Options'!D54</x:f>
        <x:v>DB SGL</x:v>
      </x:c>
      <x:c r="V54" t="str">
        <x:f>'Vendor Options'!E54</x:f>
        <x:v>E0151</x:v>
      </x:c>
      <x:c r="W54" t="str">
        <x:f>'Vendor Options'!F54</x:f>
        <x:v>E0151</x:v>
      </x:c>
      <x:c r="X54" t="str">
        <x:f>'Vendor Options'!G54</x:f>
        <x:v>LM20026D</x:v>
      </x:c>
      <x:c r="Y54" t="str">
        <x:f>'Vendor Options'!H54</x:f>
        <x:v>LM20026D LM200 - Single Cylinder (E0151)</x:v>
      </x:c>
      <x:c r="Z54" t="str">
        <x:f>'Vendor Options'!I54</x:f>
      </x:c>
      <x:c r="AA54" s="54" t="n">
        <x:f>'Vendor Options'!J54</x:f>
        <x:v>101.99</x:v>
      </x:c>
      <x:c r="AB54" t="n">
        <x:f>'Vendor Options'!K54</x:f>
        <x:v>0</x:v>
      </x:c>
      <x:c r="AC54" s="57" t="n">
        <x:f>'Vendor Options'!L54</x:f>
        <x:v>0</x:v>
      </x:c>
      <x:c r="AD54" s="57" t="n">
        <x:f>'Vendor Options'!M54</x:f>
        <x:v>0</x:v>
      </x:c>
      <x:c r="AE54" s="54" t="n">
        <x:f>'Vendor Options'!N54</x:f>
        <x:v>101.99</x:v>
      </x:c>
      <x:c r="AF54" t="str">
        <x:f>'Vendor Options'!O54</x:f>
        <x:v>USD</x:v>
      </x:c>
      <x:c r="AG54" t="str">
        <x:f>'Vendor Options'!P54</x:f>
        <x:v>PRICED</x:v>
      </x:c>
      <x:c r="AH54" t="str">
        <x:f>'Vendor Options'!Q54</x:f>
        <x:v>ACTIVE</x:v>
      </x:c>
      <x:c r="AI54" t="str">
        <x:f>'Vendor Options'!R54</x:f>
      </x:c>
      <x:c r="AJ54" t="n">
        <x:f>'Vendor Options'!S54</x:f>
        <x:v>90</x:v>
      </x:c>
    </x:row>
    <x:row r="55" ht="15" hidden="0" customHeight="1">
      <x:c r="A55" t="str">
        <x:f>'Vendor Options'!B55</x:f>
        <x:v>SPEC-2AEF47AC9FAB</x:v>
      </x:c>
      <x:c r="B55" t="str">
        <x:f>XLOOKUP($A55,'Specs'!$A$2:$A$164,'Specs'!$B$2:$B$164,"")</x:f>
        <x:v>DEADBOLT</x:v>
      </x:c>
      <x:c r="C55" t="str">
        <x:f>XLOOKUP($A55,'Specs'!$A$2:$A$164,'Specs'!$C$2:$C$164,"")</x:f>
        <x:v>SINGLE CYLINDER DEADBOLT</x:v>
      </x:c>
      <x:c r="D55" t="str">
        <x:f>XLOOKUP($A55,'Specs'!$A$2:$A$164,'Specs'!$D$2:$D$164,"")</x:f>
      </x:c>
      <x:c r="E55" t="str">
        <x:f>XLOOKUP($A55,'Specs'!$A$2:$A$164,'Specs'!$E$2:$E$164,"")</x:f>
        <x:v>SINGLE CYLINDER</x:v>
      </x:c>
      <x:c r="F55" t="str">
        <x:f>XLOOKUP($A55,'Specs'!$A$2:$A$164,'Specs'!$F$2:$F$164,"")</x:f>
        <x:v>STANDARD</x:v>
      </x:c>
      <x:c r="G55" t="str">
        <x:f>XLOOKUP($A55,'Specs'!$A$2:$A$164,'Specs'!$G$2:$G$164,"")</x:f>
      </x:c>
      <x:c r="H55" t="str">
        <x:f>XLOOKUP($A55,'Specs'!$A$2:$A$164,'Specs'!$H$2:$H$164,"")</x:f>
      </x:c>
      <x:c r="I55" t="str">
        <x:f>XLOOKUP($A55,'Specs'!$A$2:$A$164,'Specs'!$I$2:$I$164,"")</x:f>
      </x:c>
      <x:c r="J55" t="str">
        <x:f>XLOOKUP($A55,'Specs'!$A$2:$A$164,'Specs'!$J$2:$J$164,"")</x:f>
      </x:c>
      <x:c r="K55" t="str">
        <x:f>XLOOKUP($A55,'Specs'!$A$2:$A$164,'Specs'!$K$2:$K$164,"")</x:f>
      </x:c>
      <x:c r="L55" t="str">
        <x:f>XLOOKUP($A55,'Specs'!$A$2:$A$164,'Specs'!$L$2:$L$164,"")</x:f>
      </x:c>
      <x:c r="M55" t="n">
        <x:f>XLOOKUP($A55,'Specs'!$A$2:$A$164,'Specs'!$M$2:$M$164,"")</x:f>
        <x:v>626</x:v>
      </x:c>
      <x:c r="N55" t="str">
        <x:f>XLOOKUP($A55,'Specs'!$A$2:$A$164,'Specs'!$N$2:$N$164,"")</x:f>
      </x:c>
      <x:c r="O55" t="str">
        <x:f>XLOOKUP($A55,'Specs'!$A$2:$A$164,'Specs'!$O$2:$O$164,"")</x:f>
      </x:c>
      <x:c r="P55" t="str">
        <x:f>XLOOKUP($A55,'Specs'!$A$2:$A$164,'Specs'!$P$2:$P$164,"")</x:f>
        <x:v>HIGH</x:v>
      </x:c>
      <x:c r="Q55" s="53" t="n">
        <x:f>XLOOKUP($A55,'Specs'!$A$2:$A$164,'Specs'!$Q$2:$Q$164,"")</x:f>
        <x:v>2</x:v>
      </x:c>
      <x:c r="R55" s="53" t="n">
        <x:f>XLOOKUP($A55,'Specs'!$A$2:$A$164,'Specs'!$R$2:$R$164,"")</x:f>
        <x:v>2</x:v>
      </x:c>
      <x:c r="S55" t="str">
        <x:f>'Vendor Options'!A55</x:f>
        <x:v>OFFER-C3B7A3F863ED</x:v>
      </x:c>
      <x:c r="T55" t="str">
        <x:f>'Vendor Options'!C55</x:f>
        <x:v>SCH</x:v>
      </x:c>
      <x:c r="U55" t="str">
        <x:f>'Vendor Options'!D55</x:f>
        <x:v>DB SGL</x:v>
      </x:c>
      <x:c r="V55" t="str">
        <x:f>'Vendor Options'!E55</x:f>
        <x:v>B660P</x:v>
      </x:c>
      <x:c r="W55" t="n">
        <x:f>'Vendor Options'!F55</x:f>
        <x:v>0</x:v>
      </x:c>
      <x:c r="X55" t="str">
        <x:f>'Vendor Options'!G55</x:f>
        <x:v>B660P</x:v>
      </x:c>
      <x:c r="Y55" t="str">
        <x:f>'Vendor Options'!H55</x:f>
        <x:v>B660P 626</x:v>
      </x:c>
      <x:c r="Z55" t="str">
        <x:f>'Vendor Options'!I55</x:f>
      </x:c>
      <x:c r="AA55" s="54" t="n">
        <x:f>'Vendor Options'!J55</x:f>
        <x:v>163.2</x:v>
      </x:c>
      <x:c r="AB55" t="n">
        <x:f>'Vendor Options'!K55</x:f>
        <x:v>0</x:v>
      </x:c>
      <x:c r="AC55" s="57" t="n">
        <x:f>'Vendor Options'!L55</x:f>
        <x:v>0</x:v>
      </x:c>
      <x:c r="AD55" s="57" t="n">
        <x:f>'Vendor Options'!M55</x:f>
        <x:v>0</x:v>
      </x:c>
      <x:c r="AE55" s="54" t="n">
        <x:f>'Vendor Options'!N55</x:f>
        <x:v>163.2</x:v>
      </x:c>
      <x:c r="AF55" t="str">
        <x:f>'Vendor Options'!O55</x:f>
        <x:v>USD</x:v>
      </x:c>
      <x:c r="AG55" t="str">
        <x:f>'Vendor Options'!P55</x:f>
        <x:v>PRICED</x:v>
      </x:c>
      <x:c r="AH55" t="str">
        <x:f>'Vendor Options'!Q55</x:f>
        <x:v>REVIEW</x:v>
      </x:c>
      <x:c r="AI55" t="str">
        <x:f>'Vendor Options'!R55</x:f>
        <x:v>CATEGORY_ALIAS_NORMALIZED; PART_NUMBER_CONFLICT</x:v>
      </x:c>
      <x:c r="AJ55" t="n">
        <x:f>'Vendor Options'!S55</x:f>
        <x:v>97</x:v>
      </x:c>
    </x:row>
    <x:row r="56" ht="15" hidden="0" customHeight="1">
      <x:c r="A56" t="str">
        <x:f>'Vendor Options'!B56</x:f>
        <x:v>SPEC-C7B25313BBD9</x:v>
      </x:c>
      <x:c r="B56" t="str">
        <x:f>XLOOKUP($A56,'Specs'!$A$2:$A$164,'Specs'!$B$2:$B$164,"")</x:f>
        <x:v>EXIT DEVICE</x:v>
      </x:c>
      <x:c r="C56" t="str">
        <x:f>XLOOKUP($A56,'Specs'!$A$2:$A$164,'Specs'!$C$2:$C$164,"")</x:f>
        <x:v>PANIC / EXIT DEVICE</x:v>
      </x:c>
      <x:c r="D56" t="str">
        <x:f>XLOOKUP($A56,'Specs'!$A$2:$A$164,'Specs'!$D$2:$D$164,"")</x:f>
        <x:v>MORTISE</x:v>
      </x:c>
      <x:c r="E56" t="str">
        <x:f>XLOOKUP($A56,'Specs'!$A$2:$A$164,'Specs'!$E$2:$E$164,"")</x:f>
        <x:v>EXIT DEVICE</x:v>
      </x:c>
      <x:c r="F56" t="str">
        <x:f>XLOOKUP($A56,'Specs'!$A$2:$A$164,'Specs'!$F$2:$F$164,"")</x:f>
        <x:v>NOT APPLICABLE</x:v>
      </x:c>
      <x:c r="G56" t="str">
        <x:f>XLOOKUP($A56,'Specs'!$A$2:$A$164,'Specs'!$G$2:$G$164,"")</x:f>
      </x:c>
      <x:c r="H56" t="str">
        <x:f>XLOOKUP($A56,'Specs'!$A$2:$A$164,'Specs'!$H$2:$H$164,"")</x:f>
      </x:c>
      <x:c r="I56" t="str">
        <x:f>XLOOKUP($A56,'Specs'!$A$2:$A$164,'Specs'!$I$2:$I$164,"")</x:f>
      </x:c>
      <x:c r="J56" t="str">
        <x:f>XLOOKUP($A56,'Specs'!$A$2:$A$164,'Specs'!$J$2:$J$164,"")</x:f>
      </x:c>
      <x:c r="K56" t="str">
        <x:f>XLOOKUP($A56,'Specs'!$A$2:$A$164,'Specs'!$K$2:$K$164,"")</x:f>
      </x:c>
      <x:c r="L56" t="str">
        <x:f>XLOOKUP($A56,'Specs'!$A$2:$A$164,'Specs'!$L$2:$L$164,"")</x:f>
      </x:c>
      <x:c r="M56" t="str">
        <x:f>XLOOKUP($A56,'Specs'!$A$2:$A$164,'Specs'!$M$2:$M$164,"")</x:f>
      </x:c>
      <x:c r="N56" t="str">
        <x:f>XLOOKUP($A56,'Specs'!$A$2:$A$164,'Specs'!$N$2:$N$164,"")</x:f>
        <x:v>LATCH BOLT MONITOR</x:v>
      </x:c>
      <x:c r="O56" t="str">
        <x:f>XLOOKUP($A56,'Specs'!$A$2:$A$164,'Specs'!$O$2:$O$164,"")</x:f>
        <x:v>ACCESSORY / ADDER</x:v>
      </x:c>
      <x:c r="P56" t="str">
        <x:f>XLOOKUP($A56,'Specs'!$A$2:$A$164,'Specs'!$P$2:$P$164,"")</x:f>
        <x:v>MEDIUM</x:v>
      </x:c>
      <x:c r="Q56" s="53" t="n">
        <x:f>XLOOKUP($A56,'Specs'!$A$2:$A$164,'Specs'!$Q$2:$Q$164,"")</x:f>
        <x:v>1</x:v>
      </x:c>
      <x:c r="R56" s="53" t="n">
        <x:f>XLOOKUP($A56,'Specs'!$A$2:$A$164,'Specs'!$R$2:$R$164,"")</x:f>
        <x:v>1</x:v>
      </x:c>
      <x:c r="S56" t="str">
        <x:f>'Vendor Options'!A56</x:f>
        <x:v>OFFER-05C9188B3A16</x:v>
      </x:c>
      <x:c r="T56" t="str">
        <x:f>'Vendor Options'!C56</x:f>
        <x:v>PHI</x:v>
      </x:c>
      <x:c r="U56" t="str">
        <x:f>'Vendor Options'!D56</x:f>
        <x:v>LATCH BOLT MONITOR</x:v>
      </x:c>
      <x:c r="V56" t="n">
        <x:f>'Vendor Options'!E56</x:f>
        <x:v>0</x:v>
      </x:c>
      <x:c r="W56" t="n">
        <x:f>'Vendor Options'!F56</x:f>
        <x:v>0</x:v>
      </x:c>
      <x:c r="X56" t="n">
        <x:f>'Vendor Options'!G56</x:f>
        <x:v>0</x:v>
      </x:c>
      <x:c r="Y56" t="n">
        <x:f>'Vendor Options'!H56</x:f>
        <x:v>0</x:v>
      </x:c>
      <x:c r="Z56" t="str">
        <x:f>'Vendor Options'!I56</x:f>
      </x:c>
      <x:c r="AA56" s="54" t="n">
        <x:f>'Vendor Options'!J56</x:f>
        <x:v>372</x:v>
      </x:c>
      <x:c r="AB56" t="n">
        <x:f>'Vendor Options'!K56</x:f>
        <x:v>0</x:v>
      </x:c>
      <x:c r="AC56" s="57" t="n">
        <x:f>'Vendor Options'!L56</x:f>
        <x:v>0</x:v>
      </x:c>
      <x:c r="AD56" s="57" t="n">
        <x:f>'Vendor Options'!M56</x:f>
        <x:v>0</x:v>
      </x:c>
      <x:c r="AE56" s="54" t="n">
        <x:f>'Vendor Options'!N56</x:f>
        <x:v>372</x:v>
      </x:c>
      <x:c r="AF56" t="str">
        <x:f>'Vendor Options'!O56</x:f>
        <x:v>USD</x:v>
      </x:c>
      <x:c r="AG56" t="str">
        <x:f>'Vendor Options'!P56</x:f>
        <x:v>PRICED</x:v>
      </x:c>
      <x:c r="AH56" t="str">
        <x:f>'Vendor Options'!Q56</x:f>
        <x:v>REVIEW</x:v>
      </x:c>
      <x:c r="AI56" t="str">
        <x:f>'Vendor Options'!R56</x:f>
        <x:v>MISSING_PART_NUMBER</x:v>
      </x:c>
      <x:c r="AJ56" t="n">
        <x:f>'Vendor Options'!S56</x:f>
        <x:v>246</x:v>
      </x:c>
    </x:row>
    <x:row r="57" ht="15" hidden="0" customHeight="1">
      <x:c r="A57" t="str">
        <x:f>'Vendor Options'!B57</x:f>
        <x:v>SPEC-C0B08F444CF0</x:v>
      </x:c>
      <x:c r="B57" t="str">
        <x:f>XLOOKUP($A57,'Specs'!$A$2:$A$164,'Specs'!$B$2:$B$164,"")</x:f>
        <x:v>EXIT DEVICE</x:v>
      </x:c>
      <x:c r="C57" t="str">
        <x:f>XLOOKUP($A57,'Specs'!$A$2:$A$164,'Specs'!$C$2:$C$164,"")</x:f>
        <x:v>PANIC / EXIT DEVICE</x:v>
      </x:c>
      <x:c r="D57" t="str">
        <x:f>XLOOKUP($A57,'Specs'!$A$2:$A$164,'Specs'!$D$2:$D$164,"")</x:f>
        <x:v>MORTISE</x:v>
      </x:c>
      <x:c r="E57" t="str">
        <x:f>XLOOKUP($A57,'Specs'!$A$2:$A$164,'Specs'!$E$2:$E$164,"")</x:f>
        <x:v>EXIT DEVICE</x:v>
      </x:c>
      <x:c r="F57" t="str">
        <x:f>XLOOKUP($A57,'Specs'!$A$2:$A$164,'Specs'!$F$2:$F$164,"")</x:f>
        <x:v>NOT APPLICABLE</x:v>
      </x:c>
      <x:c r="G57" t="str">
        <x:f>XLOOKUP($A57,'Specs'!$A$2:$A$164,'Specs'!$G$2:$G$164,"")</x:f>
      </x:c>
      <x:c r="H57" t="str">
        <x:f>XLOOKUP($A57,'Specs'!$A$2:$A$164,'Specs'!$H$2:$H$164,"")</x:f>
      </x:c>
      <x:c r="I57" t="str">
        <x:f>XLOOKUP($A57,'Specs'!$A$2:$A$164,'Specs'!$I$2:$I$164,"")</x:f>
      </x:c>
      <x:c r="J57" t="str">
        <x:f>XLOOKUP($A57,'Specs'!$A$2:$A$164,'Specs'!$J$2:$J$164,"")</x:f>
      </x:c>
      <x:c r="K57" t="str">
        <x:f>XLOOKUP($A57,'Specs'!$A$2:$A$164,'Specs'!$K$2:$K$164,"")</x:f>
      </x:c>
      <x:c r="L57" t="str">
        <x:f>XLOOKUP($A57,'Specs'!$A$2:$A$164,'Specs'!$L$2:$L$164,"")</x:f>
      </x:c>
      <x:c r="M57" t="str">
        <x:f>XLOOKUP($A57,'Specs'!$A$2:$A$164,'Specs'!$M$2:$M$164,"")</x:f>
      </x:c>
      <x:c r="N57" t="str">
        <x:f>XLOOKUP($A57,'Specs'!$A$2:$A$164,'Specs'!$N$2:$N$164,"")</x:f>
        <x:v>MOTORIZED LATCH RETRACTION</x:v>
      </x:c>
      <x:c r="O57" t="str">
        <x:f>XLOOKUP($A57,'Specs'!$A$2:$A$164,'Specs'!$O$2:$O$164,"")</x:f>
        <x:v>ACCESSORY / ADDER</x:v>
      </x:c>
      <x:c r="P57" t="str">
        <x:f>XLOOKUP($A57,'Specs'!$A$2:$A$164,'Specs'!$P$2:$P$164,"")</x:f>
        <x:v>MEDIUM</x:v>
      </x:c>
      <x:c r="Q57" s="53" t="n">
        <x:f>XLOOKUP($A57,'Specs'!$A$2:$A$164,'Specs'!$Q$2:$Q$164,"")</x:f>
        <x:v>1</x:v>
      </x:c>
      <x:c r="R57" s="53" t="n">
        <x:f>XLOOKUP($A57,'Specs'!$A$2:$A$164,'Specs'!$R$2:$R$164,"")</x:f>
        <x:v>1</x:v>
      </x:c>
      <x:c r="S57" t="str">
        <x:f>'Vendor Options'!A57</x:f>
        <x:v>OFFER-C9960490322F</x:v>
      </x:c>
      <x:c r="T57" t="str">
        <x:f>'Vendor Options'!C57</x:f>
        <x:v>PHI</x:v>
      </x:c>
      <x:c r="U57" t="str">
        <x:f>'Vendor Options'!D57</x:f>
        <x:v>MLR ADDER</x:v>
      </x:c>
      <x:c r="V57" t="str">
        <x:f>'Vendor Options'!E57</x:f>
        <x:v>MORTORIZED LATCH RETRACTION</x:v>
      </x:c>
      <x:c r="W57" t="n">
        <x:f>'Vendor Options'!F57</x:f>
        <x:v>0</x:v>
      </x:c>
      <x:c r="X57" t="n">
        <x:f>'Vendor Options'!G57</x:f>
        <x:v>0</x:v>
      </x:c>
      <x:c r="Y57" t="n">
        <x:f>'Vendor Options'!H57</x:f>
        <x:v>0</x:v>
      </x:c>
      <x:c r="Z57" t="str">
        <x:f>'Vendor Options'!I57</x:f>
      </x:c>
      <x:c r="AA57" s="54" t="n">
        <x:f>'Vendor Options'!J57</x:f>
        <x:v>1577</x:v>
      </x:c>
      <x:c r="AB57" t="n">
        <x:f>'Vendor Options'!K57</x:f>
        <x:v>0</x:v>
      </x:c>
      <x:c r="AC57" s="57" t="n">
        <x:f>'Vendor Options'!L57</x:f>
        <x:v>0</x:v>
      </x:c>
      <x:c r="AD57" s="57" t="n">
        <x:f>'Vendor Options'!M57</x:f>
        <x:v>0</x:v>
      </x:c>
      <x:c r="AE57" s="54" t="n">
        <x:f>'Vendor Options'!N57</x:f>
        <x:v>1577</x:v>
      </x:c>
      <x:c r="AF57" t="str">
        <x:f>'Vendor Options'!O57</x:f>
        <x:v>USD</x:v>
      </x:c>
      <x:c r="AG57" t="str">
        <x:f>'Vendor Options'!P57</x:f>
        <x:v>PRICED</x:v>
      </x:c>
      <x:c r="AH57" t="str">
        <x:f>'Vendor Options'!Q57</x:f>
        <x:v>REVIEW</x:v>
      </x:c>
      <x:c r="AI57" t="str">
        <x:f>'Vendor Options'!R57</x:f>
        <x:v>MISSING_PART_NUMBER</x:v>
      </x:c>
      <x:c r="AJ57" t="n">
        <x:f>'Vendor Options'!S57</x:f>
        <x:v>245</x:v>
      </x:c>
    </x:row>
    <x:row r="58" ht="15" hidden="0" customHeight="1">
      <x:c r="A58" t="str">
        <x:f>'Vendor Options'!B58</x:f>
        <x:v>SPEC-C5B77A68C63A</x:v>
      </x:c>
      <x:c r="B58" t="str">
        <x:f>XLOOKUP($A58,'Specs'!$A$2:$A$164,'Specs'!$B$2:$B$164,"")</x:f>
        <x:v>EXIT DEVICE</x:v>
      </x:c>
      <x:c r="C58" t="str">
        <x:f>XLOOKUP($A58,'Specs'!$A$2:$A$164,'Specs'!$C$2:$C$164,"")</x:f>
        <x:v>PANIC / EXIT DEVICE</x:v>
      </x:c>
      <x:c r="D58" t="str">
        <x:f>XLOOKUP($A58,'Specs'!$A$2:$A$164,'Specs'!$D$2:$D$164,"")</x:f>
        <x:v>MORTISE</x:v>
      </x:c>
      <x:c r="E58" t="str">
        <x:f>XLOOKUP($A58,'Specs'!$A$2:$A$164,'Specs'!$E$2:$E$164,"")</x:f>
        <x:v>EXIT DEVICE</x:v>
      </x:c>
      <x:c r="F58" t="str">
        <x:f>XLOOKUP($A58,'Specs'!$A$2:$A$164,'Specs'!$F$2:$F$164,"")</x:f>
        <x:v>NOT APPLICABLE</x:v>
      </x:c>
      <x:c r="G58" t="str">
        <x:f>XLOOKUP($A58,'Specs'!$A$2:$A$164,'Specs'!$G$2:$G$164,"")</x:f>
      </x:c>
      <x:c r="H58" t="str">
        <x:f>XLOOKUP($A58,'Specs'!$A$2:$A$164,'Specs'!$H$2:$H$164,"")</x:f>
        <x:v>FIRE</x:v>
      </x:c>
      <x:c r="I58" t="str">
        <x:f>XLOOKUP($A58,'Specs'!$A$2:$A$164,'Specs'!$I$2:$I$164,"")</x:f>
      </x:c>
      <x:c r="J58" t="str">
        <x:f>XLOOKUP($A58,'Specs'!$A$2:$A$164,'Specs'!$J$2:$J$164,"")</x:f>
      </x:c>
      <x:c r="K58" t="str">
        <x:f>XLOOKUP($A58,'Specs'!$A$2:$A$164,'Specs'!$K$2:$K$164,"")</x:f>
      </x:c>
      <x:c r="L58" t="str">
        <x:f>XLOOKUP($A58,'Specs'!$A$2:$A$164,'Specs'!$L$2:$L$164,"")</x:f>
      </x:c>
      <x:c r="M58" t="str">
        <x:f>XLOOKUP($A58,'Specs'!$A$2:$A$164,'Specs'!$M$2:$M$164,"")</x:f>
      </x:c>
      <x:c r="N58" t="str">
        <x:f>XLOOKUP($A58,'Specs'!$A$2:$A$164,'Specs'!$N$2:$N$164,"")</x:f>
      </x:c>
      <x:c r="O58" t="str">
        <x:f>XLOOKUP($A58,'Specs'!$A$2:$A$164,'Specs'!$O$2:$O$164,"")</x:f>
        <x:v>ACCESSORY / ADDER</x:v>
      </x:c>
      <x:c r="P58" t="str">
        <x:f>XLOOKUP($A58,'Specs'!$A$2:$A$164,'Specs'!$P$2:$P$164,"")</x:f>
        <x:v>MEDIUM</x:v>
      </x:c>
      <x:c r="Q58" s="53" t="n">
        <x:f>XLOOKUP($A58,'Specs'!$A$2:$A$164,'Specs'!$Q$2:$Q$164,"")</x:f>
        <x:v>1</x:v>
      </x:c>
      <x:c r="R58" s="53" t="n">
        <x:f>XLOOKUP($A58,'Specs'!$A$2:$A$164,'Specs'!$R$2:$R$164,"")</x:f>
        <x:v>1</x:v>
      </x:c>
      <x:c r="S58" t="str">
        <x:f>'Vendor Options'!A58</x:f>
        <x:v>OFFER-2D3ABF1C542C</x:v>
      </x:c>
      <x:c r="T58" t="str">
        <x:f>'Vendor Options'!C58</x:f>
        <x:v>PHI</x:v>
      </x:c>
      <x:c r="U58" t="str">
        <x:f>'Vendor Options'!D58</x:f>
        <x:v>FIRE ADDER</x:v>
      </x:c>
      <x:c r="V58" t="n">
        <x:f>'Vendor Options'!E58</x:f>
        <x:v>0</x:v>
      </x:c>
      <x:c r="W58" t="n">
        <x:f>'Vendor Options'!F58</x:f>
        <x:v>0</x:v>
      </x:c>
      <x:c r="X58" t="n">
        <x:f>'Vendor Options'!G58</x:f>
        <x:v>0</x:v>
      </x:c>
      <x:c r="Y58" t="n">
        <x:f>'Vendor Options'!H58</x:f>
        <x:v>0</x:v>
      </x:c>
      <x:c r="Z58" t="n">
        <x:f>'Vendor Options'!I58</x:f>
        <x:v>0</x:v>
      </x:c>
      <x:c r="AA58" s="54" t="n">
        <x:f>'Vendor Options'!J58</x:f>
        <x:v>292</x:v>
      </x:c>
      <x:c r="AB58" t="n">
        <x:f>'Vendor Options'!K58</x:f>
        <x:v>0</x:v>
      </x:c>
      <x:c r="AC58" s="57" t="n">
        <x:f>'Vendor Options'!L58</x:f>
        <x:v>0</x:v>
      </x:c>
      <x:c r="AD58" s="57" t="n">
        <x:f>'Vendor Options'!M58</x:f>
        <x:v>0</x:v>
      </x:c>
      <x:c r="AE58" s="54" t="n">
        <x:f>'Vendor Options'!N58</x:f>
        <x:v>292</x:v>
      </x:c>
      <x:c r="AF58" t="str">
        <x:f>'Vendor Options'!O58</x:f>
        <x:v>USD</x:v>
      </x:c>
      <x:c r="AG58" t="str">
        <x:f>'Vendor Options'!P58</x:f>
        <x:v>PRICED</x:v>
      </x:c>
      <x:c r="AH58" t="str">
        <x:f>'Vendor Options'!Q58</x:f>
        <x:v>REVIEW</x:v>
      </x:c>
      <x:c r="AI58" t="str">
        <x:f>'Vendor Options'!R58</x:f>
        <x:v>MISSING_PART_NUMBER</x:v>
      </x:c>
      <x:c r="AJ58" t="n">
        <x:f>'Vendor Options'!S58</x:f>
        <x:v>242</x:v>
      </x:c>
    </x:row>
    <x:row r="59" ht="15" hidden="0" customHeight="1">
      <x:c r="A59" t="str">
        <x:f>'Vendor Options'!B59</x:f>
        <x:v>SPEC-689B22E417E6</x:v>
      </x:c>
      <x:c r="B59" t="str">
        <x:f>XLOOKUP($A59,'Specs'!$A$2:$A$164,'Specs'!$B$2:$B$164,"")</x:f>
        <x:v>EXIT DEVICE</x:v>
      </x:c>
      <x:c r="C59" t="str">
        <x:f>XLOOKUP($A59,'Specs'!$A$2:$A$164,'Specs'!$C$2:$C$164,"")</x:f>
        <x:v>PANIC / EXIT DEVICE</x:v>
      </x:c>
      <x:c r="D59" t="str">
        <x:f>XLOOKUP($A59,'Specs'!$A$2:$A$164,'Specs'!$D$2:$D$164,"")</x:f>
        <x:v>MORTISE</x:v>
      </x:c>
      <x:c r="E59" t="str">
        <x:f>XLOOKUP($A59,'Specs'!$A$2:$A$164,'Specs'!$E$2:$E$164,"")</x:f>
        <x:v>EXIT DEVICE</x:v>
      </x:c>
      <x:c r="F59" t="str">
        <x:f>XLOOKUP($A59,'Specs'!$A$2:$A$164,'Specs'!$F$2:$F$164,"")</x:f>
        <x:v>NOT APPLICABLE</x:v>
      </x:c>
      <x:c r="G59" t="str">
        <x:f>XLOOKUP($A59,'Specs'!$A$2:$A$164,'Specs'!$G$2:$G$164,"")</x:f>
      </x:c>
      <x:c r="H59" t="str">
        <x:f>XLOOKUP($A59,'Specs'!$A$2:$A$164,'Specs'!$H$2:$H$164,"")</x:f>
        <x:v>PANIC</x:v>
      </x:c>
      <x:c r="I59" t="str">
        <x:f>XLOOKUP($A59,'Specs'!$A$2:$A$164,'Specs'!$I$2:$I$164,"")</x:f>
      </x:c>
      <x:c r="J59" t="str">
        <x:f>XLOOKUP($A59,'Specs'!$A$2:$A$164,'Specs'!$J$2:$J$164,"")</x:f>
      </x:c>
      <x:c r="K59" t="str">
        <x:f>XLOOKUP($A59,'Specs'!$A$2:$A$164,'Specs'!$K$2:$K$164,"")</x:f>
      </x:c>
      <x:c r="L59" t="str">
        <x:f>XLOOKUP($A59,'Specs'!$A$2:$A$164,'Specs'!$L$2:$L$164,"")</x:f>
      </x:c>
      <x:c r="M59" t="str">
        <x:f>XLOOKUP($A59,'Specs'!$A$2:$A$164,'Specs'!$M$2:$M$164,"")</x:f>
      </x:c>
      <x:c r="N59" t="str">
        <x:f>XLOOKUP($A59,'Specs'!$A$2:$A$164,'Specs'!$N$2:$N$164,"")</x:f>
      </x:c>
      <x:c r="O59" t="str">
        <x:f>XLOOKUP($A59,'Specs'!$A$2:$A$164,'Specs'!$O$2:$O$164,"")</x:f>
      </x:c>
      <x:c r="P59" t="str">
        <x:f>XLOOKUP($A59,'Specs'!$A$2:$A$164,'Specs'!$P$2:$P$164,"")</x:f>
        <x:v>MEDIUM</x:v>
      </x:c>
      <x:c r="Q59" s="53" t="n">
        <x:f>XLOOKUP($A59,'Specs'!$A$2:$A$164,'Specs'!$Q$2:$Q$164,"")</x:f>
        <x:v>3</x:v>
      </x:c>
      <x:c r="R59" s="53" t="n">
        <x:f>XLOOKUP($A59,'Specs'!$A$2:$A$164,'Specs'!$R$2:$R$164,"")</x:f>
        <x:v>3</x:v>
      </x:c>
      <x:c r="S59" t="str">
        <x:f>'Vendor Options'!A59</x:f>
        <x:v>OFFER-03B77EA7DE67</x:v>
      </x:c>
      <x:c r="T59" t="str">
        <x:f>'Vendor Options'!C59</x:f>
        <x:v>COR</x:v>
      </x:c>
      <x:c r="U59" t="str">
        <x:f>'Vendor Options'!D59</x:f>
        <x:v>MORTISE PANIC</x:v>
      </x:c>
      <x:c r="V59" t="n">
        <x:f>'Vendor Options'!E59</x:f>
        <x:v>0</x:v>
      </x:c>
      <x:c r="W59" t="n">
        <x:f>'Vendor Options'!F59</x:f>
        <x:v>0</x:v>
      </x:c>
      <x:c r="X59" t="n">
        <x:f>'Vendor Options'!G59</x:f>
        <x:v>0</x:v>
      </x:c>
      <x:c r="Y59" t="n">
        <x:f>'Vendor Options'!H59</x:f>
        <x:v>0</x:v>
      </x:c>
      <x:c r="Z59" t="n">
        <x:f>'Vendor Options'!I59</x:f>
        <x:v>0</x:v>
      </x:c>
      <x:c r="AA59" s="54" t="n">
        <x:f>'Vendor Options'!J59</x:f>
        <x:v>0</x:v>
      </x:c>
      <x:c r="AB59" t="n">
        <x:f>'Vendor Options'!K59</x:f>
        <x:v>0</x:v>
      </x:c>
      <x:c r="AC59" s="57" t="n">
        <x:f>'Vendor Options'!L59</x:f>
        <x:v>0</x:v>
      </x:c>
      <x:c r="AD59" s="57" t="n">
        <x:f>'Vendor Options'!M59</x:f>
        <x:v>0</x:v>
      </x:c>
      <x:c r="AE59" s="54" t="str">
        <x:f>'Vendor Options'!N59</x:f>
      </x:c>
      <x:c r="AF59" t="str">
        <x:f>'Vendor Options'!O59</x:f>
        <x:v>USD</x:v>
      </x:c>
      <x:c r="AG59" t="str">
        <x:f>'Vendor Options'!P59</x:f>
        <x:v>UNPRICED</x:v>
      </x:c>
      <x:c r="AH59" t="str">
        <x:f>'Vendor Options'!Q59</x:f>
        <x:v>REVIEW</x:v>
      </x:c>
      <x:c r="AI59" t="str">
        <x:f>'Vendor Options'!R59</x:f>
        <x:v>MISSING_PRICE; MISSING_PART_NUMBER</x:v>
      </x:c>
      <x:c r="AJ59" t="n">
        <x:f>'Vendor Options'!S59</x:f>
        <x:v>271</x:v>
      </x:c>
    </x:row>
    <x:row r="60" ht="15" hidden="0" customHeight="1">
      <x:c r="A60" t="str">
        <x:f>'Vendor Options'!B60</x:f>
        <x:v>SPEC-689B22E417E6</x:v>
      </x:c>
      <x:c r="B60" t="str">
        <x:f>XLOOKUP($A60,'Specs'!$A$2:$A$164,'Specs'!$B$2:$B$164,"")</x:f>
        <x:v>EXIT DEVICE</x:v>
      </x:c>
      <x:c r="C60" t="str">
        <x:f>XLOOKUP($A60,'Specs'!$A$2:$A$164,'Specs'!$C$2:$C$164,"")</x:f>
        <x:v>PANIC / EXIT DEVICE</x:v>
      </x:c>
      <x:c r="D60" t="str">
        <x:f>XLOOKUP($A60,'Specs'!$A$2:$A$164,'Specs'!$D$2:$D$164,"")</x:f>
        <x:v>MORTISE</x:v>
      </x:c>
      <x:c r="E60" t="str">
        <x:f>XLOOKUP($A60,'Specs'!$A$2:$A$164,'Specs'!$E$2:$E$164,"")</x:f>
        <x:v>EXIT DEVICE</x:v>
      </x:c>
      <x:c r="F60" t="str">
        <x:f>XLOOKUP($A60,'Specs'!$A$2:$A$164,'Specs'!$F$2:$F$164,"")</x:f>
        <x:v>NOT APPLICABLE</x:v>
      </x:c>
      <x:c r="G60" t="str">
        <x:f>XLOOKUP($A60,'Specs'!$A$2:$A$164,'Specs'!$G$2:$G$164,"")</x:f>
      </x:c>
      <x:c r="H60" t="str">
        <x:f>XLOOKUP($A60,'Specs'!$A$2:$A$164,'Specs'!$H$2:$H$164,"")</x:f>
        <x:v>PANIC</x:v>
      </x:c>
      <x:c r="I60" t="str">
        <x:f>XLOOKUP($A60,'Specs'!$A$2:$A$164,'Specs'!$I$2:$I$164,"")</x:f>
      </x:c>
      <x:c r="J60" t="str">
        <x:f>XLOOKUP($A60,'Specs'!$A$2:$A$164,'Specs'!$J$2:$J$164,"")</x:f>
      </x:c>
      <x:c r="K60" t="str">
        <x:f>XLOOKUP($A60,'Specs'!$A$2:$A$164,'Specs'!$K$2:$K$164,"")</x:f>
      </x:c>
      <x:c r="L60" t="str">
        <x:f>XLOOKUP($A60,'Specs'!$A$2:$A$164,'Specs'!$L$2:$L$164,"")</x:f>
      </x:c>
      <x:c r="M60" t="str">
        <x:f>XLOOKUP($A60,'Specs'!$A$2:$A$164,'Specs'!$M$2:$M$164,"")</x:f>
      </x:c>
      <x:c r="N60" t="str">
        <x:f>XLOOKUP($A60,'Specs'!$A$2:$A$164,'Specs'!$N$2:$N$164,"")</x:f>
      </x:c>
      <x:c r="O60" t="str">
        <x:f>XLOOKUP($A60,'Specs'!$A$2:$A$164,'Specs'!$O$2:$O$164,"")</x:f>
      </x:c>
      <x:c r="P60" t="str">
        <x:f>XLOOKUP($A60,'Specs'!$A$2:$A$164,'Specs'!$P$2:$P$164,"")</x:f>
        <x:v>MEDIUM</x:v>
      </x:c>
      <x:c r="Q60" s="53" t="n">
        <x:f>XLOOKUP($A60,'Specs'!$A$2:$A$164,'Specs'!$Q$2:$Q$164,"")</x:f>
        <x:v>3</x:v>
      </x:c>
      <x:c r="R60" s="53" t="n">
        <x:f>XLOOKUP($A60,'Specs'!$A$2:$A$164,'Specs'!$R$2:$R$164,"")</x:f>
        <x:v>3</x:v>
      </x:c>
      <x:c r="S60" t="str">
        <x:f>'Vendor Options'!A60</x:f>
        <x:v>OFFER-7F49B7D2C161</x:v>
      </x:c>
      <x:c r="T60" t="str">
        <x:f>'Vendor Options'!C60</x:f>
        <x:v>SAR</x:v>
      </x:c>
      <x:c r="U60" t="str">
        <x:f>'Vendor Options'!D60</x:f>
        <x:v>MORTISE PANIC</x:v>
      </x:c>
      <x:c r="V60" t="n">
        <x:f>'Vendor Options'!E60</x:f>
        <x:v>0</x:v>
      </x:c>
      <x:c r="W60" t="n">
        <x:f>'Vendor Options'!F60</x:f>
        <x:v>0</x:v>
      </x:c>
      <x:c r="X60" t="n">
        <x:f>'Vendor Options'!G60</x:f>
        <x:v>0</x:v>
      </x:c>
      <x:c r="Y60" t="n">
        <x:f>'Vendor Options'!H60</x:f>
        <x:v>0</x:v>
      </x:c>
      <x:c r="Z60" t="n">
        <x:f>'Vendor Options'!I60</x:f>
        <x:v>0</x:v>
      </x:c>
      <x:c r="AA60" s="54" t="n">
        <x:f>'Vendor Options'!J60</x:f>
        <x:v>0</x:v>
      </x:c>
      <x:c r="AB60" t="n">
        <x:f>'Vendor Options'!K60</x:f>
        <x:v>0</x:v>
      </x:c>
      <x:c r="AC60" s="57" t="n">
        <x:f>'Vendor Options'!L60</x:f>
        <x:v>0</x:v>
      </x:c>
      <x:c r="AD60" s="57" t="n">
        <x:f>'Vendor Options'!M60</x:f>
        <x:v>0</x:v>
      </x:c>
      <x:c r="AE60" s="54" t="str">
        <x:f>'Vendor Options'!N60</x:f>
      </x:c>
      <x:c r="AF60" t="str">
        <x:f>'Vendor Options'!O60</x:f>
        <x:v>USD</x:v>
      </x:c>
      <x:c r="AG60" t="str">
        <x:f>'Vendor Options'!P60</x:f>
        <x:v>UNPRICED</x:v>
      </x:c>
      <x:c r="AH60" t="str">
        <x:f>'Vendor Options'!Q60</x:f>
        <x:v>REVIEW</x:v>
      </x:c>
      <x:c r="AI60" t="str">
        <x:f>'Vendor Options'!R60</x:f>
        <x:v>MISSING_PRICE; MISSING_PART_NUMBER</x:v>
      </x:c>
      <x:c r="AJ60" t="n">
        <x:f>'Vendor Options'!S60</x:f>
        <x:v>272</x:v>
      </x:c>
    </x:row>
    <x:row r="61" ht="15" hidden="0" customHeight="1">
      <x:c r="A61" t="str">
        <x:f>'Vendor Options'!B61</x:f>
        <x:v>SPEC-689B22E417E6</x:v>
      </x:c>
      <x:c r="B61" t="str">
        <x:f>XLOOKUP($A61,'Specs'!$A$2:$A$164,'Specs'!$B$2:$B$164,"")</x:f>
        <x:v>EXIT DEVICE</x:v>
      </x:c>
      <x:c r="C61" t="str">
        <x:f>XLOOKUP($A61,'Specs'!$A$2:$A$164,'Specs'!$C$2:$C$164,"")</x:f>
        <x:v>PANIC / EXIT DEVICE</x:v>
      </x:c>
      <x:c r="D61" t="str">
        <x:f>XLOOKUP($A61,'Specs'!$A$2:$A$164,'Specs'!$D$2:$D$164,"")</x:f>
        <x:v>MORTISE</x:v>
      </x:c>
      <x:c r="E61" t="str">
        <x:f>XLOOKUP($A61,'Specs'!$A$2:$A$164,'Specs'!$E$2:$E$164,"")</x:f>
        <x:v>EXIT DEVICE</x:v>
      </x:c>
      <x:c r="F61" t="str">
        <x:f>XLOOKUP($A61,'Specs'!$A$2:$A$164,'Specs'!$F$2:$F$164,"")</x:f>
        <x:v>NOT APPLICABLE</x:v>
      </x:c>
      <x:c r="G61" t="str">
        <x:f>XLOOKUP($A61,'Specs'!$A$2:$A$164,'Specs'!$G$2:$G$164,"")</x:f>
      </x:c>
      <x:c r="H61" t="str">
        <x:f>XLOOKUP($A61,'Specs'!$A$2:$A$164,'Specs'!$H$2:$H$164,"")</x:f>
        <x:v>PANIC</x:v>
      </x:c>
      <x:c r="I61" t="str">
        <x:f>XLOOKUP($A61,'Specs'!$A$2:$A$164,'Specs'!$I$2:$I$164,"")</x:f>
      </x:c>
      <x:c r="J61" t="str">
        <x:f>XLOOKUP($A61,'Specs'!$A$2:$A$164,'Specs'!$J$2:$J$164,"")</x:f>
      </x:c>
      <x:c r="K61" t="str">
        <x:f>XLOOKUP($A61,'Specs'!$A$2:$A$164,'Specs'!$K$2:$K$164,"")</x:f>
      </x:c>
      <x:c r="L61" t="str">
        <x:f>XLOOKUP($A61,'Specs'!$A$2:$A$164,'Specs'!$L$2:$L$164,"")</x:f>
      </x:c>
      <x:c r="M61" t="str">
        <x:f>XLOOKUP($A61,'Specs'!$A$2:$A$164,'Specs'!$M$2:$M$164,"")</x:f>
      </x:c>
      <x:c r="N61" t="str">
        <x:f>XLOOKUP($A61,'Specs'!$A$2:$A$164,'Specs'!$N$2:$N$164,"")</x:f>
      </x:c>
      <x:c r="O61" t="str">
        <x:f>XLOOKUP($A61,'Specs'!$A$2:$A$164,'Specs'!$O$2:$O$164,"")</x:f>
      </x:c>
      <x:c r="P61" t="str">
        <x:f>XLOOKUP($A61,'Specs'!$A$2:$A$164,'Specs'!$P$2:$P$164,"")</x:f>
        <x:v>MEDIUM</x:v>
      </x:c>
      <x:c r="Q61" s="53" t="n">
        <x:f>XLOOKUP($A61,'Specs'!$A$2:$A$164,'Specs'!$Q$2:$Q$164,"")</x:f>
        <x:v>3</x:v>
      </x:c>
      <x:c r="R61" s="53" t="n">
        <x:f>XLOOKUP($A61,'Specs'!$A$2:$A$164,'Specs'!$R$2:$R$164,"")</x:f>
        <x:v>3</x:v>
      </x:c>
      <x:c r="S61" t="str">
        <x:f>'Vendor Options'!A61</x:f>
        <x:v>OFFER-51510BC59675</x:v>
      </x:c>
      <x:c r="T61" t="str">
        <x:f>'Vendor Options'!C61</x:f>
        <x:v>VD</x:v>
      </x:c>
      <x:c r="U61" t="str">
        <x:f>'Vendor Options'!D61</x:f>
        <x:v>MORTISE PANIC</x:v>
      </x:c>
      <x:c r="V61" t="n">
        <x:f>'Vendor Options'!E61</x:f>
        <x:v>0</x:v>
      </x:c>
      <x:c r="W61" t="n">
        <x:f>'Vendor Options'!F61</x:f>
        <x:v>0</x:v>
      </x:c>
      <x:c r="X61" t="n">
        <x:f>'Vendor Options'!G61</x:f>
        <x:v>0</x:v>
      </x:c>
      <x:c r="Y61" t="n">
        <x:f>'Vendor Options'!H61</x:f>
        <x:v>0</x:v>
      </x:c>
      <x:c r="Z61" t="str">
        <x:f>'Vendor Options'!I61</x:f>
      </x:c>
      <x:c r="AA61" s="54" t="n">
        <x:f>'Vendor Options'!J61</x:f>
        <x:v>0</x:v>
      </x:c>
      <x:c r="AB61" t="n">
        <x:f>'Vendor Options'!K61</x:f>
        <x:v>0</x:v>
      </x:c>
      <x:c r="AC61" s="57" t="n">
        <x:f>'Vendor Options'!L61</x:f>
        <x:v>0</x:v>
      </x:c>
      <x:c r="AD61" s="57" t="n">
        <x:f>'Vendor Options'!M61</x:f>
        <x:v>0</x:v>
      </x:c>
      <x:c r="AE61" s="54" t="str">
        <x:f>'Vendor Options'!N61</x:f>
      </x:c>
      <x:c r="AF61" t="str">
        <x:f>'Vendor Options'!O61</x:f>
        <x:v>USD</x:v>
      </x:c>
      <x:c r="AG61" t="str">
        <x:f>'Vendor Options'!P61</x:f>
        <x:v>UNPRICED</x:v>
      </x:c>
      <x:c r="AH61" t="str">
        <x:f>'Vendor Options'!Q61</x:f>
        <x:v>REVIEW</x:v>
      </x:c>
      <x:c r="AI61" t="str">
        <x:f>'Vendor Options'!R61</x:f>
        <x:v>MISSING_PRICE; MISSING_PART_NUMBER</x:v>
      </x:c>
      <x:c r="AJ61" t="n">
        <x:f>'Vendor Options'!S61</x:f>
        <x:v>275</x:v>
      </x:c>
    </x:row>
    <x:row r="62" ht="15" hidden="0" customHeight="1">
      <x:c r="A62" t="str">
        <x:f>'Vendor Options'!B62</x:f>
        <x:v>SPEC-AD3A1C1F2C1E</x:v>
      </x:c>
      <x:c r="B62" t="str">
        <x:f>XLOOKUP($A62,'Specs'!$A$2:$A$164,'Specs'!$B$2:$B$164,"")</x:f>
        <x:v>EXIT DEVICE</x:v>
      </x:c>
      <x:c r="C62" t="str">
        <x:f>XLOOKUP($A62,'Specs'!$A$2:$A$164,'Specs'!$C$2:$C$164,"")</x:f>
        <x:v>PANIC / EXIT DEVICE</x:v>
      </x:c>
      <x:c r="D62" t="str">
        <x:f>XLOOKUP($A62,'Specs'!$A$2:$A$164,'Specs'!$D$2:$D$164,"")</x:f>
        <x:v>MORTISE</x:v>
      </x:c>
      <x:c r="E62" t="str">
        <x:f>XLOOKUP($A62,'Specs'!$A$2:$A$164,'Specs'!$E$2:$E$164,"")</x:f>
        <x:v>EXIT DEVICE</x:v>
      </x:c>
      <x:c r="F62" t="str">
        <x:f>XLOOKUP($A62,'Specs'!$A$2:$A$164,'Specs'!$F$2:$F$164,"")</x:f>
        <x:v>NOT APPLICABLE</x:v>
      </x:c>
      <x:c r="G62" t="str">
        <x:f>XLOOKUP($A62,'Specs'!$A$2:$A$164,'Specs'!$G$2:$G$164,"")</x:f>
      </x:c>
      <x:c r="H62" t="str">
        <x:f>XLOOKUP($A62,'Specs'!$A$2:$A$164,'Specs'!$H$2:$H$164,"")</x:f>
        <x:v>PANIC</x:v>
      </x:c>
      <x:c r="I62" t="str">
        <x:f>XLOOKUP($A62,'Specs'!$A$2:$A$164,'Specs'!$I$2:$I$164,"")</x:f>
      </x:c>
      <x:c r="J62" t="str">
        <x:f>XLOOKUP($A62,'Specs'!$A$2:$A$164,'Specs'!$J$2:$J$164,"")</x:f>
      </x:c>
      <x:c r="K62" t="str">
        <x:f>XLOOKUP($A62,'Specs'!$A$2:$A$164,'Specs'!$K$2:$K$164,"")</x:f>
      </x:c>
      <x:c r="L62" t="str">
        <x:f>XLOOKUP($A62,'Specs'!$A$2:$A$164,'Specs'!$L$2:$L$164,"")</x:f>
      </x:c>
      <x:c r="M62" t="n">
        <x:f>XLOOKUP($A62,'Specs'!$A$2:$A$164,'Specs'!$M$2:$M$164,"")</x:f>
        <x:v>628</x:v>
      </x:c>
      <x:c r="N62" t="str">
        <x:f>XLOOKUP($A62,'Specs'!$A$2:$A$164,'Specs'!$N$2:$N$164,"")</x:f>
        <x:v>FAIL SAFE</x:v>
      </x:c>
      <x:c r="O62" t="str">
        <x:f>XLOOKUP($A62,'Specs'!$A$2:$A$164,'Specs'!$O$2:$O$164,"")</x:f>
      </x:c>
      <x:c r="P62" t="str">
        <x:f>XLOOKUP($A62,'Specs'!$A$2:$A$164,'Specs'!$P$2:$P$164,"")</x:f>
        <x:v>HIGH</x:v>
      </x:c>
      <x:c r="Q62" s="53" t="n">
        <x:f>XLOOKUP($A62,'Specs'!$A$2:$A$164,'Specs'!$Q$2:$Q$164,"")</x:f>
        <x:v>1</x:v>
      </x:c>
      <x:c r="R62" s="53" t="n">
        <x:f>XLOOKUP($A62,'Specs'!$A$2:$A$164,'Specs'!$R$2:$R$164,"")</x:f>
        <x:v>1</x:v>
      </x:c>
      <x:c r="S62" t="str">
        <x:f>'Vendor Options'!A62</x:f>
        <x:v>OFFER-05D47A231E98</x:v>
      </x:c>
      <x:c r="T62" t="str">
        <x:f>'Vendor Options'!C62</x:f>
        <x:v>PHI</x:v>
      </x:c>
      <x:c r="U62" t="str">
        <x:f>'Vendor Options'!D62</x:f>
        <x:v>EL LEVER DOGGING</x:v>
      </x:c>
      <x:c r="V62" t="str">
        <x:f>'Vendor Options'!E62</x:f>
        <x:v>2300 BASE EL LOCK/UNLOCK</x:v>
      </x:c>
      <x:c r="W62" t="n">
        <x:f>'Vendor Options'!F62</x:f>
        <x:v>0</x:v>
      </x:c>
      <x:c r="X62" t="n">
        <x:f>'Vendor Options'!G62</x:f>
        <x:v>0</x:v>
      </x:c>
      <x:c r="Y62" t="n">
        <x:f>'Vendor Options'!H62</x:f>
        <x:v>0</x:v>
      </x:c>
      <x:c r="Z62" t="str">
        <x:f>'Vendor Options'!I62</x:f>
      </x:c>
      <x:c r="AA62" s="54" t="n">
        <x:f>'Vendor Options'!J62</x:f>
        <x:v>5918</x:v>
      </x:c>
      <x:c r="AB62" t="n">
        <x:f>'Vendor Options'!K62</x:f>
        <x:v>0</x:v>
      </x:c>
      <x:c r="AC62" s="57" t="n">
        <x:f>'Vendor Options'!L62</x:f>
        <x:v>0</x:v>
      </x:c>
      <x:c r="AD62" s="57" t="n">
        <x:f>'Vendor Options'!M62</x:f>
        <x:v>0</x:v>
      </x:c>
      <x:c r="AE62" s="54" t="n">
        <x:f>'Vendor Options'!N62</x:f>
        <x:v>5918</x:v>
      </x:c>
      <x:c r="AF62" t="str">
        <x:f>'Vendor Options'!O62</x:f>
        <x:v>USD</x:v>
      </x:c>
      <x:c r="AG62" t="str">
        <x:f>'Vendor Options'!P62</x:f>
        <x:v>PRICED</x:v>
      </x:c>
      <x:c r="AH62" t="str">
        <x:f>'Vendor Options'!Q62</x:f>
        <x:v>REVIEW</x:v>
      </x:c>
      <x:c r="AI62" t="str">
        <x:f>'Vendor Options'!R62</x:f>
        <x:v>MISSING_PART_NUMBER</x:v>
      </x:c>
      <x:c r="AJ62" t="n">
        <x:f>'Vendor Options'!S62</x:f>
        <x:v>256</x:v>
      </x:c>
    </x:row>
    <x:row r="63" ht="15" hidden="0" customHeight="1">
      <x:c r="A63" t="str">
        <x:f>'Vendor Options'!B63</x:f>
        <x:v>SPEC-98123BC5188E</x:v>
      </x:c>
      <x:c r="B63" t="str">
        <x:f>XLOOKUP($A63,'Specs'!$A$2:$A$164,'Specs'!$B$2:$B$164,"")</x:f>
        <x:v>EXIT DEVICE</x:v>
      </x:c>
      <x:c r="C63" t="str">
        <x:f>XLOOKUP($A63,'Specs'!$A$2:$A$164,'Specs'!$C$2:$C$164,"")</x:f>
        <x:v>PANIC / EXIT DEVICE</x:v>
      </x:c>
      <x:c r="D63" t="str">
        <x:f>XLOOKUP($A63,'Specs'!$A$2:$A$164,'Specs'!$D$2:$D$164,"")</x:f>
        <x:v>MORTISE</x:v>
      </x:c>
      <x:c r="E63" t="str">
        <x:f>XLOOKUP($A63,'Specs'!$A$2:$A$164,'Specs'!$E$2:$E$164,"")</x:f>
        <x:v>EXIT DEVICE</x:v>
      </x:c>
      <x:c r="F63" t="str">
        <x:f>XLOOKUP($A63,'Specs'!$A$2:$A$164,'Specs'!$F$2:$F$164,"")</x:f>
        <x:v>NOT APPLICABLE</x:v>
      </x:c>
      <x:c r="G63" t="str">
        <x:f>XLOOKUP($A63,'Specs'!$A$2:$A$164,'Specs'!$G$2:$G$164,"")</x:f>
      </x:c>
      <x:c r="H63" t="str">
        <x:f>XLOOKUP($A63,'Specs'!$A$2:$A$164,'Specs'!$H$2:$H$164,"")</x:f>
        <x:v>PANIC</x:v>
      </x:c>
      <x:c r="I63" t="str">
        <x:f>XLOOKUP($A63,'Specs'!$A$2:$A$164,'Specs'!$I$2:$I$164,"")</x:f>
      </x:c>
      <x:c r="J63" t="str">
        <x:f>XLOOKUP($A63,'Specs'!$A$2:$A$164,'Specs'!$J$2:$J$164,"")</x:f>
      </x:c>
      <x:c r="K63" t="str">
        <x:f>XLOOKUP($A63,'Specs'!$A$2:$A$164,'Specs'!$K$2:$K$164,"")</x:f>
      </x:c>
      <x:c r="L63" t="str">
        <x:f>XLOOKUP($A63,'Specs'!$A$2:$A$164,'Specs'!$L$2:$L$164,"")</x:f>
      </x:c>
      <x:c r="M63" t="n">
        <x:f>XLOOKUP($A63,'Specs'!$A$2:$A$164,'Specs'!$M$2:$M$164,"")</x:f>
        <x:v>630</x:v>
      </x:c>
      <x:c r="N63" t="str">
        <x:f>XLOOKUP($A63,'Specs'!$A$2:$A$164,'Specs'!$N$2:$N$164,"")</x:f>
        <x:v>FAIL SAFE</x:v>
      </x:c>
      <x:c r="O63" t="str">
        <x:f>XLOOKUP($A63,'Specs'!$A$2:$A$164,'Specs'!$O$2:$O$164,"")</x:f>
      </x:c>
      <x:c r="P63" t="str">
        <x:f>XLOOKUP($A63,'Specs'!$A$2:$A$164,'Specs'!$P$2:$P$164,"")</x:f>
        <x:v>HIGH</x:v>
      </x:c>
      <x:c r="Q63" s="53" t="n">
        <x:f>XLOOKUP($A63,'Specs'!$A$2:$A$164,'Specs'!$Q$2:$Q$164,"")</x:f>
        <x:v>1</x:v>
      </x:c>
      <x:c r="R63" s="53" t="n">
        <x:f>XLOOKUP($A63,'Specs'!$A$2:$A$164,'Specs'!$R$2:$R$164,"")</x:f>
        <x:v>1</x:v>
      </x:c>
      <x:c r="S63" t="str">
        <x:f>'Vendor Options'!A63</x:f>
        <x:v>OFFER-0A497BF2957B</x:v>
      </x:c>
      <x:c r="T63" t="str">
        <x:f>'Vendor Options'!C63</x:f>
        <x:v>PHI</x:v>
      </x:c>
      <x:c r="U63" t="str">
        <x:f>'Vendor Options'!D63</x:f>
        <x:v>EL LEVER DOGGING</x:v>
      </x:c>
      <x:c r="V63" t="str">
        <x:f>'Vendor Options'!E63</x:f>
        <x:v>2300 BASE EL LOCK/UNLOCK</x:v>
      </x:c>
      <x:c r="W63" t="n">
        <x:f>'Vendor Options'!F63</x:f>
        <x:v>0</x:v>
      </x:c>
      <x:c r="X63" t="n">
        <x:f>'Vendor Options'!G63</x:f>
        <x:v>0</x:v>
      </x:c>
      <x:c r="Y63" t="n">
        <x:f>'Vendor Options'!H63</x:f>
        <x:v>0</x:v>
      </x:c>
      <x:c r="Z63" t="str">
        <x:f>'Vendor Options'!I63</x:f>
      </x:c>
      <x:c r="AA63" s="54" t="n">
        <x:f>'Vendor Options'!J63</x:f>
        <x:v>5918</x:v>
      </x:c>
      <x:c r="AB63" t="n">
        <x:f>'Vendor Options'!K63</x:f>
        <x:v>0</x:v>
      </x:c>
      <x:c r="AC63" s="57" t="n">
        <x:f>'Vendor Options'!L63</x:f>
        <x:v>0</x:v>
      </x:c>
      <x:c r="AD63" s="57" t="n">
        <x:f>'Vendor Options'!M63</x:f>
        <x:v>0</x:v>
      </x:c>
      <x:c r="AE63" s="54" t="n">
        <x:f>'Vendor Options'!N63</x:f>
        <x:v>5918</x:v>
      </x:c>
      <x:c r="AF63" t="str">
        <x:f>'Vendor Options'!O63</x:f>
        <x:v>USD</x:v>
      </x:c>
      <x:c r="AG63" t="str">
        <x:f>'Vendor Options'!P63</x:f>
        <x:v>PRICED</x:v>
      </x:c>
      <x:c r="AH63" t="str">
        <x:f>'Vendor Options'!Q63</x:f>
        <x:v>REVIEW</x:v>
      </x:c>
      <x:c r="AI63" t="str">
        <x:f>'Vendor Options'!R63</x:f>
        <x:v>MISSING_PART_NUMBER</x:v>
      </x:c>
      <x:c r="AJ63" t="n">
        <x:f>'Vendor Options'!S63</x:f>
        <x:v>241</x:v>
      </x:c>
    </x:row>
    <x:row r="64" ht="15" hidden="0" customHeight="1">
      <x:c r="A64" t="str">
        <x:f>'Vendor Options'!B64</x:f>
        <x:v>SPEC-C4ED33E1B50D</x:v>
      </x:c>
      <x:c r="B64" t="str">
        <x:f>XLOOKUP($A64,'Specs'!$A$2:$A$164,'Specs'!$B$2:$B$164,"")</x:f>
        <x:v>EXIT DEVICE</x:v>
      </x:c>
      <x:c r="C64" t="str">
        <x:f>XLOOKUP($A64,'Specs'!$A$2:$A$164,'Specs'!$C$2:$C$164,"")</x:f>
        <x:v>PANIC / EXIT DEVICE</x:v>
      </x:c>
      <x:c r="D64" t="str">
        <x:f>XLOOKUP($A64,'Specs'!$A$2:$A$164,'Specs'!$D$2:$D$164,"")</x:f>
        <x:v>MORTISE</x:v>
      </x:c>
      <x:c r="E64" t="str">
        <x:f>XLOOKUP($A64,'Specs'!$A$2:$A$164,'Specs'!$E$2:$E$164,"")</x:f>
        <x:v>EXIT DEVICE</x:v>
      </x:c>
      <x:c r="F64" t="str">
        <x:f>XLOOKUP($A64,'Specs'!$A$2:$A$164,'Specs'!$F$2:$F$164,"")</x:f>
        <x:v>NOT APPLICABLE</x:v>
      </x:c>
      <x:c r="G64" t="str">
        <x:f>XLOOKUP($A64,'Specs'!$A$2:$A$164,'Specs'!$G$2:$G$164,"")</x:f>
      </x:c>
      <x:c r="H64" t="str">
        <x:f>XLOOKUP($A64,'Specs'!$A$2:$A$164,'Specs'!$H$2:$H$164,"")</x:f>
        <x:v>TDI</x:v>
      </x:c>
      <x:c r="I64" t="str">
        <x:f>XLOOKUP($A64,'Specs'!$A$2:$A$164,'Specs'!$I$2:$I$164,"")</x:f>
      </x:c>
      <x:c r="J64" t="str">
        <x:f>XLOOKUP($A64,'Specs'!$A$2:$A$164,'Specs'!$J$2:$J$164,"")</x:f>
      </x:c>
      <x:c r="K64" t="str">
        <x:f>XLOOKUP($A64,'Specs'!$A$2:$A$164,'Specs'!$K$2:$K$164,"")</x:f>
      </x:c>
      <x:c r="L64" t="str">
        <x:f>XLOOKUP($A64,'Specs'!$A$2:$A$164,'Specs'!$L$2:$L$164,"")</x:f>
      </x:c>
      <x:c r="M64" t="str">
        <x:f>XLOOKUP($A64,'Specs'!$A$2:$A$164,'Specs'!$M$2:$M$164,"")</x:f>
      </x:c>
      <x:c r="N64" t="str">
        <x:f>XLOOKUP($A64,'Specs'!$A$2:$A$164,'Specs'!$N$2:$N$164,"")</x:f>
      </x:c>
      <x:c r="O64" t="str">
        <x:f>XLOOKUP($A64,'Specs'!$A$2:$A$164,'Specs'!$O$2:$O$164,"")</x:f>
        <x:v>ACCESSORY / ADDER</x:v>
      </x:c>
      <x:c r="P64" t="str">
        <x:f>XLOOKUP($A64,'Specs'!$A$2:$A$164,'Specs'!$P$2:$P$164,"")</x:f>
        <x:v>MEDIUM</x:v>
      </x:c>
      <x:c r="Q64" s="53" t="n">
        <x:f>XLOOKUP($A64,'Specs'!$A$2:$A$164,'Specs'!$Q$2:$Q$164,"")</x:f>
        <x:v>1</x:v>
      </x:c>
      <x:c r="R64" s="53" t="n">
        <x:f>XLOOKUP($A64,'Specs'!$A$2:$A$164,'Specs'!$R$2:$R$164,"")</x:f>
        <x:v>1</x:v>
      </x:c>
      <x:c r="S64" t="str">
        <x:f>'Vendor Options'!A64</x:f>
        <x:v>OFFER-1D6F45D649A9</x:v>
      </x:c>
      <x:c r="T64" t="str">
        <x:f>'Vendor Options'!C64</x:f>
        <x:v>PHI</x:v>
      </x:c>
      <x:c r="U64" t="str">
        <x:f>'Vendor Options'!D64</x:f>
        <x:v>TDI ADDER</x:v>
      </x:c>
      <x:c r="V64" t="n">
        <x:f>'Vendor Options'!E64</x:f>
        <x:v>0</x:v>
      </x:c>
      <x:c r="W64" t="n">
        <x:f>'Vendor Options'!F64</x:f>
        <x:v>0</x:v>
      </x:c>
      <x:c r="X64" t="n">
        <x:f>'Vendor Options'!G64</x:f>
        <x:v>0</x:v>
      </x:c>
      <x:c r="Y64" t="n">
        <x:f>'Vendor Options'!H64</x:f>
        <x:v>0</x:v>
      </x:c>
      <x:c r="Z64" t="str">
        <x:f>'Vendor Options'!I64</x:f>
      </x:c>
      <x:c r="AA64" s="54" t="n">
        <x:f>'Vendor Options'!J64</x:f>
        <x:v>67</x:v>
      </x:c>
      <x:c r="AB64" t="n">
        <x:f>'Vendor Options'!K64</x:f>
        <x:v>0</x:v>
      </x:c>
      <x:c r="AC64" s="57" t="n">
        <x:f>'Vendor Options'!L64</x:f>
        <x:v>0</x:v>
      </x:c>
      <x:c r="AD64" s="57" t="n">
        <x:f>'Vendor Options'!M64</x:f>
        <x:v>0</x:v>
      </x:c>
      <x:c r="AE64" s="54" t="n">
        <x:f>'Vendor Options'!N64</x:f>
        <x:v>67</x:v>
      </x:c>
      <x:c r="AF64" t="str">
        <x:f>'Vendor Options'!O64</x:f>
        <x:v>USD</x:v>
      </x:c>
      <x:c r="AG64" t="str">
        <x:f>'Vendor Options'!P64</x:f>
        <x:v>PRICED</x:v>
      </x:c>
      <x:c r="AH64" t="str">
        <x:f>'Vendor Options'!Q64</x:f>
        <x:v>REVIEW</x:v>
      </x:c>
      <x:c r="AI64" t="str">
        <x:f>'Vendor Options'!R64</x:f>
        <x:v>MISSING_PART_NUMBER</x:v>
      </x:c>
      <x:c r="AJ64" t="n">
        <x:f>'Vendor Options'!S64</x:f>
        <x:v>244</x:v>
      </x:c>
    </x:row>
    <x:row r="65" ht="15" hidden="0" customHeight="1">
      <x:c r="A65" t="str">
        <x:f>'Vendor Options'!B65</x:f>
        <x:v>SPEC-1D93796FD95F</x:v>
      </x:c>
      <x:c r="B65" t="str">
        <x:f>XLOOKUP($A65,'Specs'!$A$2:$A$164,'Specs'!$B$2:$B$164,"")</x:f>
        <x:v>EXIT DEVICE</x:v>
      </x:c>
      <x:c r="C65" t="str">
        <x:f>XLOOKUP($A65,'Specs'!$A$2:$A$164,'Specs'!$C$2:$C$164,"")</x:f>
        <x:v>PANIC / EXIT DEVICE</x:v>
      </x:c>
      <x:c r="D65" t="str">
        <x:f>XLOOKUP($A65,'Specs'!$A$2:$A$164,'Specs'!$D$2:$D$164,"")</x:f>
        <x:v>MORTISE</x:v>
      </x:c>
      <x:c r="E65" t="str">
        <x:f>XLOOKUP($A65,'Specs'!$A$2:$A$164,'Specs'!$E$2:$E$164,"")</x:f>
        <x:v>EXIT DEVICE</x:v>
      </x:c>
      <x:c r="F65" t="str">
        <x:f>XLOOKUP($A65,'Specs'!$A$2:$A$164,'Specs'!$F$2:$F$164,"")</x:f>
        <x:v>NOT APPLICABLE</x:v>
      </x:c>
      <x:c r="G65" t="str">
        <x:f>XLOOKUP($A65,'Specs'!$A$2:$A$164,'Specs'!$G$2:$G$164,"")</x:f>
      </x:c>
      <x:c r="H65" t="str">
        <x:f>XLOOKUP($A65,'Specs'!$A$2:$A$164,'Specs'!$H$2:$H$164,"")</x:f>
        <x:v>WIND</x:v>
      </x:c>
      <x:c r="I65" t="str">
        <x:f>XLOOKUP($A65,'Specs'!$A$2:$A$164,'Specs'!$I$2:$I$164,"")</x:f>
      </x:c>
      <x:c r="J65" t="str">
        <x:f>XLOOKUP($A65,'Specs'!$A$2:$A$164,'Specs'!$J$2:$J$164,"")</x:f>
      </x:c>
      <x:c r="K65" t="str">
        <x:f>XLOOKUP($A65,'Specs'!$A$2:$A$164,'Specs'!$K$2:$K$164,"")</x:f>
      </x:c>
      <x:c r="L65" t="str">
        <x:f>XLOOKUP($A65,'Specs'!$A$2:$A$164,'Specs'!$L$2:$L$164,"")</x:f>
      </x:c>
      <x:c r="M65" t="str">
        <x:f>XLOOKUP($A65,'Specs'!$A$2:$A$164,'Specs'!$M$2:$M$164,"")</x:f>
      </x:c>
      <x:c r="N65" t="str">
        <x:f>XLOOKUP($A65,'Specs'!$A$2:$A$164,'Specs'!$N$2:$N$164,"")</x:f>
      </x:c>
      <x:c r="O65" t="str">
        <x:f>XLOOKUP($A65,'Specs'!$A$2:$A$164,'Specs'!$O$2:$O$164,"")</x:f>
        <x:v>ACCESSORY / ADDER</x:v>
      </x:c>
      <x:c r="P65" t="str">
        <x:f>XLOOKUP($A65,'Specs'!$A$2:$A$164,'Specs'!$P$2:$P$164,"")</x:f>
        <x:v>MEDIUM</x:v>
      </x:c>
      <x:c r="Q65" s="53" t="n">
        <x:f>XLOOKUP($A65,'Specs'!$A$2:$A$164,'Specs'!$Q$2:$Q$164,"")</x:f>
        <x:v>1</x:v>
      </x:c>
      <x:c r="R65" s="53" t="n">
        <x:f>XLOOKUP($A65,'Specs'!$A$2:$A$164,'Specs'!$R$2:$R$164,"")</x:f>
        <x:v>1</x:v>
      </x:c>
      <x:c r="S65" t="str">
        <x:f>'Vendor Options'!A65</x:f>
        <x:v>OFFER-71CC3A3DEC37</x:v>
      </x:c>
      <x:c r="T65" t="str">
        <x:f>'Vendor Options'!C65</x:f>
        <x:v>PHI</x:v>
      </x:c>
      <x:c r="U65" t="str">
        <x:f>'Vendor Options'!D65</x:f>
        <x:v>WIND ADDER</x:v>
      </x:c>
      <x:c r="V65" t="n">
        <x:f>'Vendor Options'!E65</x:f>
        <x:v>0</x:v>
      </x:c>
      <x:c r="W65" t="n">
        <x:f>'Vendor Options'!F65</x:f>
        <x:v>0</x:v>
      </x:c>
      <x:c r="X65" t="n">
        <x:f>'Vendor Options'!G65</x:f>
        <x:v>0</x:v>
      </x:c>
      <x:c r="Y65" t="n">
        <x:f>'Vendor Options'!H65</x:f>
        <x:v>0</x:v>
      </x:c>
      <x:c r="Z65" t="n">
        <x:f>'Vendor Options'!I65</x:f>
        <x:v>0</x:v>
      </x:c>
      <x:c r="AA65" s="54" t="n">
        <x:f>'Vendor Options'!J65</x:f>
        <x:v>67</x:v>
      </x:c>
      <x:c r="AB65" t="n">
        <x:f>'Vendor Options'!K65</x:f>
        <x:v>0</x:v>
      </x:c>
      <x:c r="AC65" s="57" t="n">
        <x:f>'Vendor Options'!L65</x:f>
        <x:v>0</x:v>
      </x:c>
      <x:c r="AD65" s="57" t="n">
        <x:f>'Vendor Options'!M65</x:f>
        <x:v>0</x:v>
      </x:c>
      <x:c r="AE65" s="54" t="n">
        <x:f>'Vendor Options'!N65</x:f>
        <x:v>67</x:v>
      </x:c>
      <x:c r="AF65" t="str">
        <x:f>'Vendor Options'!O65</x:f>
        <x:v>USD</x:v>
      </x:c>
      <x:c r="AG65" t="str">
        <x:f>'Vendor Options'!P65</x:f>
        <x:v>PRICED</x:v>
      </x:c>
      <x:c r="AH65" t="str">
        <x:f>'Vendor Options'!Q65</x:f>
        <x:v>REVIEW</x:v>
      </x:c>
      <x:c r="AI65" t="str">
        <x:f>'Vendor Options'!R65</x:f>
        <x:v>MISSING_PART_NUMBER</x:v>
      </x:c>
      <x:c r="AJ65" t="n">
        <x:f>'Vendor Options'!S65</x:f>
        <x:v>243</x:v>
      </x:c>
    </x:row>
    <x:row r="66" ht="15" hidden="0" customHeight="1">
      <x:c r="A66" t="str">
        <x:f>'Vendor Options'!B66</x:f>
        <x:v>SPEC-D5FA5E171F76</x:v>
      </x:c>
      <x:c r="B66" t="str">
        <x:f>XLOOKUP($A66,'Specs'!$A$2:$A$164,'Specs'!$B$2:$B$164,"")</x:f>
        <x:v>EXIT DEVICE</x:v>
      </x:c>
      <x:c r="C66" t="str">
        <x:f>XLOOKUP($A66,'Specs'!$A$2:$A$164,'Specs'!$C$2:$C$164,"")</x:f>
        <x:v>PANIC / EXIT DEVICE</x:v>
      </x:c>
      <x:c r="D66" t="str">
        <x:f>XLOOKUP($A66,'Specs'!$A$2:$A$164,'Specs'!$D$2:$D$164,"")</x:f>
        <x:v>MORTISE</x:v>
      </x:c>
      <x:c r="E66" t="str">
        <x:f>XLOOKUP($A66,'Specs'!$A$2:$A$164,'Specs'!$E$2:$E$164,"")</x:f>
        <x:v>EXIT DEVICE</x:v>
      </x:c>
      <x:c r="F66" t="str">
        <x:f>XLOOKUP($A66,'Specs'!$A$2:$A$164,'Specs'!$F$2:$F$164,"")</x:f>
        <x:v>NOT APPLICABLE</x:v>
      </x:c>
      <x:c r="G66" t="str">
        <x:f>XLOOKUP($A66,'Specs'!$A$2:$A$164,'Specs'!$G$2:$G$164,"")</x:f>
        <x:v>36"</x:v>
      </x:c>
      <x:c r="H66" t="str">
        <x:f>XLOOKUP($A66,'Specs'!$A$2:$A$164,'Specs'!$H$2:$H$164,"")</x:f>
        <x:v>FIRE + WIND</x:v>
      </x:c>
      <x:c r="I66" t="str">
        <x:f>XLOOKUP($A66,'Specs'!$A$2:$A$164,'Specs'!$I$2:$I$164,"")</x:f>
      </x:c>
      <x:c r="J66" t="str">
        <x:f>XLOOKUP($A66,'Specs'!$A$2:$A$164,'Specs'!$J$2:$J$164,"")</x:f>
      </x:c>
      <x:c r="K66" t="str">
        <x:f>XLOOKUP($A66,'Specs'!$A$2:$A$164,'Specs'!$K$2:$K$164,"")</x:f>
      </x:c>
      <x:c r="L66" t="str">
        <x:f>XLOOKUP($A66,'Specs'!$A$2:$A$164,'Specs'!$L$2:$L$164,"")</x:f>
      </x:c>
      <x:c r="M66" t="n">
        <x:f>XLOOKUP($A66,'Specs'!$A$2:$A$164,'Specs'!$M$2:$M$164,"")</x:f>
        <x:v>630</x:v>
      </x:c>
      <x:c r="N66" t="str">
        <x:f>XLOOKUP($A66,'Specs'!$A$2:$A$164,'Specs'!$N$2:$N$164,"")</x:f>
      </x:c>
      <x:c r="O66" t="str">
        <x:f>XLOOKUP($A66,'Specs'!$A$2:$A$164,'Specs'!$O$2:$O$164,"")</x:f>
        <x:v>ACCESSORY / ADDER</x:v>
      </x:c>
      <x:c r="P66" t="str">
        <x:f>XLOOKUP($A66,'Specs'!$A$2:$A$164,'Specs'!$P$2:$P$164,"")</x:f>
        <x:v>HIGH</x:v>
      </x:c>
      <x:c r="Q66" s="53" t="n">
        <x:f>XLOOKUP($A66,'Specs'!$A$2:$A$164,'Specs'!$Q$2:$Q$164,"")</x:f>
        <x:v>1</x:v>
      </x:c>
      <x:c r="R66" s="53" t="n">
        <x:f>XLOOKUP($A66,'Specs'!$A$2:$A$164,'Specs'!$R$2:$R$164,"")</x:f>
        <x:v>1</x:v>
      </x:c>
      <x:c r="S66" t="str">
        <x:f>'Vendor Options'!A66</x:f>
        <x:v>OFFER-97B6330F0674</x:v>
      </x:c>
      <x:c r="T66" t="str">
        <x:f>'Vendor Options'!C66</x:f>
        <x:v>DK</x:v>
      </x:c>
      <x:c r="U66" t="str">
        <x:f>'Vendor Options'!D66</x:f>
        <x:v>9500B 36"</x:v>
      </x:c>
      <x:c r="V66" t="str">
        <x:f>'Vendor Options'!E66</x:f>
        <x:v>9500:M-PANIC: F+W</x:v>
      </x:c>
      <x:c r="W66" t="n">
        <x:f>'Vendor Options'!F66</x:f>
        <x:v>0</x:v>
      </x:c>
      <x:c r="X66" t="n">
        <x:f>'Vendor Options'!G66</x:f>
        <x:v>0</x:v>
      </x:c>
      <x:c r="Y66" t="n">
        <x:f>'Vendor Options'!H66</x:f>
        <x:v>0</x:v>
      </x:c>
      <x:c r="Z66" t="n">
        <x:f>'Vendor Options'!I66</x:f>
        <x:v>0</x:v>
      </x:c>
      <x:c r="AA66" s="54" t="n">
        <x:f>'Vendor Options'!J66</x:f>
        <x:v>0</x:v>
      </x:c>
      <x:c r="AB66" t="n">
        <x:f>'Vendor Options'!K66</x:f>
        <x:v>0</x:v>
      </x:c>
      <x:c r="AC66" s="57" t="n">
        <x:f>'Vendor Options'!L66</x:f>
        <x:v>0</x:v>
      </x:c>
      <x:c r="AD66" s="57" t="n">
        <x:f>'Vendor Options'!M66</x:f>
        <x:v>0</x:v>
      </x:c>
      <x:c r="AE66" s="54" t="str">
        <x:f>'Vendor Options'!N66</x:f>
      </x:c>
      <x:c r="AF66" t="str">
        <x:f>'Vendor Options'!O66</x:f>
        <x:v>USD</x:v>
      </x:c>
      <x:c r="AG66" t="str">
        <x:f>'Vendor Options'!P66</x:f>
        <x:v>UNPRICED</x:v>
      </x:c>
      <x:c r="AH66" t="str">
        <x:f>'Vendor Options'!Q66</x:f>
        <x:v>REVIEW</x:v>
      </x:c>
      <x:c r="AI66" t="str">
        <x:f>'Vendor Options'!R66</x:f>
        <x:v>MISSING_PRICE; MISSING_PART_NUMBER</x:v>
      </x:c>
      <x:c r="AJ66" t="n">
        <x:f>'Vendor Options'!S66</x:f>
        <x:v>222</x:v>
      </x:c>
    </x:row>
    <x:row r="67" ht="15" hidden="0" customHeight="1">
      <x:c r="A67" t="str">
        <x:f>'Vendor Options'!B67</x:f>
        <x:v>SPEC-036361A21AA8</x:v>
      </x:c>
      <x:c r="B67" t="str">
        <x:f>XLOOKUP($A67,'Specs'!$A$2:$A$164,'Specs'!$B$2:$B$164,"")</x:f>
        <x:v>EXIT DEVICE</x:v>
      </x:c>
      <x:c r="C67" t="str">
        <x:f>XLOOKUP($A67,'Specs'!$A$2:$A$164,'Specs'!$C$2:$C$164,"")</x:f>
        <x:v>PANIC / EXIT DEVICE</x:v>
      </x:c>
      <x:c r="D67" t="str">
        <x:f>XLOOKUP($A67,'Specs'!$A$2:$A$164,'Specs'!$D$2:$D$164,"")</x:f>
        <x:v>MORTISE</x:v>
      </x:c>
      <x:c r="E67" t="str">
        <x:f>XLOOKUP($A67,'Specs'!$A$2:$A$164,'Specs'!$E$2:$E$164,"")</x:f>
        <x:v>EXIT DEVICE</x:v>
      </x:c>
      <x:c r="F67" t="str">
        <x:f>XLOOKUP($A67,'Specs'!$A$2:$A$164,'Specs'!$F$2:$F$164,"")</x:f>
        <x:v>NOT APPLICABLE</x:v>
      </x:c>
      <x:c r="G67" t="str">
        <x:f>XLOOKUP($A67,'Specs'!$A$2:$A$164,'Specs'!$G$2:$G$164,"")</x:f>
        <x:v>36"</x:v>
      </x:c>
      <x:c r="H67" t="str">
        <x:f>XLOOKUP($A67,'Specs'!$A$2:$A$164,'Specs'!$H$2:$H$164,"")</x:f>
        <x:v>FIRE + WIND</x:v>
      </x:c>
      <x:c r="I67" t="str">
        <x:f>XLOOKUP($A67,'Specs'!$A$2:$A$164,'Specs'!$I$2:$I$164,"")</x:f>
      </x:c>
      <x:c r="J67" t="str">
        <x:f>XLOOKUP($A67,'Specs'!$A$2:$A$164,'Specs'!$J$2:$J$164,"")</x:f>
      </x:c>
      <x:c r="K67" t="str">
        <x:f>XLOOKUP($A67,'Specs'!$A$2:$A$164,'Specs'!$K$2:$K$164,"")</x:f>
      </x:c>
      <x:c r="L67" t="str">
        <x:f>XLOOKUP($A67,'Specs'!$A$2:$A$164,'Specs'!$L$2:$L$164,"")</x:f>
      </x:c>
      <x:c r="M67" t="n">
        <x:f>XLOOKUP($A67,'Specs'!$A$2:$A$164,'Specs'!$M$2:$M$164,"")</x:f>
        <x:v>630</x:v>
      </x:c>
      <x:c r="N67" t="str">
        <x:f>XLOOKUP($A67,'Specs'!$A$2:$A$164,'Specs'!$N$2:$N$164,"")</x:f>
        <x:v>ELECTRIC DOGGING</x:v>
      </x:c>
      <x:c r="O67" t="str">
        <x:f>XLOOKUP($A67,'Specs'!$A$2:$A$164,'Specs'!$O$2:$O$164,"")</x:f>
        <x:v>ACCESSORY / ADDER</x:v>
      </x:c>
      <x:c r="P67" t="str">
        <x:f>XLOOKUP($A67,'Specs'!$A$2:$A$164,'Specs'!$P$2:$P$164,"")</x:f>
        <x:v>HIGH</x:v>
      </x:c>
      <x:c r="Q67" s="53" t="n">
        <x:f>XLOOKUP($A67,'Specs'!$A$2:$A$164,'Specs'!$Q$2:$Q$164,"")</x:f>
        <x:v>1</x:v>
      </x:c>
      <x:c r="R67" s="53" t="n">
        <x:f>XLOOKUP($A67,'Specs'!$A$2:$A$164,'Specs'!$R$2:$R$164,"")</x:f>
        <x:v>1</x:v>
      </x:c>
      <x:c r="S67" t="str">
        <x:f>'Vendor Options'!A67</x:f>
        <x:v>OFFER-5868453C7A1C</x:v>
      </x:c>
      <x:c r="T67" t="str">
        <x:f>'Vendor Options'!C67</x:f>
        <x:v>DK</x:v>
      </x:c>
      <x:c r="U67" t="str">
        <x:f>'Vendor Options'!D67</x:f>
        <x:v>9500B 36"</x:v>
      </x:c>
      <x:c r="V67" t="str">
        <x:f>'Vendor Options'!E67</x:f>
        <x:v>9500:M-PANIC: F+W_EL</x:v>
      </x:c>
      <x:c r="W67" t="n">
        <x:f>'Vendor Options'!F67</x:f>
        <x:v>0</x:v>
      </x:c>
      <x:c r="X67" t="n">
        <x:f>'Vendor Options'!G67</x:f>
        <x:v>0</x:v>
      </x:c>
      <x:c r="Y67" t="n">
        <x:f>'Vendor Options'!H67</x:f>
        <x:v>0</x:v>
      </x:c>
      <x:c r="Z67" t="n">
        <x:f>'Vendor Options'!I67</x:f>
        <x:v>0</x:v>
      </x:c>
      <x:c r="AA67" s="54" t="n">
        <x:f>'Vendor Options'!J67</x:f>
        <x:v>0</x:v>
      </x:c>
      <x:c r="AB67" t="n">
        <x:f>'Vendor Options'!K67</x:f>
        <x:v>0</x:v>
      </x:c>
      <x:c r="AC67" s="57" t="n">
        <x:f>'Vendor Options'!L67</x:f>
        <x:v>0</x:v>
      </x:c>
      <x:c r="AD67" s="57" t="n">
        <x:f>'Vendor Options'!M67</x:f>
        <x:v>0</x:v>
      </x:c>
      <x:c r="AE67" s="54" t="str">
        <x:f>'Vendor Options'!N67</x:f>
      </x:c>
      <x:c r="AF67" t="str">
        <x:f>'Vendor Options'!O67</x:f>
        <x:v>USD</x:v>
      </x:c>
      <x:c r="AG67" t="str">
        <x:f>'Vendor Options'!P67</x:f>
        <x:v>UNPRICED</x:v>
      </x:c>
      <x:c r="AH67" t="str">
        <x:f>'Vendor Options'!Q67</x:f>
        <x:v>REVIEW</x:v>
      </x:c>
      <x:c r="AI67" t="str">
        <x:f>'Vendor Options'!R67</x:f>
        <x:v>MISSING_PRICE; MISSING_PART_NUMBER</x:v>
      </x:c>
      <x:c r="AJ67" t="n">
        <x:f>'Vendor Options'!S67</x:f>
        <x:v>223</x:v>
      </x:c>
    </x:row>
    <x:row r="68" ht="15" hidden="0" customHeight="1">
      <x:c r="A68" t="str">
        <x:f>'Vendor Options'!B68</x:f>
        <x:v>SPEC-90FE8EA35B7D</x:v>
      </x:c>
      <x:c r="B68" t="str">
        <x:f>XLOOKUP($A68,'Specs'!$A$2:$A$164,'Specs'!$B$2:$B$164,"")</x:f>
        <x:v>EXIT DEVICE</x:v>
      </x:c>
      <x:c r="C68" t="str">
        <x:f>XLOOKUP($A68,'Specs'!$A$2:$A$164,'Specs'!$C$2:$C$164,"")</x:f>
        <x:v>PANIC / EXIT DEVICE</x:v>
      </x:c>
      <x:c r="D68" t="str">
        <x:f>XLOOKUP($A68,'Specs'!$A$2:$A$164,'Specs'!$D$2:$D$164,"")</x:f>
        <x:v>MORTISE</x:v>
      </x:c>
      <x:c r="E68" t="str">
        <x:f>XLOOKUP($A68,'Specs'!$A$2:$A$164,'Specs'!$E$2:$E$164,"")</x:f>
        <x:v>EXIT DEVICE</x:v>
      </x:c>
      <x:c r="F68" t="str">
        <x:f>XLOOKUP($A68,'Specs'!$A$2:$A$164,'Specs'!$F$2:$F$164,"")</x:f>
        <x:v>NOT APPLICABLE</x:v>
      </x:c>
      <x:c r="G68" t="str">
        <x:f>XLOOKUP($A68,'Specs'!$A$2:$A$164,'Specs'!$G$2:$G$164,"")</x:f>
        <x:v>36"</x:v>
      </x:c>
      <x:c r="H68" t="str">
        <x:f>XLOOKUP($A68,'Specs'!$A$2:$A$164,'Specs'!$H$2:$H$164,"")</x:f>
        <x:v>FIRE + WIND</x:v>
      </x:c>
      <x:c r="I68" t="str">
        <x:f>XLOOKUP($A68,'Specs'!$A$2:$A$164,'Specs'!$I$2:$I$164,"")</x:f>
      </x:c>
      <x:c r="J68" t="str">
        <x:f>XLOOKUP($A68,'Specs'!$A$2:$A$164,'Specs'!$J$2:$J$164,"")</x:f>
      </x:c>
      <x:c r="K68" t="str">
        <x:f>XLOOKUP($A68,'Specs'!$A$2:$A$164,'Specs'!$K$2:$K$164,"")</x:f>
      </x:c>
      <x:c r="L68" t="str">
        <x:f>XLOOKUP($A68,'Specs'!$A$2:$A$164,'Specs'!$L$2:$L$164,"")</x:f>
      </x:c>
      <x:c r="M68" t="n">
        <x:f>XLOOKUP($A68,'Specs'!$A$2:$A$164,'Specs'!$M$2:$M$164,"")</x:f>
        <x:v>630</x:v>
      </x:c>
      <x:c r="N68" t="str">
        <x:f>XLOOKUP($A68,'Specs'!$A$2:$A$164,'Specs'!$N$2:$N$164,"")</x:f>
        <x:v>MOTORIZED LATCH RETRACTION</x:v>
      </x:c>
      <x:c r="O68" t="str">
        <x:f>XLOOKUP($A68,'Specs'!$A$2:$A$164,'Specs'!$O$2:$O$164,"")</x:f>
        <x:v>ACCESSORY / ADDER</x:v>
      </x:c>
      <x:c r="P68" t="str">
        <x:f>XLOOKUP($A68,'Specs'!$A$2:$A$164,'Specs'!$P$2:$P$164,"")</x:f>
        <x:v>HIGH</x:v>
      </x:c>
      <x:c r="Q68" s="53" t="n">
        <x:f>XLOOKUP($A68,'Specs'!$A$2:$A$164,'Specs'!$Q$2:$Q$164,"")</x:f>
        <x:v>1</x:v>
      </x:c>
      <x:c r="R68" s="53" t="n">
        <x:f>XLOOKUP($A68,'Specs'!$A$2:$A$164,'Specs'!$R$2:$R$164,"")</x:f>
        <x:v>1</x:v>
      </x:c>
      <x:c r="S68" t="str">
        <x:f>'Vendor Options'!A68</x:f>
        <x:v>OFFER-1CCBBDEB60B6</x:v>
      </x:c>
      <x:c r="T68" t="str">
        <x:f>'Vendor Options'!C68</x:f>
        <x:v>DK</x:v>
      </x:c>
      <x:c r="U68" t="str">
        <x:f>'Vendor Options'!D68</x:f>
        <x:v>9500B 36"</x:v>
      </x:c>
      <x:c r="V68" t="str">
        <x:f>'Vendor Options'!E68</x:f>
        <x:v>9500:M-PANIC: F+W_MLR</x:v>
      </x:c>
      <x:c r="W68" t="n">
        <x:f>'Vendor Options'!F68</x:f>
        <x:v>0</x:v>
      </x:c>
      <x:c r="X68" t="n">
        <x:f>'Vendor Options'!G68</x:f>
        <x:v>0</x:v>
      </x:c>
      <x:c r="Y68" t="n">
        <x:f>'Vendor Options'!H68</x:f>
        <x:v>0</x:v>
      </x:c>
      <x:c r="Z68" t="n">
        <x:f>'Vendor Options'!I68</x:f>
        <x:v>0</x:v>
      </x:c>
      <x:c r="AA68" s="54" t="n">
        <x:f>'Vendor Options'!J68</x:f>
        <x:v>0</x:v>
      </x:c>
      <x:c r="AB68" t="n">
        <x:f>'Vendor Options'!K68</x:f>
        <x:v>0</x:v>
      </x:c>
      <x:c r="AC68" s="57" t="n">
        <x:f>'Vendor Options'!L68</x:f>
        <x:v>0</x:v>
      </x:c>
      <x:c r="AD68" s="57" t="n">
        <x:f>'Vendor Options'!M68</x:f>
        <x:v>0</x:v>
      </x:c>
      <x:c r="AE68" s="54" t="str">
        <x:f>'Vendor Options'!N68</x:f>
      </x:c>
      <x:c r="AF68" t="str">
        <x:f>'Vendor Options'!O68</x:f>
        <x:v>USD</x:v>
      </x:c>
      <x:c r="AG68" t="str">
        <x:f>'Vendor Options'!P68</x:f>
        <x:v>UNPRICED</x:v>
      </x:c>
      <x:c r="AH68" t="str">
        <x:f>'Vendor Options'!Q68</x:f>
        <x:v>REVIEW</x:v>
      </x:c>
      <x:c r="AI68" t="str">
        <x:f>'Vendor Options'!R68</x:f>
        <x:v>MISSING_PRICE; MISSING_PART_NUMBER</x:v>
      </x:c>
      <x:c r="AJ68" t="n">
        <x:f>'Vendor Options'!S68</x:f>
        <x:v>224</x:v>
      </x:c>
    </x:row>
    <x:row r="69" ht="15" hidden="0" customHeight="1">
      <x:c r="A69" t="str">
        <x:f>'Vendor Options'!B69</x:f>
        <x:v>SPEC-7BC008234E13</x:v>
      </x:c>
      <x:c r="B69" t="str">
        <x:f>XLOOKUP($A69,'Specs'!$A$2:$A$164,'Specs'!$B$2:$B$164,"")</x:f>
        <x:v>EXIT DEVICE</x:v>
      </x:c>
      <x:c r="C69" t="str">
        <x:f>XLOOKUP($A69,'Specs'!$A$2:$A$164,'Specs'!$C$2:$C$164,"")</x:f>
        <x:v>PANIC / EXIT DEVICE</x:v>
      </x:c>
      <x:c r="D69" t="str">
        <x:f>XLOOKUP($A69,'Specs'!$A$2:$A$164,'Specs'!$D$2:$D$164,"")</x:f>
        <x:v>MORTISE</x:v>
      </x:c>
      <x:c r="E69" t="str">
        <x:f>XLOOKUP($A69,'Specs'!$A$2:$A$164,'Specs'!$E$2:$E$164,"")</x:f>
        <x:v>EXIT DEVICE</x:v>
      </x:c>
      <x:c r="F69" t="str">
        <x:f>XLOOKUP($A69,'Specs'!$A$2:$A$164,'Specs'!$F$2:$F$164,"")</x:f>
        <x:v>NOT APPLICABLE</x:v>
      </x:c>
      <x:c r="G69" t="str">
        <x:f>XLOOKUP($A69,'Specs'!$A$2:$A$164,'Specs'!$G$2:$G$164,"")</x:f>
        <x:v>36"</x:v>
      </x:c>
      <x:c r="H69" t="str">
        <x:f>XLOOKUP($A69,'Specs'!$A$2:$A$164,'Specs'!$H$2:$H$164,"")</x:f>
        <x:v>FIRE</x:v>
      </x:c>
      <x:c r="I69" t="str">
        <x:f>XLOOKUP($A69,'Specs'!$A$2:$A$164,'Specs'!$I$2:$I$164,"")</x:f>
      </x:c>
      <x:c r="J69" t="str">
        <x:f>XLOOKUP($A69,'Specs'!$A$2:$A$164,'Specs'!$J$2:$J$164,"")</x:f>
      </x:c>
      <x:c r="K69" t="str">
        <x:f>XLOOKUP($A69,'Specs'!$A$2:$A$164,'Specs'!$K$2:$K$164,"")</x:f>
      </x:c>
      <x:c r="L69" t="str">
        <x:f>XLOOKUP($A69,'Specs'!$A$2:$A$164,'Specs'!$L$2:$L$164,"")</x:f>
      </x:c>
      <x:c r="M69" t="n">
        <x:f>XLOOKUP($A69,'Specs'!$A$2:$A$164,'Specs'!$M$2:$M$164,"")</x:f>
        <x:v>630</x:v>
      </x:c>
      <x:c r="N69" t="str">
        <x:f>XLOOKUP($A69,'Specs'!$A$2:$A$164,'Specs'!$N$2:$N$164,"")</x:f>
      </x:c>
      <x:c r="O69" t="str">
        <x:f>XLOOKUP($A69,'Specs'!$A$2:$A$164,'Specs'!$O$2:$O$164,"")</x:f>
        <x:v>ACCESSORY / ADDER</x:v>
      </x:c>
      <x:c r="P69" t="str">
        <x:f>XLOOKUP($A69,'Specs'!$A$2:$A$164,'Specs'!$P$2:$P$164,"")</x:f>
        <x:v>HIGH</x:v>
      </x:c>
      <x:c r="Q69" s="53" t="n">
        <x:f>XLOOKUP($A69,'Specs'!$A$2:$A$164,'Specs'!$Q$2:$Q$164,"")</x:f>
        <x:v>2</x:v>
      </x:c>
      <x:c r="R69" s="53" t="n">
        <x:f>XLOOKUP($A69,'Specs'!$A$2:$A$164,'Specs'!$R$2:$R$164,"")</x:f>
        <x:v>2</x:v>
      </x:c>
      <x:c r="S69" t="str">
        <x:f>'Vendor Options'!A69</x:f>
        <x:v>OFFER-610EBD06B977</x:v>
      </x:c>
      <x:c r="T69" t="str">
        <x:f>'Vendor Options'!C69</x:f>
        <x:v>DK</x:v>
      </x:c>
      <x:c r="U69" t="str">
        <x:f>'Vendor Options'!D69</x:f>
        <x:v>9500B 36"</x:v>
      </x:c>
      <x:c r="V69" t="str">
        <x:f>'Vendor Options'!E69</x:f>
        <x:v>9500:M-PANIC: F</x:v>
      </x:c>
      <x:c r="W69" t="n">
        <x:f>'Vendor Options'!F69</x:f>
        <x:v>0</x:v>
      </x:c>
      <x:c r="X69" t="n">
        <x:f>'Vendor Options'!G69</x:f>
        <x:v>0</x:v>
      </x:c>
      <x:c r="Y69" t="n">
        <x:f>'Vendor Options'!H69</x:f>
        <x:v>0</x:v>
      </x:c>
      <x:c r="Z69" t="n">
        <x:f>'Vendor Options'!I69</x:f>
        <x:v>0</x:v>
      </x:c>
      <x:c r="AA69" s="54" t="n">
        <x:f>'Vendor Options'!J69</x:f>
        <x:v>0</x:v>
      </x:c>
      <x:c r="AB69" t="n">
        <x:f>'Vendor Options'!K69</x:f>
        <x:v>0</x:v>
      </x:c>
      <x:c r="AC69" s="57" t="n">
        <x:f>'Vendor Options'!L69</x:f>
        <x:v>0</x:v>
      </x:c>
      <x:c r="AD69" s="57" t="n">
        <x:f>'Vendor Options'!M69</x:f>
        <x:v>0</x:v>
      </x:c>
      <x:c r="AE69" s="54" t="str">
        <x:f>'Vendor Options'!N69</x:f>
      </x:c>
      <x:c r="AF69" t="str">
        <x:f>'Vendor Options'!O69</x:f>
        <x:v>USD</x:v>
      </x:c>
      <x:c r="AG69" t="str">
        <x:f>'Vendor Options'!P69</x:f>
        <x:v>UNPRICED</x:v>
      </x:c>
      <x:c r="AH69" t="str">
        <x:f>'Vendor Options'!Q69</x:f>
        <x:v>REVIEW</x:v>
      </x:c>
      <x:c r="AI69" t="str">
        <x:f>'Vendor Options'!R69</x:f>
        <x:v>MISSING_PRICE; MISSING_PART_NUMBER</x:v>
      </x:c>
      <x:c r="AJ69" t="n">
        <x:f>'Vendor Options'!S69</x:f>
        <x:v>220</x:v>
      </x:c>
    </x:row>
    <x:row r="70" ht="15" hidden="0" customHeight="1">
      <x:c r="A70" t="str">
        <x:f>'Vendor Options'!B70</x:f>
        <x:v>SPEC-7BC008234E13</x:v>
      </x:c>
      <x:c r="B70" t="str">
        <x:f>XLOOKUP($A70,'Specs'!$A$2:$A$164,'Specs'!$B$2:$B$164,"")</x:f>
        <x:v>EXIT DEVICE</x:v>
      </x:c>
      <x:c r="C70" t="str">
        <x:f>XLOOKUP($A70,'Specs'!$A$2:$A$164,'Specs'!$C$2:$C$164,"")</x:f>
        <x:v>PANIC / EXIT DEVICE</x:v>
      </x:c>
      <x:c r="D70" t="str">
        <x:f>XLOOKUP($A70,'Specs'!$A$2:$A$164,'Specs'!$D$2:$D$164,"")</x:f>
        <x:v>MORTISE</x:v>
      </x:c>
      <x:c r="E70" t="str">
        <x:f>XLOOKUP($A70,'Specs'!$A$2:$A$164,'Specs'!$E$2:$E$164,"")</x:f>
        <x:v>EXIT DEVICE</x:v>
      </x:c>
      <x:c r="F70" t="str">
        <x:f>XLOOKUP($A70,'Specs'!$A$2:$A$164,'Specs'!$F$2:$F$164,"")</x:f>
        <x:v>NOT APPLICABLE</x:v>
      </x:c>
      <x:c r="G70" t="str">
        <x:f>XLOOKUP($A70,'Specs'!$A$2:$A$164,'Specs'!$G$2:$G$164,"")</x:f>
        <x:v>36"</x:v>
      </x:c>
      <x:c r="H70" t="str">
        <x:f>XLOOKUP($A70,'Specs'!$A$2:$A$164,'Specs'!$H$2:$H$164,"")</x:f>
        <x:v>FIRE</x:v>
      </x:c>
      <x:c r="I70" t="str">
        <x:f>XLOOKUP($A70,'Specs'!$A$2:$A$164,'Specs'!$I$2:$I$164,"")</x:f>
      </x:c>
      <x:c r="J70" t="str">
        <x:f>XLOOKUP($A70,'Specs'!$A$2:$A$164,'Specs'!$J$2:$J$164,"")</x:f>
      </x:c>
      <x:c r="K70" t="str">
        <x:f>XLOOKUP($A70,'Specs'!$A$2:$A$164,'Specs'!$K$2:$K$164,"")</x:f>
      </x:c>
      <x:c r="L70" t="str">
        <x:f>XLOOKUP($A70,'Specs'!$A$2:$A$164,'Specs'!$L$2:$L$164,"")</x:f>
      </x:c>
      <x:c r="M70" t="n">
        <x:f>XLOOKUP($A70,'Specs'!$A$2:$A$164,'Specs'!$M$2:$M$164,"")</x:f>
        <x:v>630</x:v>
      </x:c>
      <x:c r="N70" t="str">
        <x:f>XLOOKUP($A70,'Specs'!$A$2:$A$164,'Specs'!$N$2:$N$164,"")</x:f>
      </x:c>
      <x:c r="O70" t="str">
        <x:f>XLOOKUP($A70,'Specs'!$A$2:$A$164,'Specs'!$O$2:$O$164,"")</x:f>
        <x:v>ACCESSORY / ADDER</x:v>
      </x:c>
      <x:c r="P70" t="str">
        <x:f>XLOOKUP($A70,'Specs'!$A$2:$A$164,'Specs'!$P$2:$P$164,"")</x:f>
        <x:v>HIGH</x:v>
      </x:c>
      <x:c r="Q70" s="53" t="n">
        <x:f>XLOOKUP($A70,'Specs'!$A$2:$A$164,'Specs'!$Q$2:$Q$164,"")</x:f>
        <x:v>2</x:v>
      </x:c>
      <x:c r="R70" s="53" t="n">
        <x:f>XLOOKUP($A70,'Specs'!$A$2:$A$164,'Specs'!$R$2:$R$164,"")</x:f>
        <x:v>2</x:v>
      </x:c>
      <x:c r="S70" t="str">
        <x:f>'Vendor Options'!A70</x:f>
        <x:v>OFFER-E35D6B863529</x:v>
      </x:c>
      <x:c r="T70" t="str">
        <x:f>'Vendor Options'!C70</x:f>
        <x:v>PHG</x:v>
      </x:c>
      <x:c r="U70" t="str">
        <x:f>'Vendor Options'!D70</x:f>
        <x:v>9800-36"</x:v>
      </x:c>
      <x:c r="V70" t="str">
        <x:f>'Vendor Options'!E70</x:f>
        <x:v>36" MORTISE PANIC</x:v>
      </x:c>
      <x:c r="W70" t="n">
        <x:f>'Vendor Options'!F70</x:f>
        <x:v>0</x:v>
      </x:c>
      <x:c r="X70" t="n">
        <x:f>'Vendor Options'!G70</x:f>
        <x:v>0</x:v>
      </x:c>
      <x:c r="Y70" t="n">
        <x:f>'Vendor Options'!H70</x:f>
        <x:v>0</x:v>
      </x:c>
      <x:c r="Z70" t="str">
        <x:f>'Vendor Options'!I70</x:f>
      </x:c>
      <x:c r="AA70" s="54" t="n">
        <x:f>'Vendor Options'!J70</x:f>
        <x:v>0</x:v>
      </x:c>
      <x:c r="AB70" t="str">
        <x:f>'Vendor Options'!K70</x:f>
      </x:c>
      <x:c r="AC70" s="57" t="n">
        <x:f>'Vendor Options'!L70</x:f>
        <x:v>0</x:v>
      </x:c>
      <x:c r="AD70" s="57" t="n">
        <x:f>'Vendor Options'!M70</x:f>
        <x:v>0</x:v>
      </x:c>
      <x:c r="AE70" s="54" t="str">
        <x:f>'Vendor Options'!N70</x:f>
      </x:c>
      <x:c r="AF70" t="str">
        <x:f>'Vendor Options'!O70</x:f>
        <x:v>USD</x:v>
      </x:c>
      <x:c r="AG70" t="str">
        <x:f>'Vendor Options'!P70</x:f>
        <x:v>UNPRICED</x:v>
      </x:c>
      <x:c r="AH70" t="str">
        <x:f>'Vendor Options'!Q70</x:f>
        <x:v>REVIEW</x:v>
      </x:c>
      <x:c r="AI70" t="str">
        <x:f>'Vendor Options'!R70</x:f>
        <x:v>MISSING_PRICE; MISSING_PART_NUMBER</x:v>
      </x:c>
      <x:c r="AJ70" t="n">
        <x:f>'Vendor Options'!S70</x:f>
        <x:v>204</x:v>
      </x:c>
    </x:row>
    <x:row r="71" ht="15" hidden="0" customHeight="1">
      <x:c r="A71" t="str">
        <x:f>'Vendor Options'!B71</x:f>
        <x:v>SPEC-30C12BF217D8</x:v>
      </x:c>
      <x:c r="B71" t="str">
        <x:f>XLOOKUP($A71,'Specs'!$A$2:$A$164,'Specs'!$B$2:$B$164,"")</x:f>
        <x:v>EXIT DEVICE</x:v>
      </x:c>
      <x:c r="C71" t="str">
        <x:f>XLOOKUP($A71,'Specs'!$A$2:$A$164,'Specs'!$C$2:$C$164,"")</x:f>
        <x:v>PANIC / EXIT DEVICE</x:v>
      </x:c>
      <x:c r="D71" t="str">
        <x:f>XLOOKUP($A71,'Specs'!$A$2:$A$164,'Specs'!$D$2:$D$164,"")</x:f>
        <x:v>MORTISE</x:v>
      </x:c>
      <x:c r="E71" t="str">
        <x:f>XLOOKUP($A71,'Specs'!$A$2:$A$164,'Specs'!$E$2:$E$164,"")</x:f>
        <x:v>EXIT DEVICE</x:v>
      </x:c>
      <x:c r="F71" t="str">
        <x:f>XLOOKUP($A71,'Specs'!$A$2:$A$164,'Specs'!$F$2:$F$164,"")</x:f>
        <x:v>NOT APPLICABLE</x:v>
      </x:c>
      <x:c r="G71" t="str">
        <x:f>XLOOKUP($A71,'Specs'!$A$2:$A$164,'Specs'!$G$2:$G$164,"")</x:f>
        <x:v>36"</x:v>
      </x:c>
      <x:c r="H71" t="str">
        <x:f>XLOOKUP($A71,'Specs'!$A$2:$A$164,'Specs'!$H$2:$H$164,"")</x:f>
        <x:v>PANIC</x:v>
      </x:c>
      <x:c r="I71" t="str">
        <x:f>XLOOKUP($A71,'Specs'!$A$2:$A$164,'Specs'!$I$2:$I$164,"")</x:f>
      </x:c>
      <x:c r="J71" t="str">
        <x:f>XLOOKUP($A71,'Specs'!$A$2:$A$164,'Specs'!$J$2:$J$164,"")</x:f>
      </x:c>
      <x:c r="K71" t="str">
        <x:f>XLOOKUP($A71,'Specs'!$A$2:$A$164,'Specs'!$K$2:$K$164,"")</x:f>
      </x:c>
      <x:c r="L71" t="str">
        <x:f>XLOOKUP($A71,'Specs'!$A$2:$A$164,'Specs'!$L$2:$L$164,"")</x:f>
      </x:c>
      <x:c r="M71" t="n">
        <x:f>XLOOKUP($A71,'Specs'!$A$2:$A$164,'Specs'!$M$2:$M$164,"")</x:f>
        <x:v>628</x:v>
      </x:c>
      <x:c r="N71" t="str">
        <x:f>XLOOKUP($A71,'Specs'!$A$2:$A$164,'Specs'!$N$2:$N$164,"")</x:f>
      </x:c>
      <x:c r="O71" t="str">
        <x:f>XLOOKUP($A71,'Specs'!$A$2:$A$164,'Specs'!$O$2:$O$164,"")</x:f>
      </x:c>
      <x:c r="P71" t="str">
        <x:f>XLOOKUP($A71,'Specs'!$A$2:$A$164,'Specs'!$P$2:$P$164,"")</x:f>
        <x:v>HIGH</x:v>
      </x:c>
      <x:c r="Q71" s="53" t="n">
        <x:f>XLOOKUP($A71,'Specs'!$A$2:$A$164,'Specs'!$Q$2:$Q$164,"")</x:f>
        <x:v>1</x:v>
      </x:c>
      <x:c r="R71" s="53" t="n">
        <x:f>XLOOKUP($A71,'Specs'!$A$2:$A$164,'Specs'!$R$2:$R$164,"")</x:f>
        <x:v>1</x:v>
      </x:c>
      <x:c r="S71" t="str">
        <x:f>'Vendor Options'!A71</x:f>
        <x:v>OFFER-EF6C09257912</x:v>
      </x:c>
      <x:c r="T71" t="str">
        <x:f>'Vendor Options'!C71</x:f>
        <x:v>PHI</x:v>
      </x:c>
      <x:c r="U71" t="str">
        <x:f>'Vendor Options'!D71</x:f>
        <x:v>2300 36"</x:v>
      </x:c>
      <x:c r="V71" t="str">
        <x:f>'Vendor Options'!E71</x:f>
        <x:v>2300:M-PANIC: NR</x:v>
      </x:c>
      <x:c r="W71" t="n">
        <x:f>'Vendor Options'!F71</x:f>
        <x:v>0</x:v>
      </x:c>
      <x:c r="X71" t="n">
        <x:f>'Vendor Options'!G71</x:f>
        <x:v>0</x:v>
      </x:c>
      <x:c r="Y71" t="n">
        <x:f>'Vendor Options'!H71</x:f>
        <x:v>0</x:v>
      </x:c>
      <x:c r="Z71" t="n">
        <x:f>'Vendor Options'!I71</x:f>
        <x:v>0</x:v>
      </x:c>
      <x:c r="AA71" s="54" t="n">
        <x:f>'Vendor Options'!J71</x:f>
        <x:v>4860</x:v>
      </x:c>
      <x:c r="AB71" t="str">
        <x:f>'Vendor Options'!K71</x:f>
        <x:v>50/70</x:v>
      </x:c>
      <x:c r="AC71" s="57" t="n">
        <x:f>'Vendor Options'!L71</x:f>
        <x:v>0.5</x:v>
      </x:c>
      <x:c r="AD71" s="57" t="n">
        <x:f>'Vendor Options'!M71</x:f>
        <x:v>0.7</x:v>
      </x:c>
      <x:c r="AE71" s="54" t="n">
        <x:f>'Vendor Options'!N71</x:f>
        <x:v>729.0000000000001</x:v>
      </x:c>
      <x:c r="AF71" t="str">
        <x:f>'Vendor Options'!O71</x:f>
        <x:v>USD</x:v>
      </x:c>
      <x:c r="AG71" t="str">
        <x:f>'Vendor Options'!P71</x:f>
        <x:v>PRICED</x:v>
      </x:c>
      <x:c r="AH71" t="str">
        <x:f>'Vendor Options'!Q71</x:f>
        <x:v>REVIEW</x:v>
      </x:c>
      <x:c r="AI71" t="str">
        <x:f>'Vendor Options'!R71</x:f>
        <x:v>MISSING_PART_NUMBER</x:v>
      </x:c>
      <x:c r="AJ71" t="n">
        <x:f>'Vendor Options'!S71</x:f>
        <x:v>254</x:v>
      </x:c>
    </x:row>
    <x:row r="72" ht="15" hidden="0" customHeight="1">
      <x:c r="A72" t="str">
        <x:f>'Vendor Options'!B72</x:f>
        <x:v>SPEC-7DC0219E8813</x:v>
      </x:c>
      <x:c r="B72" t="str">
        <x:f>XLOOKUP($A72,'Specs'!$A$2:$A$164,'Specs'!$B$2:$B$164,"")</x:f>
        <x:v>EXIT DEVICE</x:v>
      </x:c>
      <x:c r="C72" t="str">
        <x:f>XLOOKUP($A72,'Specs'!$A$2:$A$164,'Specs'!$C$2:$C$164,"")</x:f>
        <x:v>PANIC / EXIT DEVICE</x:v>
      </x:c>
      <x:c r="D72" t="str">
        <x:f>XLOOKUP($A72,'Specs'!$A$2:$A$164,'Specs'!$D$2:$D$164,"")</x:f>
        <x:v>MORTISE</x:v>
      </x:c>
      <x:c r="E72" t="str">
        <x:f>XLOOKUP($A72,'Specs'!$A$2:$A$164,'Specs'!$E$2:$E$164,"")</x:f>
        <x:v>EXIT DEVICE</x:v>
      </x:c>
      <x:c r="F72" t="str">
        <x:f>XLOOKUP($A72,'Specs'!$A$2:$A$164,'Specs'!$F$2:$F$164,"")</x:f>
        <x:v>NOT APPLICABLE</x:v>
      </x:c>
      <x:c r="G72" t="str">
        <x:f>XLOOKUP($A72,'Specs'!$A$2:$A$164,'Specs'!$G$2:$G$164,"")</x:f>
        <x:v>36"</x:v>
      </x:c>
      <x:c r="H72" t="str">
        <x:f>XLOOKUP($A72,'Specs'!$A$2:$A$164,'Specs'!$H$2:$H$164,"")</x:f>
        <x:v>PANIC</x:v>
      </x:c>
      <x:c r="I72" t="str">
        <x:f>XLOOKUP($A72,'Specs'!$A$2:$A$164,'Specs'!$I$2:$I$164,"")</x:f>
      </x:c>
      <x:c r="J72" t="str">
        <x:f>XLOOKUP($A72,'Specs'!$A$2:$A$164,'Specs'!$J$2:$J$164,"")</x:f>
      </x:c>
      <x:c r="K72" t="str">
        <x:f>XLOOKUP($A72,'Specs'!$A$2:$A$164,'Specs'!$K$2:$K$164,"")</x:f>
      </x:c>
      <x:c r="L72" t="str">
        <x:f>XLOOKUP($A72,'Specs'!$A$2:$A$164,'Specs'!$L$2:$L$164,"")</x:f>
      </x:c>
      <x:c r="M72" t="n">
        <x:f>XLOOKUP($A72,'Specs'!$A$2:$A$164,'Specs'!$M$2:$M$164,"")</x:f>
        <x:v>630</x:v>
      </x:c>
      <x:c r="N72" t="str">
        <x:f>XLOOKUP($A72,'Specs'!$A$2:$A$164,'Specs'!$N$2:$N$164,"")</x:f>
      </x:c>
      <x:c r="O72" t="str">
        <x:f>XLOOKUP($A72,'Specs'!$A$2:$A$164,'Specs'!$O$2:$O$164,"")</x:f>
      </x:c>
      <x:c r="P72" t="str">
        <x:f>XLOOKUP($A72,'Specs'!$A$2:$A$164,'Specs'!$P$2:$P$164,"")</x:f>
        <x:v>HIGH</x:v>
      </x:c>
      <x:c r="Q72" s="53" t="n">
        <x:f>XLOOKUP($A72,'Specs'!$A$2:$A$164,'Specs'!$Q$2:$Q$164,"")</x:f>
        <x:v>3</x:v>
      </x:c>
      <x:c r="R72" s="53" t="n">
        <x:f>XLOOKUP($A72,'Specs'!$A$2:$A$164,'Specs'!$R$2:$R$164,"")</x:f>
        <x:v>3</x:v>
      </x:c>
      <x:c r="S72" t="str">
        <x:f>'Vendor Options'!A72</x:f>
        <x:v>OFFER-1EECF8E18C32</x:v>
      </x:c>
      <x:c r="T72" t="str">
        <x:f>'Vendor Options'!C72</x:f>
        <x:v>DK</x:v>
      </x:c>
      <x:c r="U72" t="str">
        <x:f>'Vendor Options'!D72</x:f>
        <x:v>9500B 36"</x:v>
      </x:c>
      <x:c r="V72" t="str">
        <x:f>'Vendor Options'!E72</x:f>
        <x:v>9500:M-PANIC: NR</x:v>
      </x:c>
      <x:c r="W72" t="n">
        <x:f>'Vendor Options'!F72</x:f>
        <x:v>0</x:v>
      </x:c>
      <x:c r="X72" t="n">
        <x:f>'Vendor Options'!G72</x:f>
        <x:v>0</x:v>
      </x:c>
      <x:c r="Y72" t="n">
        <x:f>'Vendor Options'!H72</x:f>
        <x:v>0</x:v>
      </x:c>
      <x:c r="Z72" t="n">
        <x:f>'Vendor Options'!I72</x:f>
        <x:v>0</x:v>
      </x:c>
      <x:c r="AA72" s="54" t="n">
        <x:f>'Vendor Options'!J72</x:f>
        <x:v>0</x:v>
      </x:c>
      <x:c r="AB72" t="n">
        <x:f>'Vendor Options'!K72</x:f>
        <x:v>0</x:v>
      </x:c>
      <x:c r="AC72" s="57" t="n">
        <x:f>'Vendor Options'!L72</x:f>
        <x:v>0</x:v>
      </x:c>
      <x:c r="AD72" s="57" t="n">
        <x:f>'Vendor Options'!M72</x:f>
        <x:v>0</x:v>
      </x:c>
      <x:c r="AE72" s="54" t="str">
        <x:f>'Vendor Options'!N72</x:f>
      </x:c>
      <x:c r="AF72" t="str">
        <x:f>'Vendor Options'!O72</x:f>
        <x:v>USD</x:v>
      </x:c>
      <x:c r="AG72" t="str">
        <x:f>'Vendor Options'!P72</x:f>
        <x:v>UNPRICED</x:v>
      </x:c>
      <x:c r="AH72" t="str">
        <x:f>'Vendor Options'!Q72</x:f>
        <x:v>REVIEW</x:v>
      </x:c>
      <x:c r="AI72" t="str">
        <x:f>'Vendor Options'!R72</x:f>
        <x:v>MISSING_PRICE; MISSING_PART_NUMBER</x:v>
      </x:c>
      <x:c r="AJ72" t="n">
        <x:f>'Vendor Options'!S72</x:f>
        <x:v>219</x:v>
      </x:c>
    </x:row>
    <x:row r="73" ht="15" hidden="0" customHeight="1">
      <x:c r="A73" t="str">
        <x:f>'Vendor Options'!B73</x:f>
        <x:v>SPEC-7DC0219E8813</x:v>
      </x:c>
      <x:c r="B73" t="str">
        <x:f>XLOOKUP($A73,'Specs'!$A$2:$A$164,'Specs'!$B$2:$B$164,"")</x:f>
        <x:v>EXIT DEVICE</x:v>
      </x:c>
      <x:c r="C73" t="str">
        <x:f>XLOOKUP($A73,'Specs'!$A$2:$A$164,'Specs'!$C$2:$C$164,"")</x:f>
        <x:v>PANIC / EXIT DEVICE</x:v>
      </x:c>
      <x:c r="D73" t="str">
        <x:f>XLOOKUP($A73,'Specs'!$A$2:$A$164,'Specs'!$D$2:$D$164,"")</x:f>
        <x:v>MORTISE</x:v>
      </x:c>
      <x:c r="E73" t="str">
        <x:f>XLOOKUP($A73,'Specs'!$A$2:$A$164,'Specs'!$E$2:$E$164,"")</x:f>
        <x:v>EXIT DEVICE</x:v>
      </x:c>
      <x:c r="F73" t="str">
        <x:f>XLOOKUP($A73,'Specs'!$A$2:$A$164,'Specs'!$F$2:$F$164,"")</x:f>
        <x:v>NOT APPLICABLE</x:v>
      </x:c>
      <x:c r="G73" t="str">
        <x:f>XLOOKUP($A73,'Specs'!$A$2:$A$164,'Specs'!$G$2:$G$164,"")</x:f>
        <x:v>36"</x:v>
      </x:c>
      <x:c r="H73" t="str">
        <x:f>XLOOKUP($A73,'Specs'!$A$2:$A$164,'Specs'!$H$2:$H$164,"")</x:f>
        <x:v>PANIC</x:v>
      </x:c>
      <x:c r="I73" t="str">
        <x:f>XLOOKUP($A73,'Specs'!$A$2:$A$164,'Specs'!$I$2:$I$164,"")</x:f>
      </x:c>
      <x:c r="J73" t="str">
        <x:f>XLOOKUP($A73,'Specs'!$A$2:$A$164,'Specs'!$J$2:$J$164,"")</x:f>
      </x:c>
      <x:c r="K73" t="str">
        <x:f>XLOOKUP($A73,'Specs'!$A$2:$A$164,'Specs'!$K$2:$K$164,"")</x:f>
      </x:c>
      <x:c r="L73" t="str">
        <x:f>XLOOKUP($A73,'Specs'!$A$2:$A$164,'Specs'!$L$2:$L$164,"")</x:f>
      </x:c>
      <x:c r="M73" t="n">
        <x:f>XLOOKUP($A73,'Specs'!$A$2:$A$164,'Specs'!$M$2:$M$164,"")</x:f>
        <x:v>630</x:v>
      </x:c>
      <x:c r="N73" t="str">
        <x:f>XLOOKUP($A73,'Specs'!$A$2:$A$164,'Specs'!$N$2:$N$164,"")</x:f>
      </x:c>
      <x:c r="O73" t="str">
        <x:f>XLOOKUP($A73,'Specs'!$A$2:$A$164,'Specs'!$O$2:$O$164,"")</x:f>
      </x:c>
      <x:c r="P73" t="str">
        <x:f>XLOOKUP($A73,'Specs'!$A$2:$A$164,'Specs'!$P$2:$P$164,"")</x:f>
        <x:v>HIGH</x:v>
      </x:c>
      <x:c r="Q73" s="53" t="n">
        <x:f>XLOOKUP($A73,'Specs'!$A$2:$A$164,'Specs'!$Q$2:$Q$164,"")</x:f>
        <x:v>3</x:v>
      </x:c>
      <x:c r="R73" s="53" t="n">
        <x:f>XLOOKUP($A73,'Specs'!$A$2:$A$164,'Specs'!$R$2:$R$164,"")</x:f>
        <x:v>3</x:v>
      </x:c>
      <x:c r="S73" t="str">
        <x:f>'Vendor Options'!A73</x:f>
        <x:v>OFFER-66F8859642F2</x:v>
      </x:c>
      <x:c r="T73" t="str">
        <x:f>'Vendor Options'!C73</x:f>
        <x:v>PHG</x:v>
      </x:c>
      <x:c r="U73" t="str">
        <x:f>'Vendor Options'!D73</x:f>
        <x:v>9800-36"</x:v>
      </x:c>
      <x:c r="V73" t="str">
        <x:f>'Vendor Options'!E73</x:f>
        <x:v>36" MORTISE PANIC</x:v>
      </x:c>
      <x:c r="W73" t="n">
        <x:f>'Vendor Options'!F73</x:f>
        <x:v>0</x:v>
      </x:c>
      <x:c r="X73" t="n">
        <x:f>'Vendor Options'!G73</x:f>
        <x:v>0</x:v>
      </x:c>
      <x:c r="Y73" t="n">
        <x:f>'Vendor Options'!H73</x:f>
        <x:v>0</x:v>
      </x:c>
      <x:c r="Z73" t="str">
        <x:f>'Vendor Options'!I73</x:f>
      </x:c>
      <x:c r="AA73" s="54" t="n">
        <x:f>'Vendor Options'!J73</x:f>
        <x:v>0</x:v>
      </x:c>
      <x:c r="AB73" t="str">
        <x:f>'Vendor Options'!K73</x:f>
      </x:c>
      <x:c r="AC73" s="57" t="n">
        <x:f>'Vendor Options'!L73</x:f>
        <x:v>0</x:v>
      </x:c>
      <x:c r="AD73" s="57" t="n">
        <x:f>'Vendor Options'!M73</x:f>
        <x:v>0</x:v>
      </x:c>
      <x:c r="AE73" s="54" t="str">
        <x:f>'Vendor Options'!N73</x:f>
      </x:c>
      <x:c r="AF73" t="str">
        <x:f>'Vendor Options'!O73</x:f>
        <x:v>USD</x:v>
      </x:c>
      <x:c r="AG73" t="str">
        <x:f>'Vendor Options'!P73</x:f>
        <x:v>UNPRICED</x:v>
      </x:c>
      <x:c r="AH73" t="str">
        <x:f>'Vendor Options'!Q73</x:f>
        <x:v>REVIEW</x:v>
      </x:c>
      <x:c r="AI73" t="str">
        <x:f>'Vendor Options'!R73</x:f>
        <x:v>MISSING_PRICE; MISSING_PART_NUMBER</x:v>
      </x:c>
      <x:c r="AJ73" t="n">
        <x:f>'Vendor Options'!S73</x:f>
        <x:v>203</x:v>
      </x:c>
    </x:row>
    <x:row r="74" ht="15" hidden="0" customHeight="1">
      <x:c r="A74" t="str">
        <x:f>'Vendor Options'!B74</x:f>
        <x:v>SPEC-7DC0219E8813</x:v>
      </x:c>
      <x:c r="B74" t="str">
        <x:f>XLOOKUP($A74,'Specs'!$A$2:$A$164,'Specs'!$B$2:$B$164,"")</x:f>
        <x:v>EXIT DEVICE</x:v>
      </x:c>
      <x:c r="C74" t="str">
        <x:f>XLOOKUP($A74,'Specs'!$A$2:$A$164,'Specs'!$C$2:$C$164,"")</x:f>
        <x:v>PANIC / EXIT DEVICE</x:v>
      </x:c>
      <x:c r="D74" t="str">
        <x:f>XLOOKUP($A74,'Specs'!$A$2:$A$164,'Specs'!$D$2:$D$164,"")</x:f>
        <x:v>MORTISE</x:v>
      </x:c>
      <x:c r="E74" t="str">
        <x:f>XLOOKUP($A74,'Specs'!$A$2:$A$164,'Specs'!$E$2:$E$164,"")</x:f>
        <x:v>EXIT DEVICE</x:v>
      </x:c>
      <x:c r="F74" t="str">
        <x:f>XLOOKUP($A74,'Specs'!$A$2:$A$164,'Specs'!$F$2:$F$164,"")</x:f>
        <x:v>NOT APPLICABLE</x:v>
      </x:c>
      <x:c r="G74" t="str">
        <x:f>XLOOKUP($A74,'Specs'!$A$2:$A$164,'Specs'!$G$2:$G$164,"")</x:f>
        <x:v>36"</x:v>
      </x:c>
      <x:c r="H74" t="str">
        <x:f>XLOOKUP($A74,'Specs'!$A$2:$A$164,'Specs'!$H$2:$H$164,"")</x:f>
        <x:v>PANIC</x:v>
      </x:c>
      <x:c r="I74" t="str">
        <x:f>XLOOKUP($A74,'Specs'!$A$2:$A$164,'Specs'!$I$2:$I$164,"")</x:f>
      </x:c>
      <x:c r="J74" t="str">
        <x:f>XLOOKUP($A74,'Specs'!$A$2:$A$164,'Specs'!$J$2:$J$164,"")</x:f>
      </x:c>
      <x:c r="K74" t="str">
        <x:f>XLOOKUP($A74,'Specs'!$A$2:$A$164,'Specs'!$K$2:$K$164,"")</x:f>
      </x:c>
      <x:c r="L74" t="str">
        <x:f>XLOOKUP($A74,'Specs'!$A$2:$A$164,'Specs'!$L$2:$L$164,"")</x:f>
      </x:c>
      <x:c r="M74" t="n">
        <x:f>XLOOKUP($A74,'Specs'!$A$2:$A$164,'Specs'!$M$2:$M$164,"")</x:f>
        <x:v>630</x:v>
      </x:c>
      <x:c r="N74" t="str">
        <x:f>XLOOKUP($A74,'Specs'!$A$2:$A$164,'Specs'!$N$2:$N$164,"")</x:f>
      </x:c>
      <x:c r="O74" t="str">
        <x:f>XLOOKUP($A74,'Specs'!$A$2:$A$164,'Specs'!$O$2:$O$164,"")</x:f>
      </x:c>
      <x:c r="P74" t="str">
        <x:f>XLOOKUP($A74,'Specs'!$A$2:$A$164,'Specs'!$P$2:$P$164,"")</x:f>
        <x:v>HIGH</x:v>
      </x:c>
      <x:c r="Q74" s="53" t="n">
        <x:f>XLOOKUP($A74,'Specs'!$A$2:$A$164,'Specs'!$Q$2:$Q$164,"")</x:f>
        <x:v>3</x:v>
      </x:c>
      <x:c r="R74" s="53" t="n">
        <x:f>XLOOKUP($A74,'Specs'!$A$2:$A$164,'Specs'!$R$2:$R$164,"")</x:f>
        <x:v>3</x:v>
      </x:c>
      <x:c r="S74" t="str">
        <x:f>'Vendor Options'!A74</x:f>
        <x:v>OFFER-32E39328E06C</x:v>
      </x:c>
      <x:c r="T74" t="str">
        <x:f>'Vendor Options'!C74</x:f>
        <x:v>PHI</x:v>
      </x:c>
      <x:c r="U74" t="str">
        <x:f>'Vendor Options'!D74</x:f>
        <x:v>2300 36"</x:v>
      </x:c>
      <x:c r="V74" t="str">
        <x:f>'Vendor Options'!E74</x:f>
        <x:v>2300:M-PANIC: NR</x:v>
      </x:c>
      <x:c r="W74" t="n">
        <x:f>'Vendor Options'!F74</x:f>
        <x:v>0</x:v>
      </x:c>
      <x:c r="X74" t="n">
        <x:f>'Vendor Options'!G74</x:f>
        <x:v>0</x:v>
      </x:c>
      <x:c r="Y74" t="n">
        <x:f>'Vendor Options'!H74</x:f>
        <x:v>0</x:v>
      </x:c>
      <x:c r="Z74" t="n">
        <x:f>'Vendor Options'!I74</x:f>
        <x:v>0</x:v>
      </x:c>
      <x:c r="AA74" s="54" t="n">
        <x:f>'Vendor Options'!J74</x:f>
        <x:v>4860</x:v>
      </x:c>
      <x:c r="AB74" t="str">
        <x:f>'Vendor Options'!K74</x:f>
        <x:v>50/70</x:v>
      </x:c>
      <x:c r="AC74" s="57" t="n">
        <x:f>'Vendor Options'!L74</x:f>
        <x:v>0.5</x:v>
      </x:c>
      <x:c r="AD74" s="57" t="n">
        <x:f>'Vendor Options'!M74</x:f>
        <x:v>0.7</x:v>
      </x:c>
      <x:c r="AE74" s="54" t="n">
        <x:f>'Vendor Options'!N74</x:f>
        <x:v>729.0000000000001</x:v>
      </x:c>
      <x:c r="AF74" t="str">
        <x:f>'Vendor Options'!O74</x:f>
        <x:v>USD</x:v>
      </x:c>
      <x:c r="AG74" t="str">
        <x:f>'Vendor Options'!P74</x:f>
        <x:v>PRICED</x:v>
      </x:c>
      <x:c r="AH74" t="str">
        <x:f>'Vendor Options'!Q74</x:f>
        <x:v>REVIEW</x:v>
      </x:c>
      <x:c r="AI74" t="str">
        <x:f>'Vendor Options'!R74</x:f>
        <x:v>MISSING_PART_NUMBER</x:v>
      </x:c>
      <x:c r="AJ74" t="n">
        <x:f>'Vendor Options'!S74</x:f>
        <x:v>239</x:v>
      </x:c>
    </x:row>
    <x:row r="75" ht="15" hidden="0" customHeight="1">
      <x:c r="A75" t="str">
        <x:f>'Vendor Options'!B75</x:f>
        <x:v>SPEC-68F1122034DD</x:v>
      </x:c>
      <x:c r="B75" t="str">
        <x:f>XLOOKUP($A75,'Specs'!$A$2:$A$164,'Specs'!$B$2:$B$164,"")</x:f>
        <x:v>EXIT DEVICE</x:v>
      </x:c>
      <x:c r="C75" t="str">
        <x:f>XLOOKUP($A75,'Specs'!$A$2:$A$164,'Specs'!$C$2:$C$164,"")</x:f>
        <x:v>PANIC / EXIT DEVICE</x:v>
      </x:c>
      <x:c r="D75" t="str">
        <x:f>XLOOKUP($A75,'Specs'!$A$2:$A$164,'Specs'!$D$2:$D$164,"")</x:f>
        <x:v>MORTISE</x:v>
      </x:c>
      <x:c r="E75" t="str">
        <x:f>XLOOKUP($A75,'Specs'!$A$2:$A$164,'Specs'!$E$2:$E$164,"")</x:f>
        <x:v>EXIT DEVICE</x:v>
      </x:c>
      <x:c r="F75" t="str">
        <x:f>XLOOKUP($A75,'Specs'!$A$2:$A$164,'Specs'!$F$2:$F$164,"")</x:f>
        <x:v>NOT APPLICABLE</x:v>
      </x:c>
      <x:c r="G75" t="str">
        <x:f>XLOOKUP($A75,'Specs'!$A$2:$A$164,'Specs'!$G$2:$G$164,"")</x:f>
        <x:v>36"</x:v>
      </x:c>
      <x:c r="H75" t="str">
        <x:f>XLOOKUP($A75,'Specs'!$A$2:$A$164,'Specs'!$H$2:$H$164,"")</x:f>
        <x:v>TDI</x:v>
      </x:c>
      <x:c r="I75" t="str">
        <x:f>XLOOKUP($A75,'Specs'!$A$2:$A$164,'Specs'!$I$2:$I$164,"")</x:f>
      </x:c>
      <x:c r="J75" t="str">
        <x:f>XLOOKUP($A75,'Specs'!$A$2:$A$164,'Specs'!$J$2:$J$164,"")</x:f>
      </x:c>
      <x:c r="K75" t="str">
        <x:f>XLOOKUP($A75,'Specs'!$A$2:$A$164,'Specs'!$K$2:$K$164,"")</x:f>
      </x:c>
      <x:c r="L75" t="str">
        <x:f>XLOOKUP($A75,'Specs'!$A$2:$A$164,'Specs'!$L$2:$L$164,"")</x:f>
      </x:c>
      <x:c r="M75" t="n">
        <x:f>XLOOKUP($A75,'Specs'!$A$2:$A$164,'Specs'!$M$2:$M$164,"")</x:f>
        <x:v>630</x:v>
      </x:c>
      <x:c r="N75" t="str">
        <x:f>XLOOKUP($A75,'Specs'!$A$2:$A$164,'Specs'!$N$2:$N$164,"")</x:f>
      </x:c>
      <x:c r="O75" t="str">
        <x:f>XLOOKUP($A75,'Specs'!$A$2:$A$164,'Specs'!$O$2:$O$164,"")</x:f>
        <x:v>ACCESSORY / ADDER</x:v>
      </x:c>
      <x:c r="P75" t="str">
        <x:f>XLOOKUP($A75,'Specs'!$A$2:$A$164,'Specs'!$P$2:$P$164,"")</x:f>
        <x:v>HIGH</x:v>
      </x:c>
      <x:c r="Q75" s="53" t="n">
        <x:f>XLOOKUP($A75,'Specs'!$A$2:$A$164,'Specs'!$Q$2:$Q$164,"")</x:f>
        <x:v>1</x:v>
      </x:c>
      <x:c r="R75" s="53" t="n">
        <x:f>XLOOKUP($A75,'Specs'!$A$2:$A$164,'Specs'!$R$2:$R$164,"")</x:f>
        <x:v>1</x:v>
      </x:c>
      <x:c r="S75" t="str">
        <x:f>'Vendor Options'!A75</x:f>
        <x:v>OFFER-54584895F34D</x:v>
      </x:c>
      <x:c r="T75" t="str">
        <x:f>'Vendor Options'!C75</x:f>
        <x:v>PHG</x:v>
      </x:c>
      <x:c r="U75" t="str">
        <x:f>'Vendor Options'!D75</x:f>
        <x:v>9800-36"</x:v>
      </x:c>
      <x:c r="V75" t="str">
        <x:f>'Vendor Options'!E75</x:f>
        <x:v>36" MORTISE PANIC</x:v>
      </x:c>
      <x:c r="W75" t="n">
        <x:f>'Vendor Options'!F75</x:f>
        <x:v>0</x:v>
      </x:c>
      <x:c r="X75" t="n">
        <x:f>'Vendor Options'!G75</x:f>
        <x:v>0</x:v>
      </x:c>
      <x:c r="Y75" t="n">
        <x:f>'Vendor Options'!H75</x:f>
        <x:v>0</x:v>
      </x:c>
      <x:c r="Z75" t="n">
        <x:f>'Vendor Options'!I75</x:f>
        <x:v>0</x:v>
      </x:c>
      <x:c r="AA75" s="54" t="n">
        <x:f>'Vendor Options'!J75</x:f>
        <x:v>0</x:v>
      </x:c>
      <x:c r="AB75" t="n">
        <x:f>'Vendor Options'!K75</x:f>
        <x:v>0</x:v>
      </x:c>
      <x:c r="AC75" s="57" t="n">
        <x:f>'Vendor Options'!L75</x:f>
        <x:v>0</x:v>
      </x:c>
      <x:c r="AD75" s="57" t="n">
        <x:f>'Vendor Options'!M75</x:f>
        <x:v>0</x:v>
      </x:c>
      <x:c r="AE75" s="54" t="str">
        <x:f>'Vendor Options'!N75</x:f>
      </x:c>
      <x:c r="AF75" t="str">
        <x:f>'Vendor Options'!O75</x:f>
        <x:v>USD</x:v>
      </x:c>
      <x:c r="AG75" t="str">
        <x:f>'Vendor Options'!P75</x:f>
        <x:v>UNPRICED</x:v>
      </x:c>
      <x:c r="AH75" t="str">
        <x:f>'Vendor Options'!Q75</x:f>
        <x:v>REVIEW</x:v>
      </x:c>
      <x:c r="AI75" t="str">
        <x:f>'Vendor Options'!R75</x:f>
        <x:v>MISSING_PRICE; MISSING_PART_NUMBER</x:v>
      </x:c>
      <x:c r="AJ75" t="n">
        <x:f>'Vendor Options'!S75</x:f>
        <x:v>206</x:v>
      </x:c>
    </x:row>
    <x:row r="76" ht="15" hidden="0" customHeight="1">
      <x:c r="A76" t="str">
        <x:f>'Vendor Options'!B76</x:f>
        <x:v>SPEC-B447A07B7E5E</x:v>
      </x:c>
      <x:c r="B76" t="str">
        <x:f>XLOOKUP($A76,'Specs'!$A$2:$A$164,'Specs'!$B$2:$B$164,"")</x:f>
        <x:v>EXIT DEVICE</x:v>
      </x:c>
      <x:c r="C76" t="str">
        <x:f>XLOOKUP($A76,'Specs'!$A$2:$A$164,'Specs'!$C$2:$C$164,"")</x:f>
        <x:v>PANIC / EXIT DEVICE</x:v>
      </x:c>
      <x:c r="D76" t="str">
        <x:f>XLOOKUP($A76,'Specs'!$A$2:$A$164,'Specs'!$D$2:$D$164,"")</x:f>
        <x:v>MORTISE</x:v>
      </x:c>
      <x:c r="E76" t="str">
        <x:f>XLOOKUP($A76,'Specs'!$A$2:$A$164,'Specs'!$E$2:$E$164,"")</x:f>
        <x:v>EXIT DEVICE</x:v>
      </x:c>
      <x:c r="F76" t="str">
        <x:f>XLOOKUP($A76,'Specs'!$A$2:$A$164,'Specs'!$F$2:$F$164,"")</x:f>
        <x:v>NOT APPLICABLE</x:v>
      </x:c>
      <x:c r="G76" t="str">
        <x:f>XLOOKUP($A76,'Specs'!$A$2:$A$164,'Specs'!$G$2:$G$164,"")</x:f>
        <x:v>36"</x:v>
      </x:c>
      <x:c r="H76" t="str">
        <x:f>XLOOKUP($A76,'Specs'!$A$2:$A$164,'Specs'!$H$2:$H$164,"")</x:f>
        <x:v>WIND</x:v>
      </x:c>
      <x:c r="I76" t="str">
        <x:f>XLOOKUP($A76,'Specs'!$A$2:$A$164,'Specs'!$I$2:$I$164,"")</x:f>
      </x:c>
      <x:c r="J76" t="str">
        <x:f>XLOOKUP($A76,'Specs'!$A$2:$A$164,'Specs'!$J$2:$J$164,"")</x:f>
      </x:c>
      <x:c r="K76" t="str">
        <x:f>XLOOKUP($A76,'Specs'!$A$2:$A$164,'Specs'!$K$2:$K$164,"")</x:f>
      </x:c>
      <x:c r="L76" t="str">
        <x:f>XLOOKUP($A76,'Specs'!$A$2:$A$164,'Specs'!$L$2:$L$164,"")</x:f>
      </x:c>
      <x:c r="M76" t="n">
        <x:f>XLOOKUP($A76,'Specs'!$A$2:$A$164,'Specs'!$M$2:$M$164,"")</x:f>
        <x:v>630</x:v>
      </x:c>
      <x:c r="N76" t="str">
        <x:f>XLOOKUP($A76,'Specs'!$A$2:$A$164,'Specs'!$N$2:$N$164,"")</x:f>
      </x:c>
      <x:c r="O76" t="str">
        <x:f>XLOOKUP($A76,'Specs'!$A$2:$A$164,'Specs'!$O$2:$O$164,"")</x:f>
        <x:v>ACCESSORY / ADDER</x:v>
      </x:c>
      <x:c r="P76" t="str">
        <x:f>XLOOKUP($A76,'Specs'!$A$2:$A$164,'Specs'!$P$2:$P$164,"")</x:f>
        <x:v>HIGH</x:v>
      </x:c>
      <x:c r="Q76" s="53" t="n">
        <x:f>XLOOKUP($A76,'Specs'!$A$2:$A$164,'Specs'!$Q$2:$Q$164,"")</x:f>
        <x:v>2</x:v>
      </x:c>
      <x:c r="R76" s="53" t="n">
        <x:f>XLOOKUP($A76,'Specs'!$A$2:$A$164,'Specs'!$R$2:$R$164,"")</x:f>
        <x:v>2</x:v>
      </x:c>
      <x:c r="S76" t="str">
        <x:f>'Vendor Options'!A76</x:f>
        <x:v>OFFER-A59B26AFEF2B</x:v>
      </x:c>
      <x:c r="T76" t="str">
        <x:f>'Vendor Options'!C76</x:f>
        <x:v>DK</x:v>
      </x:c>
      <x:c r="U76" t="str">
        <x:f>'Vendor Options'!D76</x:f>
        <x:v>9500B 36"</x:v>
      </x:c>
      <x:c r="V76" t="str">
        <x:f>'Vendor Options'!E76</x:f>
        <x:v>9500:M-PANIC: W</x:v>
      </x:c>
      <x:c r="W76" t="n">
        <x:f>'Vendor Options'!F76</x:f>
        <x:v>0</x:v>
      </x:c>
      <x:c r="X76" t="n">
        <x:f>'Vendor Options'!G76</x:f>
        <x:v>0</x:v>
      </x:c>
      <x:c r="Y76" t="n">
        <x:f>'Vendor Options'!H76</x:f>
        <x:v>0</x:v>
      </x:c>
      <x:c r="Z76" t="n">
        <x:f>'Vendor Options'!I76</x:f>
        <x:v>0</x:v>
      </x:c>
      <x:c r="AA76" s="54" t="n">
        <x:f>'Vendor Options'!J76</x:f>
        <x:v>0</x:v>
      </x:c>
      <x:c r="AB76" t="n">
        <x:f>'Vendor Options'!K76</x:f>
        <x:v>0</x:v>
      </x:c>
      <x:c r="AC76" s="57" t="n">
        <x:f>'Vendor Options'!L76</x:f>
        <x:v>0</x:v>
      </x:c>
      <x:c r="AD76" s="57" t="n">
        <x:f>'Vendor Options'!M76</x:f>
        <x:v>0</x:v>
      </x:c>
      <x:c r="AE76" s="54" t="str">
        <x:f>'Vendor Options'!N76</x:f>
      </x:c>
      <x:c r="AF76" t="str">
        <x:f>'Vendor Options'!O76</x:f>
        <x:v>USD</x:v>
      </x:c>
      <x:c r="AG76" t="str">
        <x:f>'Vendor Options'!P76</x:f>
        <x:v>UNPRICED</x:v>
      </x:c>
      <x:c r="AH76" t="str">
        <x:f>'Vendor Options'!Q76</x:f>
        <x:v>REVIEW</x:v>
      </x:c>
      <x:c r="AI76" t="str">
        <x:f>'Vendor Options'!R76</x:f>
        <x:v>MISSING_PRICE; MISSING_PART_NUMBER</x:v>
      </x:c>
      <x:c r="AJ76" t="n">
        <x:f>'Vendor Options'!S76</x:f>
        <x:v>221</x:v>
      </x:c>
    </x:row>
    <x:row r="77" ht="15" hidden="0" customHeight="1">
      <x:c r="A77" t="str">
        <x:f>'Vendor Options'!B77</x:f>
        <x:v>SPEC-B447A07B7E5E</x:v>
      </x:c>
      <x:c r="B77" t="str">
        <x:f>XLOOKUP($A77,'Specs'!$A$2:$A$164,'Specs'!$B$2:$B$164,"")</x:f>
        <x:v>EXIT DEVICE</x:v>
      </x:c>
      <x:c r="C77" t="str">
        <x:f>XLOOKUP($A77,'Specs'!$A$2:$A$164,'Specs'!$C$2:$C$164,"")</x:f>
        <x:v>PANIC / EXIT DEVICE</x:v>
      </x:c>
      <x:c r="D77" t="str">
        <x:f>XLOOKUP($A77,'Specs'!$A$2:$A$164,'Specs'!$D$2:$D$164,"")</x:f>
        <x:v>MORTISE</x:v>
      </x:c>
      <x:c r="E77" t="str">
        <x:f>XLOOKUP($A77,'Specs'!$A$2:$A$164,'Specs'!$E$2:$E$164,"")</x:f>
        <x:v>EXIT DEVICE</x:v>
      </x:c>
      <x:c r="F77" t="str">
        <x:f>XLOOKUP($A77,'Specs'!$A$2:$A$164,'Specs'!$F$2:$F$164,"")</x:f>
        <x:v>NOT APPLICABLE</x:v>
      </x:c>
      <x:c r="G77" t="str">
        <x:f>XLOOKUP($A77,'Specs'!$A$2:$A$164,'Specs'!$G$2:$G$164,"")</x:f>
        <x:v>36"</x:v>
      </x:c>
      <x:c r="H77" t="str">
        <x:f>XLOOKUP($A77,'Specs'!$A$2:$A$164,'Specs'!$H$2:$H$164,"")</x:f>
        <x:v>WIND</x:v>
      </x:c>
      <x:c r="I77" t="str">
        <x:f>XLOOKUP($A77,'Specs'!$A$2:$A$164,'Specs'!$I$2:$I$164,"")</x:f>
      </x:c>
      <x:c r="J77" t="str">
        <x:f>XLOOKUP($A77,'Specs'!$A$2:$A$164,'Specs'!$J$2:$J$164,"")</x:f>
      </x:c>
      <x:c r="K77" t="str">
        <x:f>XLOOKUP($A77,'Specs'!$A$2:$A$164,'Specs'!$K$2:$K$164,"")</x:f>
      </x:c>
      <x:c r="L77" t="str">
        <x:f>XLOOKUP($A77,'Specs'!$A$2:$A$164,'Specs'!$L$2:$L$164,"")</x:f>
      </x:c>
      <x:c r="M77" t="n">
        <x:f>XLOOKUP($A77,'Specs'!$A$2:$A$164,'Specs'!$M$2:$M$164,"")</x:f>
        <x:v>630</x:v>
      </x:c>
      <x:c r="N77" t="str">
        <x:f>XLOOKUP($A77,'Specs'!$A$2:$A$164,'Specs'!$N$2:$N$164,"")</x:f>
      </x:c>
      <x:c r="O77" t="str">
        <x:f>XLOOKUP($A77,'Specs'!$A$2:$A$164,'Specs'!$O$2:$O$164,"")</x:f>
        <x:v>ACCESSORY / ADDER</x:v>
      </x:c>
      <x:c r="P77" t="str">
        <x:f>XLOOKUP($A77,'Specs'!$A$2:$A$164,'Specs'!$P$2:$P$164,"")</x:f>
        <x:v>HIGH</x:v>
      </x:c>
      <x:c r="Q77" s="53" t="n">
        <x:f>XLOOKUP($A77,'Specs'!$A$2:$A$164,'Specs'!$Q$2:$Q$164,"")</x:f>
        <x:v>2</x:v>
      </x:c>
      <x:c r="R77" s="53" t="n">
        <x:f>XLOOKUP($A77,'Specs'!$A$2:$A$164,'Specs'!$R$2:$R$164,"")</x:f>
        <x:v>2</x:v>
      </x:c>
      <x:c r="S77" t="str">
        <x:f>'Vendor Options'!A77</x:f>
        <x:v>OFFER-30C21A41F248</x:v>
      </x:c>
      <x:c r="T77" t="str">
        <x:f>'Vendor Options'!C77</x:f>
        <x:v>PHG</x:v>
      </x:c>
      <x:c r="U77" t="str">
        <x:f>'Vendor Options'!D77</x:f>
        <x:v>9800-36"</x:v>
      </x:c>
      <x:c r="V77" t="str">
        <x:f>'Vendor Options'!E77</x:f>
        <x:v>36" MORTISE PANIC</x:v>
      </x:c>
      <x:c r="W77" t="n">
        <x:f>'Vendor Options'!F77</x:f>
        <x:v>0</x:v>
      </x:c>
      <x:c r="X77" t="n">
        <x:f>'Vendor Options'!G77</x:f>
        <x:v>0</x:v>
      </x:c>
      <x:c r="Y77" t="n">
        <x:f>'Vendor Options'!H77</x:f>
        <x:v>0</x:v>
      </x:c>
      <x:c r="Z77" t="n">
        <x:f>'Vendor Options'!I77</x:f>
        <x:v>0</x:v>
      </x:c>
      <x:c r="AA77" s="54" t="n">
        <x:f>'Vendor Options'!J77</x:f>
        <x:v>0</x:v>
      </x:c>
      <x:c r="AB77" t="n">
        <x:f>'Vendor Options'!K77</x:f>
        <x:v>0</x:v>
      </x:c>
      <x:c r="AC77" s="57" t="n">
        <x:f>'Vendor Options'!L77</x:f>
        <x:v>0</x:v>
      </x:c>
      <x:c r="AD77" s="57" t="n">
        <x:f>'Vendor Options'!M77</x:f>
        <x:v>0</x:v>
      </x:c>
      <x:c r="AE77" s="54" t="str">
        <x:f>'Vendor Options'!N77</x:f>
      </x:c>
      <x:c r="AF77" t="str">
        <x:f>'Vendor Options'!O77</x:f>
        <x:v>USD</x:v>
      </x:c>
      <x:c r="AG77" t="str">
        <x:f>'Vendor Options'!P77</x:f>
        <x:v>UNPRICED</x:v>
      </x:c>
      <x:c r="AH77" t="str">
        <x:f>'Vendor Options'!Q77</x:f>
        <x:v>REVIEW</x:v>
      </x:c>
      <x:c r="AI77" t="str">
        <x:f>'Vendor Options'!R77</x:f>
        <x:v>MISSING_PRICE; MISSING_PART_NUMBER</x:v>
      </x:c>
      <x:c r="AJ77" t="n">
        <x:f>'Vendor Options'!S77</x:f>
        <x:v>205</x:v>
      </x:c>
    </x:row>
    <x:row r="78" ht="15" hidden="0" customHeight="1">
      <x:c r="A78" t="str">
        <x:f>'Vendor Options'!B78</x:f>
        <x:v>SPEC-084F11D098B8</x:v>
      </x:c>
      <x:c r="B78" t="str">
        <x:f>XLOOKUP($A78,'Specs'!$A$2:$A$164,'Specs'!$B$2:$B$164,"")</x:f>
        <x:v>EXIT DEVICE</x:v>
      </x:c>
      <x:c r="C78" t="str">
        <x:f>XLOOKUP($A78,'Specs'!$A$2:$A$164,'Specs'!$C$2:$C$164,"")</x:f>
        <x:v>PANIC / EXIT DEVICE</x:v>
      </x:c>
      <x:c r="D78" t="str">
        <x:f>XLOOKUP($A78,'Specs'!$A$2:$A$164,'Specs'!$D$2:$D$164,"")</x:f>
        <x:v>MORTISE</x:v>
      </x:c>
      <x:c r="E78" t="str">
        <x:f>XLOOKUP($A78,'Specs'!$A$2:$A$164,'Specs'!$E$2:$E$164,"")</x:f>
        <x:v>EXIT DEVICE</x:v>
      </x:c>
      <x:c r="F78" t="str">
        <x:f>XLOOKUP($A78,'Specs'!$A$2:$A$164,'Specs'!$F$2:$F$164,"")</x:f>
        <x:v>NOT APPLICABLE</x:v>
      </x:c>
      <x:c r="G78" t="str">
        <x:f>XLOOKUP($A78,'Specs'!$A$2:$A$164,'Specs'!$G$2:$G$164,"")</x:f>
        <x:v>48"</x:v>
      </x:c>
      <x:c r="H78" t="str">
        <x:f>XLOOKUP($A78,'Specs'!$A$2:$A$164,'Specs'!$H$2:$H$164,"")</x:f>
        <x:v>FIRE + WIND</x:v>
      </x:c>
      <x:c r="I78" t="str">
        <x:f>XLOOKUP($A78,'Specs'!$A$2:$A$164,'Specs'!$I$2:$I$164,"")</x:f>
      </x:c>
      <x:c r="J78" t="str">
        <x:f>XLOOKUP($A78,'Specs'!$A$2:$A$164,'Specs'!$J$2:$J$164,"")</x:f>
      </x:c>
      <x:c r="K78" t="str">
        <x:f>XLOOKUP($A78,'Specs'!$A$2:$A$164,'Specs'!$K$2:$K$164,"")</x:f>
      </x:c>
      <x:c r="L78" t="str">
        <x:f>XLOOKUP($A78,'Specs'!$A$2:$A$164,'Specs'!$L$2:$L$164,"")</x:f>
      </x:c>
      <x:c r="M78" t="n">
        <x:f>XLOOKUP($A78,'Specs'!$A$2:$A$164,'Specs'!$M$2:$M$164,"")</x:f>
        <x:v>630</x:v>
      </x:c>
      <x:c r="N78" t="str">
        <x:f>XLOOKUP($A78,'Specs'!$A$2:$A$164,'Specs'!$N$2:$N$164,"")</x:f>
      </x:c>
      <x:c r="O78" t="str">
        <x:f>XLOOKUP($A78,'Specs'!$A$2:$A$164,'Specs'!$O$2:$O$164,"")</x:f>
        <x:v>ACCESSORY / ADDER</x:v>
      </x:c>
      <x:c r="P78" t="str">
        <x:f>XLOOKUP($A78,'Specs'!$A$2:$A$164,'Specs'!$P$2:$P$164,"")</x:f>
        <x:v>HIGH</x:v>
      </x:c>
      <x:c r="Q78" s="53" t="n">
        <x:f>XLOOKUP($A78,'Specs'!$A$2:$A$164,'Specs'!$Q$2:$Q$164,"")</x:f>
        <x:v>1</x:v>
      </x:c>
      <x:c r="R78" s="53" t="n">
        <x:f>XLOOKUP($A78,'Specs'!$A$2:$A$164,'Specs'!$R$2:$R$164,"")</x:f>
        <x:v>1</x:v>
      </x:c>
      <x:c r="S78" t="str">
        <x:f>'Vendor Options'!A78</x:f>
        <x:v>OFFER-30A5D6060632</x:v>
      </x:c>
      <x:c r="T78" t="str">
        <x:f>'Vendor Options'!C78</x:f>
        <x:v>DK</x:v>
      </x:c>
      <x:c r="U78" t="str">
        <x:f>'Vendor Options'!D78</x:f>
        <x:v>9500A 48"</x:v>
      </x:c>
      <x:c r="V78" t="str">
        <x:f>'Vendor Options'!E78</x:f>
        <x:v>9500:M-PANIC: F+W</x:v>
      </x:c>
      <x:c r="W78" t="n">
        <x:f>'Vendor Options'!F78</x:f>
        <x:v>0</x:v>
      </x:c>
      <x:c r="X78" t="n">
        <x:f>'Vendor Options'!G78</x:f>
        <x:v>0</x:v>
      </x:c>
      <x:c r="Y78" t="n">
        <x:f>'Vendor Options'!H78</x:f>
        <x:v>0</x:v>
      </x:c>
      <x:c r="Z78" t="n">
        <x:f>'Vendor Options'!I78</x:f>
        <x:v>0</x:v>
      </x:c>
      <x:c r="AA78" s="54" t="n">
        <x:f>'Vendor Options'!J78</x:f>
        <x:v>0</x:v>
      </x:c>
      <x:c r="AB78" t="n">
        <x:f>'Vendor Options'!K78</x:f>
        <x:v>0</x:v>
      </x:c>
      <x:c r="AC78" s="57" t="n">
        <x:f>'Vendor Options'!L78</x:f>
        <x:v>0</x:v>
      </x:c>
      <x:c r="AD78" s="57" t="n">
        <x:f>'Vendor Options'!M78</x:f>
        <x:v>0</x:v>
      </x:c>
      <x:c r="AE78" s="54" t="str">
        <x:f>'Vendor Options'!N78</x:f>
      </x:c>
      <x:c r="AF78" t="str">
        <x:f>'Vendor Options'!O78</x:f>
        <x:v>USD</x:v>
      </x:c>
      <x:c r="AG78" t="str">
        <x:f>'Vendor Options'!P78</x:f>
        <x:v>UNPRICED</x:v>
      </x:c>
      <x:c r="AH78" t="str">
        <x:f>'Vendor Options'!Q78</x:f>
        <x:v>REVIEW</x:v>
      </x:c>
      <x:c r="AI78" t="str">
        <x:f>'Vendor Options'!R78</x:f>
        <x:v>MISSING_PRICE; MISSING_PART_NUMBER</x:v>
      </x:c>
      <x:c r="AJ78" t="n">
        <x:f>'Vendor Options'!S78</x:f>
        <x:v>228</x:v>
      </x:c>
    </x:row>
    <x:row r="79" ht="15" hidden="0" customHeight="1">
      <x:c r="A79" t="str">
        <x:f>'Vendor Options'!B79</x:f>
        <x:v>SPEC-0FB060D1DA6E</x:v>
      </x:c>
      <x:c r="B79" t="str">
        <x:f>XLOOKUP($A79,'Specs'!$A$2:$A$164,'Specs'!$B$2:$B$164,"")</x:f>
        <x:v>EXIT DEVICE</x:v>
      </x:c>
      <x:c r="C79" t="str">
        <x:f>XLOOKUP($A79,'Specs'!$A$2:$A$164,'Specs'!$C$2:$C$164,"")</x:f>
        <x:v>PANIC / EXIT DEVICE</x:v>
      </x:c>
      <x:c r="D79" t="str">
        <x:f>XLOOKUP($A79,'Specs'!$A$2:$A$164,'Specs'!$D$2:$D$164,"")</x:f>
        <x:v>MORTISE</x:v>
      </x:c>
      <x:c r="E79" t="str">
        <x:f>XLOOKUP($A79,'Specs'!$A$2:$A$164,'Specs'!$E$2:$E$164,"")</x:f>
        <x:v>EXIT DEVICE</x:v>
      </x:c>
      <x:c r="F79" t="str">
        <x:f>XLOOKUP($A79,'Specs'!$A$2:$A$164,'Specs'!$F$2:$F$164,"")</x:f>
        <x:v>NOT APPLICABLE</x:v>
      </x:c>
      <x:c r="G79" t="str">
        <x:f>XLOOKUP($A79,'Specs'!$A$2:$A$164,'Specs'!$G$2:$G$164,"")</x:f>
        <x:v>48"</x:v>
      </x:c>
      <x:c r="H79" t="str">
        <x:f>XLOOKUP($A79,'Specs'!$A$2:$A$164,'Specs'!$H$2:$H$164,"")</x:f>
        <x:v>FIRE + WIND</x:v>
      </x:c>
      <x:c r="I79" t="str">
        <x:f>XLOOKUP($A79,'Specs'!$A$2:$A$164,'Specs'!$I$2:$I$164,"")</x:f>
      </x:c>
      <x:c r="J79" t="str">
        <x:f>XLOOKUP($A79,'Specs'!$A$2:$A$164,'Specs'!$J$2:$J$164,"")</x:f>
      </x:c>
      <x:c r="K79" t="str">
        <x:f>XLOOKUP($A79,'Specs'!$A$2:$A$164,'Specs'!$K$2:$K$164,"")</x:f>
      </x:c>
      <x:c r="L79" t="str">
        <x:f>XLOOKUP($A79,'Specs'!$A$2:$A$164,'Specs'!$L$2:$L$164,"")</x:f>
      </x:c>
      <x:c r="M79" t="n">
        <x:f>XLOOKUP($A79,'Specs'!$A$2:$A$164,'Specs'!$M$2:$M$164,"")</x:f>
        <x:v>630</x:v>
      </x:c>
      <x:c r="N79" t="str">
        <x:f>XLOOKUP($A79,'Specs'!$A$2:$A$164,'Specs'!$N$2:$N$164,"")</x:f>
        <x:v>ELECTRIC DOGGING</x:v>
      </x:c>
      <x:c r="O79" t="str">
        <x:f>XLOOKUP($A79,'Specs'!$A$2:$A$164,'Specs'!$O$2:$O$164,"")</x:f>
        <x:v>ACCESSORY / ADDER</x:v>
      </x:c>
      <x:c r="P79" t="str">
        <x:f>XLOOKUP($A79,'Specs'!$A$2:$A$164,'Specs'!$P$2:$P$164,"")</x:f>
        <x:v>HIGH</x:v>
      </x:c>
      <x:c r="Q79" s="53" t="n">
        <x:f>XLOOKUP($A79,'Specs'!$A$2:$A$164,'Specs'!$Q$2:$Q$164,"")</x:f>
        <x:v>1</x:v>
      </x:c>
      <x:c r="R79" s="53" t="n">
        <x:f>XLOOKUP($A79,'Specs'!$A$2:$A$164,'Specs'!$R$2:$R$164,"")</x:f>
        <x:v>1</x:v>
      </x:c>
      <x:c r="S79" t="str">
        <x:f>'Vendor Options'!A79</x:f>
        <x:v>OFFER-D801F6827414</x:v>
      </x:c>
      <x:c r="T79" t="str">
        <x:f>'Vendor Options'!C79</x:f>
        <x:v>DK</x:v>
      </x:c>
      <x:c r="U79" t="str">
        <x:f>'Vendor Options'!D79</x:f>
        <x:v>9500A 48"</x:v>
      </x:c>
      <x:c r="V79" t="str">
        <x:f>'Vendor Options'!E79</x:f>
        <x:v>9500:M-PANIC: F+W_EL</x:v>
      </x:c>
      <x:c r="W79" t="n">
        <x:f>'Vendor Options'!F79</x:f>
        <x:v>0</x:v>
      </x:c>
      <x:c r="X79" t="n">
        <x:f>'Vendor Options'!G79</x:f>
        <x:v>0</x:v>
      </x:c>
      <x:c r="Y79" t="n">
        <x:f>'Vendor Options'!H79</x:f>
        <x:v>0</x:v>
      </x:c>
      <x:c r="Z79" t="n">
        <x:f>'Vendor Options'!I79</x:f>
        <x:v>0</x:v>
      </x:c>
      <x:c r="AA79" s="54" t="n">
        <x:f>'Vendor Options'!J79</x:f>
        <x:v>0</x:v>
      </x:c>
      <x:c r="AB79" t="n">
        <x:f>'Vendor Options'!K79</x:f>
        <x:v>0</x:v>
      </x:c>
      <x:c r="AC79" s="57" t="n">
        <x:f>'Vendor Options'!L79</x:f>
        <x:v>0</x:v>
      </x:c>
      <x:c r="AD79" s="57" t="n">
        <x:f>'Vendor Options'!M79</x:f>
        <x:v>0</x:v>
      </x:c>
      <x:c r="AE79" s="54" t="str">
        <x:f>'Vendor Options'!N79</x:f>
      </x:c>
      <x:c r="AF79" t="str">
        <x:f>'Vendor Options'!O79</x:f>
        <x:v>USD</x:v>
      </x:c>
      <x:c r="AG79" t="str">
        <x:f>'Vendor Options'!P79</x:f>
        <x:v>UNPRICED</x:v>
      </x:c>
      <x:c r="AH79" t="str">
        <x:f>'Vendor Options'!Q79</x:f>
        <x:v>REVIEW</x:v>
      </x:c>
      <x:c r="AI79" t="str">
        <x:f>'Vendor Options'!R79</x:f>
        <x:v>MISSING_PRICE; MISSING_PART_NUMBER</x:v>
      </x:c>
      <x:c r="AJ79" t="n">
        <x:f>'Vendor Options'!S79</x:f>
        <x:v>229</x:v>
      </x:c>
    </x:row>
    <x:row r="80" ht="15" hidden="0" customHeight="1">
      <x:c r="A80" t="str">
        <x:f>'Vendor Options'!B80</x:f>
        <x:v>SPEC-6F1E288CFD07</x:v>
      </x:c>
      <x:c r="B80" t="str">
        <x:f>XLOOKUP($A80,'Specs'!$A$2:$A$164,'Specs'!$B$2:$B$164,"")</x:f>
        <x:v>EXIT DEVICE</x:v>
      </x:c>
      <x:c r="C80" t="str">
        <x:f>XLOOKUP($A80,'Specs'!$A$2:$A$164,'Specs'!$C$2:$C$164,"")</x:f>
        <x:v>PANIC / EXIT DEVICE</x:v>
      </x:c>
      <x:c r="D80" t="str">
        <x:f>XLOOKUP($A80,'Specs'!$A$2:$A$164,'Specs'!$D$2:$D$164,"")</x:f>
        <x:v>MORTISE</x:v>
      </x:c>
      <x:c r="E80" t="str">
        <x:f>XLOOKUP($A80,'Specs'!$A$2:$A$164,'Specs'!$E$2:$E$164,"")</x:f>
        <x:v>EXIT DEVICE</x:v>
      </x:c>
      <x:c r="F80" t="str">
        <x:f>XLOOKUP($A80,'Specs'!$A$2:$A$164,'Specs'!$F$2:$F$164,"")</x:f>
        <x:v>NOT APPLICABLE</x:v>
      </x:c>
      <x:c r="G80" t="str">
        <x:f>XLOOKUP($A80,'Specs'!$A$2:$A$164,'Specs'!$G$2:$G$164,"")</x:f>
        <x:v>48"</x:v>
      </x:c>
      <x:c r="H80" t="str">
        <x:f>XLOOKUP($A80,'Specs'!$A$2:$A$164,'Specs'!$H$2:$H$164,"")</x:f>
        <x:v>FIRE + WIND</x:v>
      </x:c>
      <x:c r="I80" t="str">
        <x:f>XLOOKUP($A80,'Specs'!$A$2:$A$164,'Specs'!$I$2:$I$164,"")</x:f>
      </x:c>
      <x:c r="J80" t="str">
        <x:f>XLOOKUP($A80,'Specs'!$A$2:$A$164,'Specs'!$J$2:$J$164,"")</x:f>
      </x:c>
      <x:c r="K80" t="str">
        <x:f>XLOOKUP($A80,'Specs'!$A$2:$A$164,'Specs'!$K$2:$K$164,"")</x:f>
      </x:c>
      <x:c r="L80" t="str">
        <x:f>XLOOKUP($A80,'Specs'!$A$2:$A$164,'Specs'!$L$2:$L$164,"")</x:f>
      </x:c>
      <x:c r="M80" t="n">
        <x:f>XLOOKUP($A80,'Specs'!$A$2:$A$164,'Specs'!$M$2:$M$164,"")</x:f>
        <x:v>630</x:v>
      </x:c>
      <x:c r="N80" t="str">
        <x:f>XLOOKUP($A80,'Specs'!$A$2:$A$164,'Specs'!$N$2:$N$164,"")</x:f>
        <x:v>MOTORIZED LATCH RETRACTION</x:v>
      </x:c>
      <x:c r="O80" t="str">
        <x:f>XLOOKUP($A80,'Specs'!$A$2:$A$164,'Specs'!$O$2:$O$164,"")</x:f>
        <x:v>ACCESSORY / ADDER</x:v>
      </x:c>
      <x:c r="P80" t="str">
        <x:f>XLOOKUP($A80,'Specs'!$A$2:$A$164,'Specs'!$P$2:$P$164,"")</x:f>
        <x:v>HIGH</x:v>
      </x:c>
      <x:c r="Q80" s="53" t="n">
        <x:f>XLOOKUP($A80,'Specs'!$A$2:$A$164,'Specs'!$Q$2:$Q$164,"")</x:f>
        <x:v>1</x:v>
      </x:c>
      <x:c r="R80" s="53" t="n">
        <x:f>XLOOKUP($A80,'Specs'!$A$2:$A$164,'Specs'!$R$2:$R$164,"")</x:f>
        <x:v>1</x:v>
      </x:c>
      <x:c r="S80" t="str">
        <x:f>'Vendor Options'!A80</x:f>
        <x:v>OFFER-D985FB53942B</x:v>
      </x:c>
      <x:c r="T80" t="str">
        <x:f>'Vendor Options'!C80</x:f>
        <x:v>DK</x:v>
      </x:c>
      <x:c r="U80" t="str">
        <x:f>'Vendor Options'!D80</x:f>
        <x:v>9500A 48"</x:v>
      </x:c>
      <x:c r="V80" t="str">
        <x:f>'Vendor Options'!E80</x:f>
        <x:v>9500:M-PANIC: F+W_MLR</x:v>
      </x:c>
      <x:c r="W80" t="n">
        <x:f>'Vendor Options'!F80</x:f>
        <x:v>0</x:v>
      </x:c>
      <x:c r="X80" t="n">
        <x:f>'Vendor Options'!G80</x:f>
        <x:v>0</x:v>
      </x:c>
      <x:c r="Y80" t="n">
        <x:f>'Vendor Options'!H80</x:f>
        <x:v>0</x:v>
      </x:c>
      <x:c r="Z80" t="n">
        <x:f>'Vendor Options'!I80</x:f>
        <x:v>0</x:v>
      </x:c>
      <x:c r="AA80" s="54" t="n">
        <x:f>'Vendor Options'!J80</x:f>
        <x:v>0</x:v>
      </x:c>
      <x:c r="AB80" t="n">
        <x:f>'Vendor Options'!K80</x:f>
        <x:v>0</x:v>
      </x:c>
      <x:c r="AC80" s="57" t="n">
        <x:f>'Vendor Options'!L80</x:f>
        <x:v>0</x:v>
      </x:c>
      <x:c r="AD80" s="57" t="n">
        <x:f>'Vendor Options'!M80</x:f>
        <x:v>0</x:v>
      </x:c>
      <x:c r="AE80" s="54" t="str">
        <x:f>'Vendor Options'!N80</x:f>
      </x:c>
      <x:c r="AF80" t="str">
        <x:f>'Vendor Options'!O80</x:f>
        <x:v>USD</x:v>
      </x:c>
      <x:c r="AG80" t="str">
        <x:f>'Vendor Options'!P80</x:f>
        <x:v>UNPRICED</x:v>
      </x:c>
      <x:c r="AH80" t="str">
        <x:f>'Vendor Options'!Q80</x:f>
        <x:v>REVIEW</x:v>
      </x:c>
      <x:c r="AI80" t="str">
        <x:f>'Vendor Options'!R80</x:f>
        <x:v>MISSING_PRICE; MISSING_PART_NUMBER</x:v>
      </x:c>
      <x:c r="AJ80" t="n">
        <x:f>'Vendor Options'!S80</x:f>
        <x:v>230</x:v>
      </x:c>
    </x:row>
    <x:row r="81" ht="15" hidden="0" customHeight="1">
      <x:c r="A81" t="str">
        <x:f>'Vendor Options'!B81</x:f>
        <x:v>SPEC-3CB1A46F231A</x:v>
      </x:c>
      <x:c r="B81" t="str">
        <x:f>XLOOKUP($A81,'Specs'!$A$2:$A$164,'Specs'!$B$2:$B$164,"")</x:f>
        <x:v>EXIT DEVICE</x:v>
      </x:c>
      <x:c r="C81" t="str">
        <x:f>XLOOKUP($A81,'Specs'!$A$2:$A$164,'Specs'!$C$2:$C$164,"")</x:f>
        <x:v>PANIC / EXIT DEVICE</x:v>
      </x:c>
      <x:c r="D81" t="str">
        <x:f>XLOOKUP($A81,'Specs'!$A$2:$A$164,'Specs'!$D$2:$D$164,"")</x:f>
        <x:v>MORTISE</x:v>
      </x:c>
      <x:c r="E81" t="str">
        <x:f>XLOOKUP($A81,'Specs'!$A$2:$A$164,'Specs'!$E$2:$E$164,"")</x:f>
        <x:v>EXIT DEVICE</x:v>
      </x:c>
      <x:c r="F81" t="str">
        <x:f>XLOOKUP($A81,'Specs'!$A$2:$A$164,'Specs'!$F$2:$F$164,"")</x:f>
        <x:v>NOT APPLICABLE</x:v>
      </x:c>
      <x:c r="G81" t="str">
        <x:f>XLOOKUP($A81,'Specs'!$A$2:$A$164,'Specs'!$G$2:$G$164,"")</x:f>
        <x:v>48"</x:v>
      </x:c>
      <x:c r="H81" t="str">
        <x:f>XLOOKUP($A81,'Specs'!$A$2:$A$164,'Specs'!$H$2:$H$164,"")</x:f>
        <x:v>FIRE</x:v>
      </x:c>
      <x:c r="I81" t="str">
        <x:f>XLOOKUP($A81,'Specs'!$A$2:$A$164,'Specs'!$I$2:$I$164,"")</x:f>
      </x:c>
      <x:c r="J81" t="str">
        <x:f>XLOOKUP($A81,'Specs'!$A$2:$A$164,'Specs'!$J$2:$J$164,"")</x:f>
      </x:c>
      <x:c r="K81" t="str">
        <x:f>XLOOKUP($A81,'Specs'!$A$2:$A$164,'Specs'!$K$2:$K$164,"")</x:f>
      </x:c>
      <x:c r="L81" t="str">
        <x:f>XLOOKUP($A81,'Specs'!$A$2:$A$164,'Specs'!$L$2:$L$164,"")</x:f>
      </x:c>
      <x:c r="M81" t="n">
        <x:f>XLOOKUP($A81,'Specs'!$A$2:$A$164,'Specs'!$M$2:$M$164,"")</x:f>
        <x:v>630</x:v>
      </x:c>
      <x:c r="N81" t="str">
        <x:f>XLOOKUP($A81,'Specs'!$A$2:$A$164,'Specs'!$N$2:$N$164,"")</x:f>
      </x:c>
      <x:c r="O81" t="str">
        <x:f>XLOOKUP($A81,'Specs'!$A$2:$A$164,'Specs'!$O$2:$O$164,"")</x:f>
        <x:v>ACCESSORY / ADDER</x:v>
      </x:c>
      <x:c r="P81" t="str">
        <x:f>XLOOKUP($A81,'Specs'!$A$2:$A$164,'Specs'!$P$2:$P$164,"")</x:f>
        <x:v>HIGH</x:v>
      </x:c>
      <x:c r="Q81" s="53" t="n">
        <x:f>XLOOKUP($A81,'Specs'!$A$2:$A$164,'Specs'!$Q$2:$Q$164,"")</x:f>
        <x:v>2</x:v>
      </x:c>
      <x:c r="R81" s="53" t="n">
        <x:f>XLOOKUP($A81,'Specs'!$A$2:$A$164,'Specs'!$R$2:$R$164,"")</x:f>
        <x:v>2</x:v>
      </x:c>
      <x:c r="S81" t="str">
        <x:f>'Vendor Options'!A81</x:f>
        <x:v>OFFER-5D9FF80D2015</x:v>
      </x:c>
      <x:c r="T81" t="str">
        <x:f>'Vendor Options'!C81</x:f>
        <x:v>DK</x:v>
      </x:c>
      <x:c r="U81" t="str">
        <x:f>'Vendor Options'!D81</x:f>
        <x:v>9500A 48"</x:v>
      </x:c>
      <x:c r="V81" t="str">
        <x:f>'Vendor Options'!E81</x:f>
        <x:v>9500:M-PANIC: F</x:v>
      </x:c>
      <x:c r="W81" t="n">
        <x:f>'Vendor Options'!F81</x:f>
        <x:v>0</x:v>
      </x:c>
      <x:c r="X81" t="n">
        <x:f>'Vendor Options'!G81</x:f>
        <x:v>0</x:v>
      </x:c>
      <x:c r="Y81" t="n">
        <x:f>'Vendor Options'!H81</x:f>
        <x:v>0</x:v>
      </x:c>
      <x:c r="Z81" t="n">
        <x:f>'Vendor Options'!I81</x:f>
        <x:v>0</x:v>
      </x:c>
      <x:c r="AA81" s="54" t="n">
        <x:f>'Vendor Options'!J81</x:f>
        <x:v>0</x:v>
      </x:c>
      <x:c r="AB81" t="n">
        <x:f>'Vendor Options'!K81</x:f>
        <x:v>0</x:v>
      </x:c>
      <x:c r="AC81" s="57" t="n">
        <x:f>'Vendor Options'!L81</x:f>
        <x:v>0</x:v>
      </x:c>
      <x:c r="AD81" s="57" t="n">
        <x:f>'Vendor Options'!M81</x:f>
        <x:v>0</x:v>
      </x:c>
      <x:c r="AE81" s="54" t="str">
        <x:f>'Vendor Options'!N81</x:f>
      </x:c>
      <x:c r="AF81" t="str">
        <x:f>'Vendor Options'!O81</x:f>
        <x:v>USD</x:v>
      </x:c>
      <x:c r="AG81" t="str">
        <x:f>'Vendor Options'!P81</x:f>
        <x:v>UNPRICED</x:v>
      </x:c>
      <x:c r="AH81" t="str">
        <x:f>'Vendor Options'!Q81</x:f>
        <x:v>REVIEW</x:v>
      </x:c>
      <x:c r="AI81" t="str">
        <x:f>'Vendor Options'!R81</x:f>
        <x:v>MISSING_PRICE; MISSING_PART_NUMBER</x:v>
      </x:c>
      <x:c r="AJ81" t="n">
        <x:f>'Vendor Options'!S81</x:f>
        <x:v>226</x:v>
      </x:c>
    </x:row>
    <x:row r="82" ht="15" hidden="0" customHeight="1">
      <x:c r="A82" t="str">
        <x:f>'Vendor Options'!B82</x:f>
        <x:v>SPEC-3CB1A46F231A</x:v>
      </x:c>
      <x:c r="B82" t="str">
        <x:f>XLOOKUP($A82,'Specs'!$A$2:$A$164,'Specs'!$B$2:$B$164,"")</x:f>
        <x:v>EXIT DEVICE</x:v>
      </x:c>
      <x:c r="C82" t="str">
        <x:f>XLOOKUP($A82,'Specs'!$A$2:$A$164,'Specs'!$C$2:$C$164,"")</x:f>
        <x:v>PANIC / EXIT DEVICE</x:v>
      </x:c>
      <x:c r="D82" t="str">
        <x:f>XLOOKUP($A82,'Specs'!$A$2:$A$164,'Specs'!$D$2:$D$164,"")</x:f>
        <x:v>MORTISE</x:v>
      </x:c>
      <x:c r="E82" t="str">
        <x:f>XLOOKUP($A82,'Specs'!$A$2:$A$164,'Specs'!$E$2:$E$164,"")</x:f>
        <x:v>EXIT DEVICE</x:v>
      </x:c>
      <x:c r="F82" t="str">
        <x:f>XLOOKUP($A82,'Specs'!$A$2:$A$164,'Specs'!$F$2:$F$164,"")</x:f>
        <x:v>NOT APPLICABLE</x:v>
      </x:c>
      <x:c r="G82" t="str">
        <x:f>XLOOKUP($A82,'Specs'!$A$2:$A$164,'Specs'!$G$2:$G$164,"")</x:f>
        <x:v>48"</x:v>
      </x:c>
      <x:c r="H82" t="str">
        <x:f>XLOOKUP($A82,'Specs'!$A$2:$A$164,'Specs'!$H$2:$H$164,"")</x:f>
        <x:v>FIRE</x:v>
      </x:c>
      <x:c r="I82" t="str">
        <x:f>XLOOKUP($A82,'Specs'!$A$2:$A$164,'Specs'!$I$2:$I$164,"")</x:f>
      </x:c>
      <x:c r="J82" t="str">
        <x:f>XLOOKUP($A82,'Specs'!$A$2:$A$164,'Specs'!$J$2:$J$164,"")</x:f>
      </x:c>
      <x:c r="K82" t="str">
        <x:f>XLOOKUP($A82,'Specs'!$A$2:$A$164,'Specs'!$K$2:$K$164,"")</x:f>
      </x:c>
      <x:c r="L82" t="str">
        <x:f>XLOOKUP($A82,'Specs'!$A$2:$A$164,'Specs'!$L$2:$L$164,"")</x:f>
      </x:c>
      <x:c r="M82" t="n">
        <x:f>XLOOKUP($A82,'Specs'!$A$2:$A$164,'Specs'!$M$2:$M$164,"")</x:f>
        <x:v>630</x:v>
      </x:c>
      <x:c r="N82" t="str">
        <x:f>XLOOKUP($A82,'Specs'!$A$2:$A$164,'Specs'!$N$2:$N$164,"")</x:f>
      </x:c>
      <x:c r="O82" t="str">
        <x:f>XLOOKUP($A82,'Specs'!$A$2:$A$164,'Specs'!$O$2:$O$164,"")</x:f>
        <x:v>ACCESSORY / ADDER</x:v>
      </x:c>
      <x:c r="P82" t="str">
        <x:f>XLOOKUP($A82,'Specs'!$A$2:$A$164,'Specs'!$P$2:$P$164,"")</x:f>
        <x:v>HIGH</x:v>
      </x:c>
      <x:c r="Q82" s="53" t="n">
        <x:f>XLOOKUP($A82,'Specs'!$A$2:$A$164,'Specs'!$Q$2:$Q$164,"")</x:f>
        <x:v>2</x:v>
      </x:c>
      <x:c r="R82" s="53" t="n">
        <x:f>XLOOKUP($A82,'Specs'!$A$2:$A$164,'Specs'!$R$2:$R$164,"")</x:f>
        <x:v>2</x:v>
      </x:c>
      <x:c r="S82" t="str">
        <x:f>'Vendor Options'!A82</x:f>
        <x:v>OFFER-A792FD009CF0</x:v>
      </x:c>
      <x:c r="T82" t="str">
        <x:f>'Vendor Options'!C82</x:f>
        <x:v>PHG</x:v>
      </x:c>
      <x:c r="U82" t="str">
        <x:f>'Vendor Options'!D82</x:f>
        <x:v>9800-48"</x:v>
      </x:c>
      <x:c r="V82" t="str">
        <x:f>'Vendor Options'!E82</x:f>
        <x:v>48" MORTISE PANIC</x:v>
      </x:c>
      <x:c r="W82" t="n">
        <x:f>'Vendor Options'!F82</x:f>
        <x:v>0</x:v>
      </x:c>
      <x:c r="X82" t="n">
        <x:f>'Vendor Options'!G82</x:f>
        <x:v>0</x:v>
      </x:c>
      <x:c r="Y82" t="n">
        <x:f>'Vendor Options'!H82</x:f>
        <x:v>0</x:v>
      </x:c>
      <x:c r="Z82" t="str">
        <x:f>'Vendor Options'!I82</x:f>
      </x:c>
      <x:c r="AA82" s="54" t="n">
        <x:f>'Vendor Options'!J82</x:f>
        <x:v>0</x:v>
      </x:c>
      <x:c r="AB82" t="str">
        <x:f>'Vendor Options'!K82</x:f>
      </x:c>
      <x:c r="AC82" s="57" t="n">
        <x:f>'Vendor Options'!L82</x:f>
        <x:v>0</x:v>
      </x:c>
      <x:c r="AD82" s="57" t="n">
        <x:f>'Vendor Options'!M82</x:f>
        <x:v>0</x:v>
      </x:c>
      <x:c r="AE82" s="54" t="str">
        <x:f>'Vendor Options'!N82</x:f>
      </x:c>
      <x:c r="AF82" t="str">
        <x:f>'Vendor Options'!O82</x:f>
        <x:v>USD</x:v>
      </x:c>
      <x:c r="AG82" t="str">
        <x:f>'Vendor Options'!P82</x:f>
        <x:v>UNPRICED</x:v>
      </x:c>
      <x:c r="AH82" t="str">
        <x:f>'Vendor Options'!Q82</x:f>
        <x:v>REVIEW</x:v>
      </x:c>
      <x:c r="AI82" t="str">
        <x:f>'Vendor Options'!R82</x:f>
        <x:v>MISSING_PRICE; MISSING_PART_NUMBER</x:v>
      </x:c>
      <x:c r="AJ82" t="n">
        <x:f>'Vendor Options'!S82</x:f>
        <x:v>208</x:v>
      </x:c>
    </x:row>
    <x:row r="83" ht="15" hidden="0" customHeight="1">
      <x:c r="A83" t="str">
        <x:f>'Vendor Options'!B83</x:f>
        <x:v>SPEC-9EB7474E88A1</x:v>
      </x:c>
      <x:c r="B83" t="str">
        <x:f>XLOOKUP($A83,'Specs'!$A$2:$A$164,'Specs'!$B$2:$B$164,"")</x:f>
        <x:v>EXIT DEVICE</x:v>
      </x:c>
      <x:c r="C83" t="str">
        <x:f>XLOOKUP($A83,'Specs'!$A$2:$A$164,'Specs'!$C$2:$C$164,"")</x:f>
        <x:v>PANIC / EXIT DEVICE</x:v>
      </x:c>
      <x:c r="D83" t="str">
        <x:f>XLOOKUP($A83,'Specs'!$A$2:$A$164,'Specs'!$D$2:$D$164,"")</x:f>
        <x:v>MORTISE</x:v>
      </x:c>
      <x:c r="E83" t="str">
        <x:f>XLOOKUP($A83,'Specs'!$A$2:$A$164,'Specs'!$E$2:$E$164,"")</x:f>
        <x:v>EXIT DEVICE</x:v>
      </x:c>
      <x:c r="F83" t="str">
        <x:f>XLOOKUP($A83,'Specs'!$A$2:$A$164,'Specs'!$F$2:$F$164,"")</x:f>
        <x:v>NOT APPLICABLE</x:v>
      </x:c>
      <x:c r="G83" t="str">
        <x:f>XLOOKUP($A83,'Specs'!$A$2:$A$164,'Specs'!$G$2:$G$164,"")</x:f>
        <x:v>48"</x:v>
      </x:c>
      <x:c r="H83" t="str">
        <x:f>XLOOKUP($A83,'Specs'!$A$2:$A$164,'Specs'!$H$2:$H$164,"")</x:f>
        <x:v>PANIC</x:v>
      </x:c>
      <x:c r="I83" t="str">
        <x:f>XLOOKUP($A83,'Specs'!$A$2:$A$164,'Specs'!$I$2:$I$164,"")</x:f>
      </x:c>
      <x:c r="J83" t="str">
        <x:f>XLOOKUP($A83,'Specs'!$A$2:$A$164,'Specs'!$J$2:$J$164,"")</x:f>
      </x:c>
      <x:c r="K83" t="str">
        <x:f>XLOOKUP($A83,'Specs'!$A$2:$A$164,'Specs'!$K$2:$K$164,"")</x:f>
      </x:c>
      <x:c r="L83" t="str">
        <x:f>XLOOKUP($A83,'Specs'!$A$2:$A$164,'Specs'!$L$2:$L$164,"")</x:f>
      </x:c>
      <x:c r="M83" t="n">
        <x:f>XLOOKUP($A83,'Specs'!$A$2:$A$164,'Specs'!$M$2:$M$164,"")</x:f>
        <x:v>628</x:v>
      </x:c>
      <x:c r="N83" t="str">
        <x:f>XLOOKUP($A83,'Specs'!$A$2:$A$164,'Specs'!$N$2:$N$164,"")</x:f>
      </x:c>
      <x:c r="O83" t="str">
        <x:f>XLOOKUP($A83,'Specs'!$A$2:$A$164,'Specs'!$O$2:$O$164,"")</x:f>
      </x:c>
      <x:c r="P83" t="str">
        <x:f>XLOOKUP($A83,'Specs'!$A$2:$A$164,'Specs'!$P$2:$P$164,"")</x:f>
        <x:v>HIGH</x:v>
      </x:c>
      <x:c r="Q83" s="53" t="n">
        <x:f>XLOOKUP($A83,'Specs'!$A$2:$A$164,'Specs'!$Q$2:$Q$164,"")</x:f>
        <x:v>1</x:v>
      </x:c>
      <x:c r="R83" s="53" t="n">
        <x:f>XLOOKUP($A83,'Specs'!$A$2:$A$164,'Specs'!$R$2:$R$164,"")</x:f>
        <x:v>1</x:v>
      </x:c>
      <x:c r="S83" t="str">
        <x:f>'Vendor Options'!A83</x:f>
        <x:v>OFFER-83A8E7594FD2</x:v>
      </x:c>
      <x:c r="T83" t="str">
        <x:f>'Vendor Options'!C83</x:f>
        <x:v>PHI</x:v>
      </x:c>
      <x:c r="U83" t="str">
        <x:f>'Vendor Options'!D83</x:f>
        <x:v>2300 48"</x:v>
      </x:c>
      <x:c r="V83" t="str">
        <x:f>'Vendor Options'!E83</x:f>
        <x:v>2300:M-PANIC: NR</x:v>
      </x:c>
      <x:c r="W83" t="n">
        <x:f>'Vendor Options'!F83</x:f>
        <x:v>0</x:v>
      </x:c>
      <x:c r="X83" t="n">
        <x:f>'Vendor Options'!G83</x:f>
        <x:v>0</x:v>
      </x:c>
      <x:c r="Y83" t="n">
        <x:f>'Vendor Options'!H83</x:f>
        <x:v>0</x:v>
      </x:c>
      <x:c r="Z83" t="n">
        <x:f>'Vendor Options'!I83</x:f>
        <x:v>0</x:v>
      </x:c>
      <x:c r="AA83" s="54" t="n">
        <x:f>'Vendor Options'!J83</x:f>
        <x:v>4860</x:v>
      </x:c>
      <x:c r="AB83" t="str">
        <x:f>'Vendor Options'!K83</x:f>
        <x:v>50/70</x:v>
      </x:c>
      <x:c r="AC83" s="57" t="n">
        <x:f>'Vendor Options'!L83</x:f>
        <x:v>0.5</x:v>
      </x:c>
      <x:c r="AD83" s="57" t="n">
        <x:f>'Vendor Options'!M83</x:f>
        <x:v>0.7</x:v>
      </x:c>
      <x:c r="AE83" s="54" t="n">
        <x:f>'Vendor Options'!N83</x:f>
        <x:v>729.0000000000001</x:v>
      </x:c>
      <x:c r="AF83" t="str">
        <x:f>'Vendor Options'!O83</x:f>
        <x:v>USD</x:v>
      </x:c>
      <x:c r="AG83" t="str">
        <x:f>'Vendor Options'!P83</x:f>
        <x:v>PRICED</x:v>
      </x:c>
      <x:c r="AH83" t="str">
        <x:f>'Vendor Options'!Q83</x:f>
        <x:v>REVIEW</x:v>
      </x:c>
      <x:c r="AI83" t="str">
        <x:f>'Vendor Options'!R83</x:f>
        <x:v>MISSING_PART_NUMBER</x:v>
      </x:c>
      <x:c r="AJ83" t="n">
        <x:f>'Vendor Options'!S83</x:f>
        <x:v>255</x:v>
      </x:c>
    </x:row>
    <x:row r="84" ht="15" hidden="0" customHeight="1">
      <x:c r="A84" t="str">
        <x:f>'Vendor Options'!B84</x:f>
        <x:v>SPEC-7A7EA96B996C</x:v>
      </x:c>
      <x:c r="B84" t="str">
        <x:f>XLOOKUP($A84,'Specs'!$A$2:$A$164,'Specs'!$B$2:$B$164,"")</x:f>
        <x:v>EXIT DEVICE</x:v>
      </x:c>
      <x:c r="C84" t="str">
        <x:f>XLOOKUP($A84,'Specs'!$A$2:$A$164,'Specs'!$C$2:$C$164,"")</x:f>
        <x:v>PANIC / EXIT DEVICE</x:v>
      </x:c>
      <x:c r="D84" t="str">
        <x:f>XLOOKUP($A84,'Specs'!$A$2:$A$164,'Specs'!$D$2:$D$164,"")</x:f>
        <x:v>MORTISE</x:v>
      </x:c>
      <x:c r="E84" t="str">
        <x:f>XLOOKUP($A84,'Specs'!$A$2:$A$164,'Specs'!$E$2:$E$164,"")</x:f>
        <x:v>EXIT DEVICE</x:v>
      </x:c>
      <x:c r="F84" t="str">
        <x:f>XLOOKUP($A84,'Specs'!$A$2:$A$164,'Specs'!$F$2:$F$164,"")</x:f>
        <x:v>NOT APPLICABLE</x:v>
      </x:c>
      <x:c r="G84" t="str">
        <x:f>XLOOKUP($A84,'Specs'!$A$2:$A$164,'Specs'!$G$2:$G$164,"")</x:f>
        <x:v>48"</x:v>
      </x:c>
      <x:c r="H84" t="str">
        <x:f>XLOOKUP($A84,'Specs'!$A$2:$A$164,'Specs'!$H$2:$H$164,"")</x:f>
        <x:v>PANIC</x:v>
      </x:c>
      <x:c r="I84" t="str">
        <x:f>XLOOKUP($A84,'Specs'!$A$2:$A$164,'Specs'!$I$2:$I$164,"")</x:f>
      </x:c>
      <x:c r="J84" t="str">
        <x:f>XLOOKUP($A84,'Specs'!$A$2:$A$164,'Specs'!$J$2:$J$164,"")</x:f>
      </x:c>
      <x:c r="K84" t="str">
        <x:f>XLOOKUP($A84,'Specs'!$A$2:$A$164,'Specs'!$K$2:$K$164,"")</x:f>
      </x:c>
      <x:c r="L84" t="str">
        <x:f>XLOOKUP($A84,'Specs'!$A$2:$A$164,'Specs'!$L$2:$L$164,"")</x:f>
      </x:c>
      <x:c r="M84" t="n">
        <x:f>XLOOKUP($A84,'Specs'!$A$2:$A$164,'Specs'!$M$2:$M$164,"")</x:f>
        <x:v>630</x:v>
      </x:c>
      <x:c r="N84" t="str">
        <x:f>XLOOKUP($A84,'Specs'!$A$2:$A$164,'Specs'!$N$2:$N$164,"")</x:f>
      </x:c>
      <x:c r="O84" t="str">
        <x:f>XLOOKUP($A84,'Specs'!$A$2:$A$164,'Specs'!$O$2:$O$164,"")</x:f>
      </x:c>
      <x:c r="P84" t="str">
        <x:f>XLOOKUP($A84,'Specs'!$A$2:$A$164,'Specs'!$P$2:$P$164,"")</x:f>
        <x:v>HIGH</x:v>
      </x:c>
      <x:c r="Q84" s="53" t="n">
        <x:f>XLOOKUP($A84,'Specs'!$A$2:$A$164,'Specs'!$Q$2:$Q$164,"")</x:f>
        <x:v>3</x:v>
      </x:c>
      <x:c r="R84" s="53" t="n">
        <x:f>XLOOKUP($A84,'Specs'!$A$2:$A$164,'Specs'!$R$2:$R$164,"")</x:f>
        <x:v>3</x:v>
      </x:c>
      <x:c r="S84" t="str">
        <x:f>'Vendor Options'!A84</x:f>
        <x:v>OFFER-B19C78D8E403</x:v>
      </x:c>
      <x:c r="T84" t="str">
        <x:f>'Vendor Options'!C84</x:f>
        <x:v>DK</x:v>
      </x:c>
      <x:c r="U84" t="str">
        <x:f>'Vendor Options'!D84</x:f>
        <x:v>9500A 48"</x:v>
      </x:c>
      <x:c r="V84" t="str">
        <x:f>'Vendor Options'!E84</x:f>
        <x:v>9500:M-PANIC: NR</x:v>
      </x:c>
      <x:c r="W84" t="n">
        <x:f>'Vendor Options'!F84</x:f>
        <x:v>0</x:v>
      </x:c>
      <x:c r="X84" t="n">
        <x:f>'Vendor Options'!G84</x:f>
        <x:v>0</x:v>
      </x:c>
      <x:c r="Y84" t="n">
        <x:f>'Vendor Options'!H84</x:f>
        <x:v>0</x:v>
      </x:c>
      <x:c r="Z84" t="n">
        <x:f>'Vendor Options'!I84</x:f>
        <x:v>0</x:v>
      </x:c>
      <x:c r="AA84" s="54" t="n">
        <x:f>'Vendor Options'!J84</x:f>
        <x:v>0</x:v>
      </x:c>
      <x:c r="AB84" t="n">
        <x:f>'Vendor Options'!K84</x:f>
        <x:v>0</x:v>
      </x:c>
      <x:c r="AC84" s="57" t="n">
        <x:f>'Vendor Options'!L84</x:f>
        <x:v>0</x:v>
      </x:c>
      <x:c r="AD84" s="57" t="n">
        <x:f>'Vendor Options'!M84</x:f>
        <x:v>0</x:v>
      </x:c>
      <x:c r="AE84" s="54" t="str">
        <x:f>'Vendor Options'!N84</x:f>
      </x:c>
      <x:c r="AF84" t="str">
        <x:f>'Vendor Options'!O84</x:f>
        <x:v>USD</x:v>
      </x:c>
      <x:c r="AG84" t="str">
        <x:f>'Vendor Options'!P84</x:f>
        <x:v>UNPRICED</x:v>
      </x:c>
      <x:c r="AH84" t="str">
        <x:f>'Vendor Options'!Q84</x:f>
        <x:v>REVIEW</x:v>
      </x:c>
      <x:c r="AI84" t="str">
        <x:f>'Vendor Options'!R84</x:f>
        <x:v>MISSING_PRICE; MISSING_PART_NUMBER</x:v>
      </x:c>
      <x:c r="AJ84" t="n">
        <x:f>'Vendor Options'!S84</x:f>
        <x:v>225</x:v>
      </x:c>
    </x:row>
    <x:row r="85" ht="15" hidden="0" customHeight="1">
      <x:c r="A85" t="str">
        <x:f>'Vendor Options'!B85</x:f>
        <x:v>SPEC-7A7EA96B996C</x:v>
      </x:c>
      <x:c r="B85" t="str">
        <x:f>XLOOKUP($A85,'Specs'!$A$2:$A$164,'Specs'!$B$2:$B$164,"")</x:f>
        <x:v>EXIT DEVICE</x:v>
      </x:c>
      <x:c r="C85" t="str">
        <x:f>XLOOKUP($A85,'Specs'!$A$2:$A$164,'Specs'!$C$2:$C$164,"")</x:f>
        <x:v>PANIC / EXIT DEVICE</x:v>
      </x:c>
      <x:c r="D85" t="str">
        <x:f>XLOOKUP($A85,'Specs'!$A$2:$A$164,'Specs'!$D$2:$D$164,"")</x:f>
        <x:v>MORTISE</x:v>
      </x:c>
      <x:c r="E85" t="str">
        <x:f>XLOOKUP($A85,'Specs'!$A$2:$A$164,'Specs'!$E$2:$E$164,"")</x:f>
        <x:v>EXIT DEVICE</x:v>
      </x:c>
      <x:c r="F85" t="str">
        <x:f>XLOOKUP($A85,'Specs'!$A$2:$A$164,'Specs'!$F$2:$F$164,"")</x:f>
        <x:v>NOT APPLICABLE</x:v>
      </x:c>
      <x:c r="G85" t="str">
        <x:f>XLOOKUP($A85,'Specs'!$A$2:$A$164,'Specs'!$G$2:$G$164,"")</x:f>
        <x:v>48"</x:v>
      </x:c>
      <x:c r="H85" t="str">
        <x:f>XLOOKUP($A85,'Specs'!$A$2:$A$164,'Specs'!$H$2:$H$164,"")</x:f>
        <x:v>PANIC</x:v>
      </x:c>
      <x:c r="I85" t="str">
        <x:f>XLOOKUP($A85,'Specs'!$A$2:$A$164,'Specs'!$I$2:$I$164,"")</x:f>
      </x:c>
      <x:c r="J85" t="str">
        <x:f>XLOOKUP($A85,'Specs'!$A$2:$A$164,'Specs'!$J$2:$J$164,"")</x:f>
      </x:c>
      <x:c r="K85" t="str">
        <x:f>XLOOKUP($A85,'Specs'!$A$2:$A$164,'Specs'!$K$2:$K$164,"")</x:f>
      </x:c>
      <x:c r="L85" t="str">
        <x:f>XLOOKUP($A85,'Specs'!$A$2:$A$164,'Specs'!$L$2:$L$164,"")</x:f>
      </x:c>
      <x:c r="M85" t="n">
        <x:f>XLOOKUP($A85,'Specs'!$A$2:$A$164,'Specs'!$M$2:$M$164,"")</x:f>
        <x:v>630</x:v>
      </x:c>
      <x:c r="N85" t="str">
        <x:f>XLOOKUP($A85,'Specs'!$A$2:$A$164,'Specs'!$N$2:$N$164,"")</x:f>
      </x:c>
      <x:c r="O85" t="str">
        <x:f>XLOOKUP($A85,'Specs'!$A$2:$A$164,'Specs'!$O$2:$O$164,"")</x:f>
      </x:c>
      <x:c r="P85" t="str">
        <x:f>XLOOKUP($A85,'Specs'!$A$2:$A$164,'Specs'!$P$2:$P$164,"")</x:f>
        <x:v>HIGH</x:v>
      </x:c>
      <x:c r="Q85" s="53" t="n">
        <x:f>XLOOKUP($A85,'Specs'!$A$2:$A$164,'Specs'!$Q$2:$Q$164,"")</x:f>
        <x:v>3</x:v>
      </x:c>
      <x:c r="R85" s="53" t="n">
        <x:f>XLOOKUP($A85,'Specs'!$A$2:$A$164,'Specs'!$R$2:$R$164,"")</x:f>
        <x:v>3</x:v>
      </x:c>
      <x:c r="S85" t="str">
        <x:f>'Vendor Options'!A85</x:f>
        <x:v>OFFER-B57E59305E04</x:v>
      </x:c>
      <x:c r="T85" t="str">
        <x:f>'Vendor Options'!C85</x:f>
        <x:v>PHG</x:v>
      </x:c>
      <x:c r="U85" t="str">
        <x:f>'Vendor Options'!D85</x:f>
        <x:v>9800-48"</x:v>
      </x:c>
      <x:c r="V85" t="str">
        <x:f>'Vendor Options'!E85</x:f>
        <x:v>48" MORTISE PANIC</x:v>
      </x:c>
      <x:c r="W85" t="n">
        <x:f>'Vendor Options'!F85</x:f>
        <x:v>0</x:v>
      </x:c>
      <x:c r="X85" t="n">
        <x:f>'Vendor Options'!G85</x:f>
        <x:v>0</x:v>
      </x:c>
      <x:c r="Y85" t="n">
        <x:f>'Vendor Options'!H85</x:f>
        <x:v>0</x:v>
      </x:c>
      <x:c r="Z85" t="str">
        <x:f>'Vendor Options'!I85</x:f>
      </x:c>
      <x:c r="AA85" s="54" t="n">
        <x:f>'Vendor Options'!J85</x:f>
        <x:v>0</x:v>
      </x:c>
      <x:c r="AB85" t="str">
        <x:f>'Vendor Options'!K85</x:f>
      </x:c>
      <x:c r="AC85" s="57" t="n">
        <x:f>'Vendor Options'!L85</x:f>
        <x:v>0</x:v>
      </x:c>
      <x:c r="AD85" s="57" t="n">
        <x:f>'Vendor Options'!M85</x:f>
        <x:v>0</x:v>
      </x:c>
      <x:c r="AE85" s="54" t="str">
        <x:f>'Vendor Options'!N85</x:f>
      </x:c>
      <x:c r="AF85" t="str">
        <x:f>'Vendor Options'!O85</x:f>
        <x:v>USD</x:v>
      </x:c>
      <x:c r="AG85" t="str">
        <x:f>'Vendor Options'!P85</x:f>
        <x:v>UNPRICED</x:v>
      </x:c>
      <x:c r="AH85" t="str">
        <x:f>'Vendor Options'!Q85</x:f>
        <x:v>REVIEW</x:v>
      </x:c>
      <x:c r="AI85" t="str">
        <x:f>'Vendor Options'!R85</x:f>
        <x:v>MISSING_PRICE; MISSING_PART_NUMBER</x:v>
      </x:c>
      <x:c r="AJ85" t="n">
        <x:f>'Vendor Options'!S85</x:f>
        <x:v>207</x:v>
      </x:c>
    </x:row>
    <x:row r="86" ht="15" hidden="0" customHeight="1">
      <x:c r="A86" t="str">
        <x:f>'Vendor Options'!B86</x:f>
        <x:v>SPEC-7A7EA96B996C</x:v>
      </x:c>
      <x:c r="B86" t="str">
        <x:f>XLOOKUP($A86,'Specs'!$A$2:$A$164,'Specs'!$B$2:$B$164,"")</x:f>
        <x:v>EXIT DEVICE</x:v>
      </x:c>
      <x:c r="C86" t="str">
        <x:f>XLOOKUP($A86,'Specs'!$A$2:$A$164,'Specs'!$C$2:$C$164,"")</x:f>
        <x:v>PANIC / EXIT DEVICE</x:v>
      </x:c>
      <x:c r="D86" t="str">
        <x:f>XLOOKUP($A86,'Specs'!$A$2:$A$164,'Specs'!$D$2:$D$164,"")</x:f>
        <x:v>MORTISE</x:v>
      </x:c>
      <x:c r="E86" t="str">
        <x:f>XLOOKUP($A86,'Specs'!$A$2:$A$164,'Specs'!$E$2:$E$164,"")</x:f>
        <x:v>EXIT DEVICE</x:v>
      </x:c>
      <x:c r="F86" t="str">
        <x:f>XLOOKUP($A86,'Specs'!$A$2:$A$164,'Specs'!$F$2:$F$164,"")</x:f>
        <x:v>NOT APPLICABLE</x:v>
      </x:c>
      <x:c r="G86" t="str">
        <x:f>XLOOKUP($A86,'Specs'!$A$2:$A$164,'Specs'!$G$2:$G$164,"")</x:f>
        <x:v>48"</x:v>
      </x:c>
      <x:c r="H86" t="str">
        <x:f>XLOOKUP($A86,'Specs'!$A$2:$A$164,'Specs'!$H$2:$H$164,"")</x:f>
        <x:v>PANIC</x:v>
      </x:c>
      <x:c r="I86" t="str">
        <x:f>XLOOKUP($A86,'Specs'!$A$2:$A$164,'Specs'!$I$2:$I$164,"")</x:f>
      </x:c>
      <x:c r="J86" t="str">
        <x:f>XLOOKUP($A86,'Specs'!$A$2:$A$164,'Specs'!$J$2:$J$164,"")</x:f>
      </x:c>
      <x:c r="K86" t="str">
        <x:f>XLOOKUP($A86,'Specs'!$A$2:$A$164,'Specs'!$K$2:$K$164,"")</x:f>
      </x:c>
      <x:c r="L86" t="str">
        <x:f>XLOOKUP($A86,'Specs'!$A$2:$A$164,'Specs'!$L$2:$L$164,"")</x:f>
      </x:c>
      <x:c r="M86" t="n">
        <x:f>XLOOKUP($A86,'Specs'!$A$2:$A$164,'Specs'!$M$2:$M$164,"")</x:f>
        <x:v>630</x:v>
      </x:c>
      <x:c r="N86" t="str">
        <x:f>XLOOKUP($A86,'Specs'!$A$2:$A$164,'Specs'!$N$2:$N$164,"")</x:f>
      </x:c>
      <x:c r="O86" t="str">
        <x:f>XLOOKUP($A86,'Specs'!$A$2:$A$164,'Specs'!$O$2:$O$164,"")</x:f>
      </x:c>
      <x:c r="P86" t="str">
        <x:f>XLOOKUP($A86,'Specs'!$A$2:$A$164,'Specs'!$P$2:$P$164,"")</x:f>
        <x:v>HIGH</x:v>
      </x:c>
      <x:c r="Q86" s="53" t="n">
        <x:f>XLOOKUP($A86,'Specs'!$A$2:$A$164,'Specs'!$Q$2:$Q$164,"")</x:f>
        <x:v>3</x:v>
      </x:c>
      <x:c r="R86" s="53" t="n">
        <x:f>XLOOKUP($A86,'Specs'!$A$2:$A$164,'Specs'!$R$2:$R$164,"")</x:f>
        <x:v>3</x:v>
      </x:c>
      <x:c r="S86" t="str">
        <x:f>'Vendor Options'!A86</x:f>
        <x:v>OFFER-1AE0A68CDFA0</x:v>
      </x:c>
      <x:c r="T86" t="str">
        <x:f>'Vendor Options'!C86</x:f>
        <x:v>PHI</x:v>
      </x:c>
      <x:c r="U86" t="str">
        <x:f>'Vendor Options'!D86</x:f>
        <x:v>2300 48"</x:v>
      </x:c>
      <x:c r="V86" t="str">
        <x:f>'Vendor Options'!E86</x:f>
        <x:v>2300:M-PANIC: NR</x:v>
      </x:c>
      <x:c r="W86" t="n">
        <x:f>'Vendor Options'!F86</x:f>
        <x:v>0</x:v>
      </x:c>
      <x:c r="X86" t="n">
        <x:f>'Vendor Options'!G86</x:f>
        <x:v>0</x:v>
      </x:c>
      <x:c r="Y86" t="n">
        <x:f>'Vendor Options'!H86</x:f>
        <x:v>0</x:v>
      </x:c>
      <x:c r="Z86" t="n">
        <x:f>'Vendor Options'!I86</x:f>
        <x:v>0</x:v>
      </x:c>
      <x:c r="AA86" s="54" t="n">
        <x:f>'Vendor Options'!J86</x:f>
        <x:v>4860</x:v>
      </x:c>
      <x:c r="AB86" t="str">
        <x:f>'Vendor Options'!K86</x:f>
        <x:v>50/70</x:v>
      </x:c>
      <x:c r="AC86" s="57" t="n">
        <x:f>'Vendor Options'!L86</x:f>
        <x:v>0.5</x:v>
      </x:c>
      <x:c r="AD86" s="57" t="n">
        <x:f>'Vendor Options'!M86</x:f>
        <x:v>0.7</x:v>
      </x:c>
      <x:c r="AE86" s="54" t="n">
        <x:f>'Vendor Options'!N86</x:f>
        <x:v>729.0000000000001</x:v>
      </x:c>
      <x:c r="AF86" t="str">
        <x:f>'Vendor Options'!O86</x:f>
        <x:v>USD</x:v>
      </x:c>
      <x:c r="AG86" t="str">
        <x:f>'Vendor Options'!P86</x:f>
        <x:v>PRICED</x:v>
      </x:c>
      <x:c r="AH86" t="str">
        <x:f>'Vendor Options'!Q86</x:f>
        <x:v>REVIEW</x:v>
      </x:c>
      <x:c r="AI86" t="str">
        <x:f>'Vendor Options'!R86</x:f>
        <x:v>MISSING_PART_NUMBER</x:v>
      </x:c>
      <x:c r="AJ86" t="n">
        <x:f>'Vendor Options'!S86</x:f>
        <x:v>240</x:v>
      </x:c>
    </x:row>
    <x:row r="87" ht="15" hidden="0" customHeight="1">
      <x:c r="A87" t="str">
        <x:f>'Vendor Options'!B87</x:f>
        <x:v>SPEC-37236328FE24</x:v>
      </x:c>
      <x:c r="B87" t="str">
        <x:f>XLOOKUP($A87,'Specs'!$A$2:$A$164,'Specs'!$B$2:$B$164,"")</x:f>
        <x:v>EXIT DEVICE</x:v>
      </x:c>
      <x:c r="C87" t="str">
        <x:f>XLOOKUP($A87,'Specs'!$A$2:$A$164,'Specs'!$C$2:$C$164,"")</x:f>
        <x:v>PANIC / EXIT DEVICE</x:v>
      </x:c>
      <x:c r="D87" t="str">
        <x:f>XLOOKUP($A87,'Specs'!$A$2:$A$164,'Specs'!$D$2:$D$164,"")</x:f>
        <x:v>MORTISE</x:v>
      </x:c>
      <x:c r="E87" t="str">
        <x:f>XLOOKUP($A87,'Specs'!$A$2:$A$164,'Specs'!$E$2:$E$164,"")</x:f>
        <x:v>EXIT DEVICE</x:v>
      </x:c>
      <x:c r="F87" t="str">
        <x:f>XLOOKUP($A87,'Specs'!$A$2:$A$164,'Specs'!$F$2:$F$164,"")</x:f>
        <x:v>NOT APPLICABLE</x:v>
      </x:c>
      <x:c r="G87" t="str">
        <x:f>XLOOKUP($A87,'Specs'!$A$2:$A$164,'Specs'!$G$2:$G$164,"")</x:f>
        <x:v>48"</x:v>
      </x:c>
      <x:c r="H87" t="str">
        <x:f>XLOOKUP($A87,'Specs'!$A$2:$A$164,'Specs'!$H$2:$H$164,"")</x:f>
        <x:v>TDI</x:v>
      </x:c>
      <x:c r="I87" t="str">
        <x:f>XLOOKUP($A87,'Specs'!$A$2:$A$164,'Specs'!$I$2:$I$164,"")</x:f>
      </x:c>
      <x:c r="J87" t="str">
        <x:f>XLOOKUP($A87,'Specs'!$A$2:$A$164,'Specs'!$J$2:$J$164,"")</x:f>
      </x:c>
      <x:c r="K87" t="str">
        <x:f>XLOOKUP($A87,'Specs'!$A$2:$A$164,'Specs'!$K$2:$K$164,"")</x:f>
      </x:c>
      <x:c r="L87" t="str">
        <x:f>XLOOKUP($A87,'Specs'!$A$2:$A$164,'Specs'!$L$2:$L$164,"")</x:f>
      </x:c>
      <x:c r="M87" t="n">
        <x:f>XLOOKUP($A87,'Specs'!$A$2:$A$164,'Specs'!$M$2:$M$164,"")</x:f>
        <x:v>630</x:v>
      </x:c>
      <x:c r="N87" t="str">
        <x:f>XLOOKUP($A87,'Specs'!$A$2:$A$164,'Specs'!$N$2:$N$164,"")</x:f>
      </x:c>
      <x:c r="O87" t="str">
        <x:f>XLOOKUP($A87,'Specs'!$A$2:$A$164,'Specs'!$O$2:$O$164,"")</x:f>
        <x:v>ACCESSORY / ADDER</x:v>
      </x:c>
      <x:c r="P87" t="str">
        <x:f>XLOOKUP($A87,'Specs'!$A$2:$A$164,'Specs'!$P$2:$P$164,"")</x:f>
        <x:v>HIGH</x:v>
      </x:c>
      <x:c r="Q87" s="53" t="n">
        <x:f>XLOOKUP($A87,'Specs'!$A$2:$A$164,'Specs'!$Q$2:$Q$164,"")</x:f>
        <x:v>1</x:v>
      </x:c>
      <x:c r="R87" s="53" t="n">
        <x:f>XLOOKUP($A87,'Specs'!$A$2:$A$164,'Specs'!$R$2:$R$164,"")</x:f>
        <x:v>1</x:v>
      </x:c>
      <x:c r="S87" t="str">
        <x:f>'Vendor Options'!A87</x:f>
        <x:v>OFFER-2C8B47DA9D13</x:v>
      </x:c>
      <x:c r="T87" t="str">
        <x:f>'Vendor Options'!C87</x:f>
        <x:v>PHG</x:v>
      </x:c>
      <x:c r="U87" t="str">
        <x:f>'Vendor Options'!D87</x:f>
        <x:v>9800-48"</x:v>
      </x:c>
      <x:c r="V87" t="str">
        <x:f>'Vendor Options'!E87</x:f>
        <x:v>48" MORTISE PANIC</x:v>
      </x:c>
      <x:c r="W87" t="n">
        <x:f>'Vendor Options'!F87</x:f>
        <x:v>0</x:v>
      </x:c>
      <x:c r="X87" t="n">
        <x:f>'Vendor Options'!G87</x:f>
        <x:v>0</x:v>
      </x:c>
      <x:c r="Y87" t="n">
        <x:f>'Vendor Options'!H87</x:f>
        <x:v>0</x:v>
      </x:c>
      <x:c r="Z87" t="n">
        <x:f>'Vendor Options'!I87</x:f>
        <x:v>0</x:v>
      </x:c>
      <x:c r="AA87" s="54" t="n">
        <x:f>'Vendor Options'!J87</x:f>
        <x:v>0</x:v>
      </x:c>
      <x:c r="AB87" t="n">
        <x:f>'Vendor Options'!K87</x:f>
        <x:v>0</x:v>
      </x:c>
      <x:c r="AC87" s="57" t="n">
        <x:f>'Vendor Options'!L87</x:f>
        <x:v>0</x:v>
      </x:c>
      <x:c r="AD87" s="57" t="n">
        <x:f>'Vendor Options'!M87</x:f>
        <x:v>0</x:v>
      </x:c>
      <x:c r="AE87" s="54" t="str">
        <x:f>'Vendor Options'!N87</x:f>
      </x:c>
      <x:c r="AF87" t="str">
        <x:f>'Vendor Options'!O87</x:f>
        <x:v>USD</x:v>
      </x:c>
      <x:c r="AG87" t="str">
        <x:f>'Vendor Options'!P87</x:f>
        <x:v>UNPRICED</x:v>
      </x:c>
      <x:c r="AH87" t="str">
        <x:f>'Vendor Options'!Q87</x:f>
        <x:v>REVIEW</x:v>
      </x:c>
      <x:c r="AI87" t="str">
        <x:f>'Vendor Options'!R87</x:f>
        <x:v>MISSING_PRICE; MISSING_PART_NUMBER</x:v>
      </x:c>
      <x:c r="AJ87" t="n">
        <x:f>'Vendor Options'!S87</x:f>
        <x:v>210</x:v>
      </x:c>
    </x:row>
    <x:row r="88" ht="15" hidden="0" customHeight="1">
      <x:c r="A88" t="str">
        <x:f>'Vendor Options'!B88</x:f>
        <x:v>SPEC-5C9564109A2E</x:v>
      </x:c>
      <x:c r="B88" t="str">
        <x:f>XLOOKUP($A88,'Specs'!$A$2:$A$164,'Specs'!$B$2:$B$164,"")</x:f>
        <x:v>EXIT DEVICE</x:v>
      </x:c>
      <x:c r="C88" t="str">
        <x:f>XLOOKUP($A88,'Specs'!$A$2:$A$164,'Specs'!$C$2:$C$164,"")</x:f>
        <x:v>PANIC / EXIT DEVICE</x:v>
      </x:c>
      <x:c r="D88" t="str">
        <x:f>XLOOKUP($A88,'Specs'!$A$2:$A$164,'Specs'!$D$2:$D$164,"")</x:f>
        <x:v>MORTISE</x:v>
      </x:c>
      <x:c r="E88" t="str">
        <x:f>XLOOKUP($A88,'Specs'!$A$2:$A$164,'Specs'!$E$2:$E$164,"")</x:f>
        <x:v>EXIT DEVICE</x:v>
      </x:c>
      <x:c r="F88" t="str">
        <x:f>XLOOKUP($A88,'Specs'!$A$2:$A$164,'Specs'!$F$2:$F$164,"")</x:f>
        <x:v>NOT APPLICABLE</x:v>
      </x:c>
      <x:c r="G88" t="str">
        <x:f>XLOOKUP($A88,'Specs'!$A$2:$A$164,'Specs'!$G$2:$G$164,"")</x:f>
        <x:v>48"</x:v>
      </x:c>
      <x:c r="H88" t="str">
        <x:f>XLOOKUP($A88,'Specs'!$A$2:$A$164,'Specs'!$H$2:$H$164,"")</x:f>
        <x:v>WIND</x:v>
      </x:c>
      <x:c r="I88" t="str">
        <x:f>XLOOKUP($A88,'Specs'!$A$2:$A$164,'Specs'!$I$2:$I$164,"")</x:f>
      </x:c>
      <x:c r="J88" t="str">
        <x:f>XLOOKUP($A88,'Specs'!$A$2:$A$164,'Specs'!$J$2:$J$164,"")</x:f>
      </x:c>
      <x:c r="K88" t="str">
        <x:f>XLOOKUP($A88,'Specs'!$A$2:$A$164,'Specs'!$K$2:$K$164,"")</x:f>
      </x:c>
      <x:c r="L88" t="str">
        <x:f>XLOOKUP($A88,'Specs'!$A$2:$A$164,'Specs'!$L$2:$L$164,"")</x:f>
      </x:c>
      <x:c r="M88" t="n">
        <x:f>XLOOKUP($A88,'Specs'!$A$2:$A$164,'Specs'!$M$2:$M$164,"")</x:f>
        <x:v>630</x:v>
      </x:c>
      <x:c r="N88" t="str">
        <x:f>XLOOKUP($A88,'Specs'!$A$2:$A$164,'Specs'!$N$2:$N$164,"")</x:f>
      </x:c>
      <x:c r="O88" t="str">
        <x:f>XLOOKUP($A88,'Specs'!$A$2:$A$164,'Specs'!$O$2:$O$164,"")</x:f>
        <x:v>ACCESSORY / ADDER</x:v>
      </x:c>
      <x:c r="P88" t="str">
        <x:f>XLOOKUP($A88,'Specs'!$A$2:$A$164,'Specs'!$P$2:$P$164,"")</x:f>
        <x:v>HIGH</x:v>
      </x:c>
      <x:c r="Q88" s="53" t="n">
        <x:f>XLOOKUP($A88,'Specs'!$A$2:$A$164,'Specs'!$Q$2:$Q$164,"")</x:f>
        <x:v>2</x:v>
      </x:c>
      <x:c r="R88" s="53" t="n">
        <x:f>XLOOKUP($A88,'Specs'!$A$2:$A$164,'Specs'!$R$2:$R$164,"")</x:f>
        <x:v>2</x:v>
      </x:c>
      <x:c r="S88" t="str">
        <x:f>'Vendor Options'!A88</x:f>
        <x:v>OFFER-FE2A28A67A06</x:v>
      </x:c>
      <x:c r="T88" t="str">
        <x:f>'Vendor Options'!C88</x:f>
        <x:v>DK</x:v>
      </x:c>
      <x:c r="U88" t="str">
        <x:f>'Vendor Options'!D88</x:f>
        <x:v>9500A 48"</x:v>
      </x:c>
      <x:c r="V88" t="str">
        <x:f>'Vendor Options'!E88</x:f>
        <x:v>9500:M-PANIC: W</x:v>
      </x:c>
      <x:c r="W88" t="n">
        <x:f>'Vendor Options'!F88</x:f>
        <x:v>0</x:v>
      </x:c>
      <x:c r="X88" t="n">
        <x:f>'Vendor Options'!G88</x:f>
        <x:v>0</x:v>
      </x:c>
      <x:c r="Y88" t="n">
        <x:f>'Vendor Options'!H88</x:f>
        <x:v>0</x:v>
      </x:c>
      <x:c r="Z88" t="n">
        <x:f>'Vendor Options'!I88</x:f>
        <x:v>0</x:v>
      </x:c>
      <x:c r="AA88" s="54" t="n">
        <x:f>'Vendor Options'!J88</x:f>
        <x:v>0</x:v>
      </x:c>
      <x:c r="AB88" t="n">
        <x:f>'Vendor Options'!K88</x:f>
        <x:v>0</x:v>
      </x:c>
      <x:c r="AC88" s="57" t="n">
        <x:f>'Vendor Options'!L88</x:f>
        <x:v>0</x:v>
      </x:c>
      <x:c r="AD88" s="57" t="n">
        <x:f>'Vendor Options'!M88</x:f>
        <x:v>0</x:v>
      </x:c>
      <x:c r="AE88" s="54" t="str">
        <x:f>'Vendor Options'!N88</x:f>
      </x:c>
      <x:c r="AF88" t="str">
        <x:f>'Vendor Options'!O88</x:f>
        <x:v>USD</x:v>
      </x:c>
      <x:c r="AG88" t="str">
        <x:f>'Vendor Options'!P88</x:f>
        <x:v>UNPRICED</x:v>
      </x:c>
      <x:c r="AH88" t="str">
        <x:f>'Vendor Options'!Q88</x:f>
        <x:v>REVIEW</x:v>
      </x:c>
      <x:c r="AI88" t="str">
        <x:f>'Vendor Options'!R88</x:f>
        <x:v>MISSING_PRICE; MISSING_PART_NUMBER</x:v>
      </x:c>
      <x:c r="AJ88" t="n">
        <x:f>'Vendor Options'!S88</x:f>
        <x:v>227</x:v>
      </x:c>
    </x:row>
    <x:row r="89" ht="15" hidden="0" customHeight="1">
      <x:c r="A89" t="str">
        <x:f>'Vendor Options'!B89</x:f>
        <x:v>SPEC-5C9564109A2E</x:v>
      </x:c>
      <x:c r="B89" t="str">
        <x:f>XLOOKUP($A89,'Specs'!$A$2:$A$164,'Specs'!$B$2:$B$164,"")</x:f>
        <x:v>EXIT DEVICE</x:v>
      </x:c>
      <x:c r="C89" t="str">
        <x:f>XLOOKUP($A89,'Specs'!$A$2:$A$164,'Specs'!$C$2:$C$164,"")</x:f>
        <x:v>PANIC / EXIT DEVICE</x:v>
      </x:c>
      <x:c r="D89" t="str">
        <x:f>XLOOKUP($A89,'Specs'!$A$2:$A$164,'Specs'!$D$2:$D$164,"")</x:f>
        <x:v>MORTISE</x:v>
      </x:c>
      <x:c r="E89" t="str">
        <x:f>XLOOKUP($A89,'Specs'!$A$2:$A$164,'Specs'!$E$2:$E$164,"")</x:f>
        <x:v>EXIT DEVICE</x:v>
      </x:c>
      <x:c r="F89" t="str">
        <x:f>XLOOKUP($A89,'Specs'!$A$2:$A$164,'Specs'!$F$2:$F$164,"")</x:f>
        <x:v>NOT APPLICABLE</x:v>
      </x:c>
      <x:c r="G89" t="str">
        <x:f>XLOOKUP($A89,'Specs'!$A$2:$A$164,'Specs'!$G$2:$G$164,"")</x:f>
        <x:v>48"</x:v>
      </x:c>
      <x:c r="H89" t="str">
        <x:f>XLOOKUP($A89,'Specs'!$A$2:$A$164,'Specs'!$H$2:$H$164,"")</x:f>
        <x:v>WIND</x:v>
      </x:c>
      <x:c r="I89" t="str">
        <x:f>XLOOKUP($A89,'Specs'!$A$2:$A$164,'Specs'!$I$2:$I$164,"")</x:f>
      </x:c>
      <x:c r="J89" t="str">
        <x:f>XLOOKUP($A89,'Specs'!$A$2:$A$164,'Specs'!$J$2:$J$164,"")</x:f>
      </x:c>
      <x:c r="K89" t="str">
        <x:f>XLOOKUP($A89,'Specs'!$A$2:$A$164,'Specs'!$K$2:$K$164,"")</x:f>
      </x:c>
      <x:c r="L89" t="str">
        <x:f>XLOOKUP($A89,'Specs'!$A$2:$A$164,'Specs'!$L$2:$L$164,"")</x:f>
      </x:c>
      <x:c r="M89" t="n">
        <x:f>XLOOKUP($A89,'Specs'!$A$2:$A$164,'Specs'!$M$2:$M$164,"")</x:f>
        <x:v>630</x:v>
      </x:c>
      <x:c r="N89" t="str">
        <x:f>XLOOKUP($A89,'Specs'!$A$2:$A$164,'Specs'!$N$2:$N$164,"")</x:f>
      </x:c>
      <x:c r="O89" t="str">
        <x:f>XLOOKUP($A89,'Specs'!$A$2:$A$164,'Specs'!$O$2:$O$164,"")</x:f>
        <x:v>ACCESSORY / ADDER</x:v>
      </x:c>
      <x:c r="P89" t="str">
        <x:f>XLOOKUP($A89,'Specs'!$A$2:$A$164,'Specs'!$P$2:$P$164,"")</x:f>
        <x:v>HIGH</x:v>
      </x:c>
      <x:c r="Q89" s="53" t="n">
        <x:f>XLOOKUP($A89,'Specs'!$A$2:$A$164,'Specs'!$Q$2:$Q$164,"")</x:f>
        <x:v>2</x:v>
      </x:c>
      <x:c r="R89" s="53" t="n">
        <x:f>XLOOKUP($A89,'Specs'!$A$2:$A$164,'Specs'!$R$2:$R$164,"")</x:f>
        <x:v>2</x:v>
      </x:c>
      <x:c r="S89" t="str">
        <x:f>'Vendor Options'!A89</x:f>
        <x:v>OFFER-FED733124D5F</x:v>
      </x:c>
      <x:c r="T89" t="str">
        <x:f>'Vendor Options'!C89</x:f>
        <x:v>PHG</x:v>
      </x:c>
      <x:c r="U89" t="str">
        <x:f>'Vendor Options'!D89</x:f>
        <x:v>9800-48"</x:v>
      </x:c>
      <x:c r="V89" t="str">
        <x:f>'Vendor Options'!E89</x:f>
        <x:v>48" MORTISE PANIC</x:v>
      </x:c>
      <x:c r="W89" t="n">
        <x:f>'Vendor Options'!F89</x:f>
        <x:v>0</x:v>
      </x:c>
      <x:c r="X89" t="n">
        <x:f>'Vendor Options'!G89</x:f>
        <x:v>0</x:v>
      </x:c>
      <x:c r="Y89" t="n">
        <x:f>'Vendor Options'!H89</x:f>
        <x:v>0</x:v>
      </x:c>
      <x:c r="Z89" t="n">
        <x:f>'Vendor Options'!I89</x:f>
        <x:v>0</x:v>
      </x:c>
      <x:c r="AA89" s="54" t="n">
        <x:f>'Vendor Options'!J89</x:f>
        <x:v>0</x:v>
      </x:c>
      <x:c r="AB89" t="n">
        <x:f>'Vendor Options'!K89</x:f>
        <x:v>0</x:v>
      </x:c>
      <x:c r="AC89" s="57" t="n">
        <x:f>'Vendor Options'!L89</x:f>
        <x:v>0</x:v>
      </x:c>
      <x:c r="AD89" s="57" t="n">
        <x:f>'Vendor Options'!M89</x:f>
        <x:v>0</x:v>
      </x:c>
      <x:c r="AE89" s="54" t="str">
        <x:f>'Vendor Options'!N89</x:f>
      </x:c>
      <x:c r="AF89" t="str">
        <x:f>'Vendor Options'!O89</x:f>
        <x:v>USD</x:v>
      </x:c>
      <x:c r="AG89" t="str">
        <x:f>'Vendor Options'!P89</x:f>
        <x:v>UNPRICED</x:v>
      </x:c>
      <x:c r="AH89" t="str">
        <x:f>'Vendor Options'!Q89</x:f>
        <x:v>REVIEW</x:v>
      </x:c>
      <x:c r="AI89" t="str">
        <x:f>'Vendor Options'!R89</x:f>
        <x:v>MISSING_PRICE; MISSING_PART_NUMBER</x:v>
      </x:c>
      <x:c r="AJ89" t="n">
        <x:f>'Vendor Options'!S89</x:f>
        <x:v>209</x:v>
      </x:c>
    </x:row>
    <x:row r="90" ht="15" hidden="0" customHeight="1">
      <x:c r="A90" t="str">
        <x:f>'Vendor Options'!B90</x:f>
        <x:v>SPEC-F0001889C9A7</x:v>
      </x:c>
      <x:c r="B90" t="str">
        <x:f>XLOOKUP($A90,'Specs'!$A$2:$A$164,'Specs'!$B$2:$B$164,"")</x:f>
        <x:v>EXIT DEVICE</x:v>
      </x:c>
      <x:c r="C90" t="str">
        <x:f>XLOOKUP($A90,'Specs'!$A$2:$A$164,'Specs'!$C$2:$C$164,"")</x:f>
        <x:v>PANIC / EXIT DEVICE</x:v>
      </x:c>
      <x:c r="D90" t="str">
        <x:f>XLOOKUP($A90,'Specs'!$A$2:$A$164,'Specs'!$D$2:$D$164,"")</x:f>
        <x:v>RIM</x:v>
      </x:c>
      <x:c r="E90" t="str">
        <x:f>XLOOKUP($A90,'Specs'!$A$2:$A$164,'Specs'!$E$2:$E$164,"")</x:f>
        <x:v>EXIT DEVICE</x:v>
      </x:c>
      <x:c r="F90" t="str">
        <x:f>XLOOKUP($A90,'Specs'!$A$2:$A$164,'Specs'!$F$2:$F$164,"")</x:f>
        <x:v>NOT APPLICABLE</x:v>
      </x:c>
      <x:c r="G90" t="str">
        <x:f>XLOOKUP($A90,'Specs'!$A$2:$A$164,'Specs'!$G$2:$G$164,"")</x:f>
      </x:c>
      <x:c r="H90" t="str">
        <x:f>XLOOKUP($A90,'Specs'!$A$2:$A$164,'Specs'!$H$2:$H$164,"")</x:f>
      </x:c>
      <x:c r="I90" t="str">
        <x:f>XLOOKUP($A90,'Specs'!$A$2:$A$164,'Specs'!$I$2:$I$164,"")</x:f>
      </x:c>
      <x:c r="J90" t="str">
        <x:f>XLOOKUP($A90,'Specs'!$A$2:$A$164,'Specs'!$J$2:$J$164,"")</x:f>
      </x:c>
      <x:c r="K90" t="str">
        <x:f>XLOOKUP($A90,'Specs'!$A$2:$A$164,'Specs'!$K$2:$K$164,"")</x:f>
      </x:c>
      <x:c r="L90" t="str">
        <x:f>XLOOKUP($A90,'Specs'!$A$2:$A$164,'Specs'!$L$2:$L$164,"")</x:f>
      </x:c>
      <x:c r="M90" t="str">
        <x:f>XLOOKUP($A90,'Specs'!$A$2:$A$164,'Specs'!$M$2:$M$164,"")</x:f>
      </x:c>
      <x:c r="N90" t="str">
        <x:f>XLOOKUP($A90,'Specs'!$A$2:$A$164,'Specs'!$N$2:$N$164,"")</x:f>
        <x:v>LATCH BOLT MONITOR</x:v>
      </x:c>
      <x:c r="O90" t="str">
        <x:f>XLOOKUP($A90,'Specs'!$A$2:$A$164,'Specs'!$O$2:$O$164,"")</x:f>
        <x:v>ACCESSORY / ADDER</x:v>
      </x:c>
      <x:c r="P90" t="str">
        <x:f>XLOOKUP($A90,'Specs'!$A$2:$A$164,'Specs'!$P$2:$P$164,"")</x:f>
        <x:v>MEDIUM</x:v>
      </x:c>
      <x:c r="Q90" s="53" t="n">
        <x:f>XLOOKUP($A90,'Specs'!$A$2:$A$164,'Specs'!$Q$2:$Q$164,"")</x:f>
        <x:v>2</x:v>
      </x:c>
      <x:c r="R90" s="53" t="n">
        <x:f>XLOOKUP($A90,'Specs'!$A$2:$A$164,'Specs'!$R$2:$R$164,"")</x:f>
        <x:v>2</x:v>
      </x:c>
      <x:c r="S90" t="str">
        <x:f>'Vendor Options'!A90</x:f>
        <x:v>OFFER-024B29992B04</x:v>
      </x:c>
      <x:c r="T90" t="str">
        <x:f>'Vendor Options'!C90</x:f>
        <x:v>DK</x:v>
      </x:c>
      <x:c r="U90" t="str">
        <x:f>'Vendor Options'!D90</x:f>
        <x:v>LATCH BOLT MONITOR</x:v>
      </x:c>
      <x:c r="V90" t="n">
        <x:f>'Vendor Options'!E90</x:f>
        <x:v>0</x:v>
      </x:c>
      <x:c r="W90" t="n">
        <x:f>'Vendor Options'!F90</x:f>
        <x:v>0</x:v>
      </x:c>
      <x:c r="X90" t="n">
        <x:f>'Vendor Options'!G90</x:f>
        <x:v>0</x:v>
      </x:c>
      <x:c r="Y90" t="n">
        <x:f>'Vendor Options'!H90</x:f>
        <x:v>0</x:v>
      </x:c>
      <x:c r="Z90" t="str">
        <x:f>'Vendor Options'!I90</x:f>
      </x:c>
      <x:c r="AA90" s="54" t="n">
        <x:f>'Vendor Options'!J90</x:f>
        <x:v>0</x:v>
      </x:c>
      <x:c r="AB90" t="n">
        <x:f>'Vendor Options'!K90</x:f>
        <x:v>0</x:v>
      </x:c>
      <x:c r="AC90" s="57" t="n">
        <x:f>'Vendor Options'!L90</x:f>
        <x:v>0</x:v>
      </x:c>
      <x:c r="AD90" s="57" t="n">
        <x:f>'Vendor Options'!M90</x:f>
        <x:v>0</x:v>
      </x:c>
      <x:c r="AE90" s="54" t="str">
        <x:f>'Vendor Options'!N90</x:f>
      </x:c>
      <x:c r="AF90" t="str">
        <x:f>'Vendor Options'!O90</x:f>
        <x:v>USD</x:v>
      </x:c>
      <x:c r="AG90" t="str">
        <x:f>'Vendor Options'!P90</x:f>
        <x:v>UNPRICED</x:v>
      </x:c>
      <x:c r="AH90" t="str">
        <x:f>'Vendor Options'!Q90</x:f>
        <x:v>REVIEW</x:v>
      </x:c>
      <x:c r="AI90" t="str">
        <x:f>'Vendor Options'!R90</x:f>
        <x:v>MISSING_PRICE; MISSING_PART_NUMBER</x:v>
      </x:c>
      <x:c r="AJ90" t="n">
        <x:f>'Vendor Options'!S90</x:f>
        <x:v>325</x:v>
      </x:c>
    </x:row>
    <x:row r="91" ht="15" hidden="0" customHeight="1">
      <x:c r="A91" t="str">
        <x:f>'Vendor Options'!B91</x:f>
        <x:v>SPEC-88554AFB1435</x:v>
      </x:c>
      <x:c r="B91" t="str">
        <x:f>XLOOKUP($A91,'Specs'!$A$2:$A$164,'Specs'!$B$2:$B$164,"")</x:f>
        <x:v>EXIT DEVICE</x:v>
      </x:c>
      <x:c r="C91" t="str">
        <x:f>XLOOKUP($A91,'Specs'!$A$2:$A$164,'Specs'!$C$2:$C$164,"")</x:f>
        <x:v>PANIC / EXIT DEVICE</x:v>
      </x:c>
      <x:c r="D91" t="str">
        <x:f>XLOOKUP($A91,'Specs'!$A$2:$A$164,'Specs'!$D$2:$D$164,"")</x:f>
        <x:v>RIM</x:v>
      </x:c>
      <x:c r="E91" t="str">
        <x:f>XLOOKUP($A91,'Specs'!$A$2:$A$164,'Specs'!$E$2:$E$164,"")</x:f>
        <x:v>EXIT DEVICE</x:v>
      </x:c>
      <x:c r="F91" t="str">
        <x:f>XLOOKUP($A91,'Specs'!$A$2:$A$164,'Specs'!$F$2:$F$164,"")</x:f>
        <x:v>NOT APPLICABLE</x:v>
      </x:c>
      <x:c r="G91" t="str">
        <x:f>XLOOKUP($A91,'Specs'!$A$2:$A$164,'Specs'!$G$2:$G$164,"")</x:f>
      </x:c>
      <x:c r="H91" t="str">
        <x:f>XLOOKUP($A91,'Specs'!$A$2:$A$164,'Specs'!$H$2:$H$164,"")</x:f>
      </x:c>
      <x:c r="I91" t="str">
        <x:f>XLOOKUP($A91,'Specs'!$A$2:$A$164,'Specs'!$I$2:$I$164,"")</x:f>
      </x:c>
      <x:c r="J91" t="str">
        <x:f>XLOOKUP($A91,'Specs'!$A$2:$A$164,'Specs'!$J$2:$J$164,"")</x:f>
      </x:c>
      <x:c r="K91" t="str">
        <x:f>XLOOKUP($A91,'Specs'!$A$2:$A$164,'Specs'!$K$2:$K$164,"")</x:f>
      </x:c>
      <x:c r="L91" t="str">
        <x:f>XLOOKUP($A91,'Specs'!$A$2:$A$164,'Specs'!$L$2:$L$164,"")</x:f>
      </x:c>
      <x:c r="M91" t="str">
        <x:f>XLOOKUP($A91,'Specs'!$A$2:$A$164,'Specs'!$M$2:$M$164,"")</x:f>
      </x:c>
      <x:c r="N91" t="str">
        <x:f>XLOOKUP($A91,'Specs'!$A$2:$A$164,'Specs'!$N$2:$N$164,"")</x:f>
        <x:v>MOTORIZED LATCH RETRACTION</x:v>
      </x:c>
      <x:c r="O91" t="str">
        <x:f>XLOOKUP($A91,'Specs'!$A$2:$A$164,'Specs'!$O$2:$O$164,"")</x:f>
        <x:v>ACCESSORY / ADDER</x:v>
      </x:c>
      <x:c r="P91" t="str">
        <x:f>XLOOKUP($A91,'Specs'!$A$2:$A$164,'Specs'!$P$2:$P$164,"")</x:f>
        <x:v>MEDIUM</x:v>
      </x:c>
      <x:c r="Q91" s="53" t="n">
        <x:f>XLOOKUP($A91,'Specs'!$A$2:$A$164,'Specs'!$Q$2:$Q$164,"")</x:f>
        <x:v>2</x:v>
      </x:c>
      <x:c r="R91" s="53" t="n">
        <x:f>XLOOKUP($A91,'Specs'!$A$2:$A$164,'Specs'!$R$2:$R$164,"")</x:f>
        <x:v>2</x:v>
      </x:c>
      <x:c r="S91" t="str">
        <x:f>'Vendor Options'!A91</x:f>
        <x:v>OFFER-3C24BFD0EE63</x:v>
      </x:c>
      <x:c r="T91" t="str">
        <x:f>'Vendor Options'!C91</x:f>
        <x:v>DK</x:v>
      </x:c>
      <x:c r="U91" t="str">
        <x:f>'Vendor Options'!D91</x:f>
        <x:v>MLR ADDER</x:v>
      </x:c>
      <x:c r="V91" t="str">
        <x:f>'Vendor Options'!E91</x:f>
        <x:v>MORTORIZED LATCH RETRACTION</x:v>
      </x:c>
      <x:c r="W91" t="n">
        <x:f>'Vendor Options'!F91</x:f>
        <x:v>0</x:v>
      </x:c>
      <x:c r="X91" t="n">
        <x:f>'Vendor Options'!G91</x:f>
        <x:v>0</x:v>
      </x:c>
      <x:c r="Y91" t="n">
        <x:f>'Vendor Options'!H91</x:f>
        <x:v>0</x:v>
      </x:c>
      <x:c r="Z91" t="str">
        <x:f>'Vendor Options'!I91</x:f>
      </x:c>
      <x:c r="AA91" s="54" t="n">
        <x:f>'Vendor Options'!J91</x:f>
        <x:v>1410</x:v>
      </x:c>
      <x:c r="AB91" t="n">
        <x:f>'Vendor Options'!K91</x:f>
        <x:v>0</x:v>
      </x:c>
      <x:c r="AC91" s="57" t="n">
        <x:f>'Vendor Options'!L91</x:f>
        <x:v>0</x:v>
      </x:c>
      <x:c r="AD91" s="57" t="n">
        <x:f>'Vendor Options'!M91</x:f>
        <x:v>0</x:v>
      </x:c>
      <x:c r="AE91" s="54" t="n">
        <x:f>'Vendor Options'!N91</x:f>
        <x:v>1410</x:v>
      </x:c>
      <x:c r="AF91" t="str">
        <x:f>'Vendor Options'!O91</x:f>
        <x:v>USD</x:v>
      </x:c>
      <x:c r="AG91" t="str">
        <x:f>'Vendor Options'!P91</x:f>
        <x:v>PRICED</x:v>
      </x:c>
      <x:c r="AH91" t="str">
        <x:f>'Vendor Options'!Q91</x:f>
        <x:v>REVIEW</x:v>
      </x:c>
      <x:c r="AI91" t="str">
        <x:f>'Vendor Options'!R91</x:f>
        <x:v>MISSING_PART_NUMBER</x:v>
      </x:c>
      <x:c r="AJ91" t="n">
        <x:f>'Vendor Options'!S91</x:f>
        <x:v>324</x:v>
      </x:c>
    </x:row>
    <x:row r="92" ht="15" hidden="0" customHeight="1">
      <x:c r="A92" t="str">
        <x:f>'Vendor Options'!B92</x:f>
        <x:v>SPEC-F0001889C9A7</x:v>
      </x:c>
      <x:c r="B92" t="str">
        <x:f>XLOOKUP($A92,'Specs'!$A$2:$A$164,'Specs'!$B$2:$B$164,"")</x:f>
        <x:v>EXIT DEVICE</x:v>
      </x:c>
      <x:c r="C92" t="str">
        <x:f>XLOOKUP($A92,'Specs'!$A$2:$A$164,'Specs'!$C$2:$C$164,"")</x:f>
        <x:v>PANIC / EXIT DEVICE</x:v>
      </x:c>
      <x:c r="D92" t="str">
        <x:f>XLOOKUP($A92,'Specs'!$A$2:$A$164,'Specs'!$D$2:$D$164,"")</x:f>
        <x:v>RIM</x:v>
      </x:c>
      <x:c r="E92" t="str">
        <x:f>XLOOKUP($A92,'Specs'!$A$2:$A$164,'Specs'!$E$2:$E$164,"")</x:f>
        <x:v>EXIT DEVICE</x:v>
      </x:c>
      <x:c r="F92" t="str">
        <x:f>XLOOKUP($A92,'Specs'!$A$2:$A$164,'Specs'!$F$2:$F$164,"")</x:f>
        <x:v>NOT APPLICABLE</x:v>
      </x:c>
      <x:c r="G92" t="str">
        <x:f>XLOOKUP($A92,'Specs'!$A$2:$A$164,'Specs'!$G$2:$G$164,"")</x:f>
      </x:c>
      <x:c r="H92" t="str">
        <x:f>XLOOKUP($A92,'Specs'!$A$2:$A$164,'Specs'!$H$2:$H$164,"")</x:f>
      </x:c>
      <x:c r="I92" t="str">
        <x:f>XLOOKUP($A92,'Specs'!$A$2:$A$164,'Specs'!$I$2:$I$164,"")</x:f>
      </x:c>
      <x:c r="J92" t="str">
        <x:f>XLOOKUP($A92,'Specs'!$A$2:$A$164,'Specs'!$J$2:$J$164,"")</x:f>
      </x:c>
      <x:c r="K92" t="str">
        <x:f>XLOOKUP($A92,'Specs'!$A$2:$A$164,'Specs'!$K$2:$K$164,"")</x:f>
      </x:c>
      <x:c r="L92" t="str">
        <x:f>XLOOKUP($A92,'Specs'!$A$2:$A$164,'Specs'!$L$2:$L$164,"")</x:f>
      </x:c>
      <x:c r="M92" t="str">
        <x:f>XLOOKUP($A92,'Specs'!$A$2:$A$164,'Specs'!$M$2:$M$164,"")</x:f>
      </x:c>
      <x:c r="N92" t="str">
        <x:f>XLOOKUP($A92,'Specs'!$A$2:$A$164,'Specs'!$N$2:$N$164,"")</x:f>
        <x:v>LATCH BOLT MONITOR</x:v>
      </x:c>
      <x:c r="O92" t="str">
        <x:f>XLOOKUP($A92,'Specs'!$A$2:$A$164,'Specs'!$O$2:$O$164,"")</x:f>
        <x:v>ACCESSORY / ADDER</x:v>
      </x:c>
      <x:c r="P92" t="str">
        <x:f>XLOOKUP($A92,'Specs'!$A$2:$A$164,'Specs'!$P$2:$P$164,"")</x:f>
        <x:v>MEDIUM</x:v>
      </x:c>
      <x:c r="Q92" s="53" t="n">
        <x:f>XLOOKUP($A92,'Specs'!$A$2:$A$164,'Specs'!$Q$2:$Q$164,"")</x:f>
        <x:v>2</x:v>
      </x:c>
      <x:c r="R92" s="53" t="n">
        <x:f>XLOOKUP($A92,'Specs'!$A$2:$A$164,'Specs'!$R$2:$R$164,"")</x:f>
        <x:v>2</x:v>
      </x:c>
      <x:c r="S92" t="str">
        <x:f>'Vendor Options'!A92</x:f>
        <x:v>OFFER-4F376B0516E3</x:v>
      </x:c>
      <x:c r="T92" t="str">
        <x:f>'Vendor Options'!C92</x:f>
        <x:v>PHI</x:v>
      </x:c>
      <x:c r="U92" t="str">
        <x:f>'Vendor Options'!D92</x:f>
        <x:v>LATCH BOLT MONITOR</x:v>
      </x:c>
      <x:c r="V92" t="n">
        <x:f>'Vendor Options'!E92</x:f>
        <x:v>0</x:v>
      </x:c>
      <x:c r="W92" t="n">
        <x:f>'Vendor Options'!F92</x:f>
        <x:v>0</x:v>
      </x:c>
      <x:c r="X92" t="n">
        <x:f>'Vendor Options'!G92</x:f>
        <x:v>0</x:v>
      </x:c>
      <x:c r="Y92" t="n">
        <x:f>'Vendor Options'!H92</x:f>
        <x:v>0</x:v>
      </x:c>
      <x:c r="Z92" t="str">
        <x:f>'Vendor Options'!I92</x:f>
      </x:c>
      <x:c r="AA92" s="54" t="n">
        <x:f>'Vendor Options'!J92</x:f>
        <x:v>372</x:v>
      </x:c>
      <x:c r="AB92" t="n">
        <x:f>'Vendor Options'!K92</x:f>
        <x:v>0</x:v>
      </x:c>
      <x:c r="AC92" s="57" t="n">
        <x:f>'Vendor Options'!L92</x:f>
        <x:v>0</x:v>
      </x:c>
      <x:c r="AD92" s="57" t="n">
        <x:f>'Vendor Options'!M92</x:f>
        <x:v>0</x:v>
      </x:c>
      <x:c r="AE92" s="54" t="n">
        <x:f>'Vendor Options'!N92</x:f>
        <x:v>372</x:v>
      </x:c>
      <x:c r="AF92" t="str">
        <x:f>'Vendor Options'!O92</x:f>
        <x:v>USD</x:v>
      </x:c>
      <x:c r="AG92" t="str">
        <x:f>'Vendor Options'!P92</x:f>
        <x:v>PRICED</x:v>
      </x:c>
      <x:c r="AH92" t="str">
        <x:f>'Vendor Options'!Q92</x:f>
        <x:v>REVIEW</x:v>
      </x:c>
      <x:c r="AI92" t="str">
        <x:f>'Vendor Options'!R92</x:f>
        <x:v>MISSING_PART_NUMBER</x:v>
      </x:c>
      <x:c r="AJ92" t="n">
        <x:f>'Vendor Options'!S92</x:f>
        <x:v>343</x:v>
      </x:c>
    </x:row>
    <x:row r="93" ht="15" hidden="0" customHeight="1">
      <x:c r="A93" t="str">
        <x:f>'Vendor Options'!B93</x:f>
        <x:v>SPEC-88554AFB1435</x:v>
      </x:c>
      <x:c r="B93" t="str">
        <x:f>XLOOKUP($A93,'Specs'!$A$2:$A$164,'Specs'!$B$2:$B$164,"")</x:f>
        <x:v>EXIT DEVICE</x:v>
      </x:c>
      <x:c r="C93" t="str">
        <x:f>XLOOKUP($A93,'Specs'!$A$2:$A$164,'Specs'!$C$2:$C$164,"")</x:f>
        <x:v>PANIC / EXIT DEVICE</x:v>
      </x:c>
      <x:c r="D93" t="str">
        <x:f>XLOOKUP($A93,'Specs'!$A$2:$A$164,'Specs'!$D$2:$D$164,"")</x:f>
        <x:v>RIM</x:v>
      </x:c>
      <x:c r="E93" t="str">
        <x:f>XLOOKUP($A93,'Specs'!$A$2:$A$164,'Specs'!$E$2:$E$164,"")</x:f>
        <x:v>EXIT DEVICE</x:v>
      </x:c>
      <x:c r="F93" t="str">
        <x:f>XLOOKUP($A93,'Specs'!$A$2:$A$164,'Specs'!$F$2:$F$164,"")</x:f>
        <x:v>NOT APPLICABLE</x:v>
      </x:c>
      <x:c r="G93" t="str">
        <x:f>XLOOKUP($A93,'Specs'!$A$2:$A$164,'Specs'!$G$2:$G$164,"")</x:f>
      </x:c>
      <x:c r="H93" t="str">
        <x:f>XLOOKUP($A93,'Specs'!$A$2:$A$164,'Specs'!$H$2:$H$164,"")</x:f>
      </x:c>
      <x:c r="I93" t="str">
        <x:f>XLOOKUP($A93,'Specs'!$A$2:$A$164,'Specs'!$I$2:$I$164,"")</x:f>
      </x:c>
      <x:c r="J93" t="str">
        <x:f>XLOOKUP($A93,'Specs'!$A$2:$A$164,'Specs'!$J$2:$J$164,"")</x:f>
      </x:c>
      <x:c r="K93" t="str">
        <x:f>XLOOKUP($A93,'Specs'!$A$2:$A$164,'Specs'!$K$2:$K$164,"")</x:f>
      </x:c>
      <x:c r="L93" t="str">
        <x:f>XLOOKUP($A93,'Specs'!$A$2:$A$164,'Specs'!$L$2:$L$164,"")</x:f>
      </x:c>
      <x:c r="M93" t="str">
        <x:f>XLOOKUP($A93,'Specs'!$A$2:$A$164,'Specs'!$M$2:$M$164,"")</x:f>
      </x:c>
      <x:c r="N93" t="str">
        <x:f>XLOOKUP($A93,'Specs'!$A$2:$A$164,'Specs'!$N$2:$N$164,"")</x:f>
        <x:v>MOTORIZED LATCH RETRACTION</x:v>
      </x:c>
      <x:c r="O93" t="str">
        <x:f>XLOOKUP($A93,'Specs'!$A$2:$A$164,'Specs'!$O$2:$O$164,"")</x:f>
        <x:v>ACCESSORY / ADDER</x:v>
      </x:c>
      <x:c r="P93" t="str">
        <x:f>XLOOKUP($A93,'Specs'!$A$2:$A$164,'Specs'!$P$2:$P$164,"")</x:f>
        <x:v>MEDIUM</x:v>
      </x:c>
      <x:c r="Q93" s="53" t="n">
        <x:f>XLOOKUP($A93,'Specs'!$A$2:$A$164,'Specs'!$Q$2:$Q$164,"")</x:f>
        <x:v>2</x:v>
      </x:c>
      <x:c r="R93" s="53" t="n">
        <x:f>XLOOKUP($A93,'Specs'!$A$2:$A$164,'Specs'!$R$2:$R$164,"")</x:f>
        <x:v>2</x:v>
      </x:c>
      <x:c r="S93" t="str">
        <x:f>'Vendor Options'!A93</x:f>
        <x:v>OFFER-7E3FA3CE3601</x:v>
      </x:c>
      <x:c r="T93" t="str">
        <x:f>'Vendor Options'!C93</x:f>
        <x:v>PHI</x:v>
      </x:c>
      <x:c r="U93" t="str">
        <x:f>'Vendor Options'!D93</x:f>
        <x:v>MLR ADDER</x:v>
      </x:c>
      <x:c r="V93" t="str">
        <x:f>'Vendor Options'!E93</x:f>
        <x:v>MORTORIZED LATCH RETRACTION</x:v>
      </x:c>
      <x:c r="W93" t="n">
        <x:f>'Vendor Options'!F93</x:f>
        <x:v>0</x:v>
      </x:c>
      <x:c r="X93" t="n">
        <x:f>'Vendor Options'!G93</x:f>
        <x:v>0</x:v>
      </x:c>
      <x:c r="Y93" t="n">
        <x:f>'Vendor Options'!H93</x:f>
        <x:v>0</x:v>
      </x:c>
      <x:c r="Z93" t="str">
        <x:f>'Vendor Options'!I93</x:f>
      </x:c>
      <x:c r="AA93" s="54" t="n">
        <x:f>'Vendor Options'!J93</x:f>
        <x:v>1577</x:v>
      </x:c>
      <x:c r="AB93" t="n">
        <x:f>'Vendor Options'!K93</x:f>
        <x:v>0</x:v>
      </x:c>
      <x:c r="AC93" s="57" t="n">
        <x:f>'Vendor Options'!L93</x:f>
        <x:v>0</x:v>
      </x:c>
      <x:c r="AD93" s="57" t="n">
        <x:f>'Vendor Options'!M93</x:f>
        <x:v>0</x:v>
      </x:c>
      <x:c r="AE93" s="54" t="n">
        <x:f>'Vendor Options'!N93</x:f>
        <x:v>1577</x:v>
      </x:c>
      <x:c r="AF93" t="str">
        <x:f>'Vendor Options'!O93</x:f>
        <x:v>USD</x:v>
      </x:c>
      <x:c r="AG93" t="str">
        <x:f>'Vendor Options'!P93</x:f>
        <x:v>PRICED</x:v>
      </x:c>
      <x:c r="AH93" t="str">
        <x:f>'Vendor Options'!Q93</x:f>
        <x:v>REVIEW</x:v>
      </x:c>
      <x:c r="AI93" t="str">
        <x:f>'Vendor Options'!R93</x:f>
        <x:v>MISSING_PART_NUMBER</x:v>
      </x:c>
      <x:c r="AJ93" t="n">
        <x:f>'Vendor Options'!S93</x:f>
        <x:v>342</x:v>
      </x:c>
    </x:row>
    <x:row r="94" ht="15" hidden="0" customHeight="1">
      <x:c r="A94" t="str">
        <x:f>'Vendor Options'!B94</x:f>
        <x:v>SPEC-0BAC690514BC</x:v>
      </x:c>
      <x:c r="B94" t="str">
        <x:f>XLOOKUP($A94,'Specs'!$A$2:$A$164,'Specs'!$B$2:$B$164,"")</x:f>
        <x:v>EXIT DEVICE</x:v>
      </x:c>
      <x:c r="C94" t="str">
        <x:f>XLOOKUP($A94,'Specs'!$A$2:$A$164,'Specs'!$C$2:$C$164,"")</x:f>
        <x:v>PANIC / EXIT DEVICE</x:v>
      </x:c>
      <x:c r="D94" t="str">
        <x:f>XLOOKUP($A94,'Specs'!$A$2:$A$164,'Specs'!$D$2:$D$164,"")</x:f>
        <x:v>RIM</x:v>
      </x:c>
      <x:c r="E94" t="str">
        <x:f>XLOOKUP($A94,'Specs'!$A$2:$A$164,'Specs'!$E$2:$E$164,"")</x:f>
        <x:v>EXIT DEVICE</x:v>
      </x:c>
      <x:c r="F94" t="str">
        <x:f>XLOOKUP($A94,'Specs'!$A$2:$A$164,'Specs'!$F$2:$F$164,"")</x:f>
        <x:v>NOT APPLICABLE</x:v>
      </x:c>
      <x:c r="G94" t="str">
        <x:f>XLOOKUP($A94,'Specs'!$A$2:$A$164,'Specs'!$G$2:$G$164,"")</x:f>
      </x:c>
      <x:c r="H94" t="str">
        <x:f>XLOOKUP($A94,'Specs'!$A$2:$A$164,'Specs'!$H$2:$H$164,"")</x:f>
      </x:c>
      <x:c r="I94" t="str">
        <x:f>XLOOKUP($A94,'Specs'!$A$2:$A$164,'Specs'!$I$2:$I$164,"")</x:f>
      </x:c>
      <x:c r="J94" t="str">
        <x:f>XLOOKUP($A94,'Specs'!$A$2:$A$164,'Specs'!$J$2:$J$164,"")</x:f>
      </x:c>
      <x:c r="K94" t="str">
        <x:f>XLOOKUP($A94,'Specs'!$A$2:$A$164,'Specs'!$K$2:$K$164,"")</x:f>
      </x:c>
      <x:c r="L94" t="str">
        <x:f>XLOOKUP($A94,'Specs'!$A$2:$A$164,'Specs'!$L$2:$L$164,"")</x:f>
      </x:c>
      <x:c r="M94" t="n">
        <x:f>XLOOKUP($A94,'Specs'!$A$2:$A$164,'Specs'!$M$2:$M$164,"")</x:f>
        <x:v>630</x:v>
      </x:c>
      <x:c r="N94" t="str">
        <x:f>XLOOKUP($A94,'Specs'!$A$2:$A$164,'Specs'!$N$2:$N$164,"")</x:f>
        <x:v>FAIL SAFE</x:v>
      </x:c>
      <x:c r="O94" t="str">
        <x:f>XLOOKUP($A94,'Specs'!$A$2:$A$164,'Specs'!$O$2:$O$164,"")</x:f>
      </x:c>
      <x:c r="P94" t="str">
        <x:f>XLOOKUP($A94,'Specs'!$A$2:$A$164,'Specs'!$P$2:$P$164,"")</x:f>
        <x:v>HIGH</x:v>
      </x:c>
      <x:c r="Q94" s="53" t="n">
        <x:f>XLOOKUP($A94,'Specs'!$A$2:$A$164,'Specs'!$Q$2:$Q$164,"")</x:f>
        <x:v>1</x:v>
      </x:c>
      <x:c r="R94" s="53" t="n">
        <x:f>XLOOKUP($A94,'Specs'!$A$2:$A$164,'Specs'!$R$2:$R$164,"")</x:f>
        <x:v>1</x:v>
      </x:c>
      <x:c r="S94" t="str">
        <x:f>'Vendor Options'!A94</x:f>
        <x:v>OFFER-6C961D8DEA02</x:v>
      </x:c>
      <x:c r="T94" t="str">
        <x:f>'Vendor Options'!C94</x:f>
        <x:v>DK</x:v>
      </x:c>
      <x:c r="U94" t="str">
        <x:f>'Vendor Options'!D94</x:f>
        <x:v>EL LEVER DOG ADD</x:v>
      </x:c>
      <x:c r="V94" t="str">
        <x:f>'Vendor Options'!E94</x:f>
        <x:v>9300 BASE EL LOCK/UNLOCK</x:v>
      </x:c>
      <x:c r="W94" t="str">
        <x:f>'Vendor Options'!F94</x:f>
      </x:c>
      <x:c r="X94" t="str">
        <x:f>'Vendor Options'!G94</x:f>
      </x:c>
      <x:c r="Y94" t="n">
        <x:f>'Vendor Options'!H94</x:f>
        <x:v>0</x:v>
      </x:c>
      <x:c r="Z94" t="str">
        <x:f>'Vendor Options'!I94</x:f>
      </x:c>
      <x:c r="AA94" s="54" t="n">
        <x:f>'Vendor Options'!J94</x:f>
        <x:v>2408</x:v>
      </x:c>
      <x:c r="AB94" t="n">
        <x:f>'Vendor Options'!K94</x:f>
        <x:v>0</x:v>
      </x:c>
      <x:c r="AC94" s="57" t="n">
        <x:f>'Vendor Options'!L94</x:f>
        <x:v>0</x:v>
      </x:c>
      <x:c r="AD94" s="57" t="n">
        <x:f>'Vendor Options'!M94</x:f>
        <x:v>0</x:v>
      </x:c>
      <x:c r="AE94" s="54" t="n">
        <x:f>'Vendor Options'!N94</x:f>
        <x:v>2408</x:v>
      </x:c>
      <x:c r="AF94" t="str">
        <x:f>'Vendor Options'!O94</x:f>
        <x:v>USD</x:v>
      </x:c>
      <x:c r="AG94" t="str">
        <x:f>'Vendor Options'!P94</x:f>
        <x:v>PRICED</x:v>
      </x:c>
      <x:c r="AH94" t="str">
        <x:f>'Vendor Options'!Q94</x:f>
        <x:v>REVIEW</x:v>
      </x:c>
      <x:c r="AI94" t="str">
        <x:f>'Vendor Options'!R94</x:f>
        <x:v>MISSING_PART_NUMBER</x:v>
      </x:c>
      <x:c r="AJ94" t="n">
        <x:f>'Vendor Options'!S94</x:f>
        <x:v>321</x:v>
      </x:c>
    </x:row>
    <x:row r="95" ht="15" hidden="0" customHeight="1">
      <x:c r="A95" t="str">
        <x:f>'Vendor Options'!B95</x:f>
        <x:v>SPEC-F1E1828AD4E3</x:v>
      </x:c>
      <x:c r="B95" t="str">
        <x:f>XLOOKUP($A95,'Specs'!$A$2:$A$164,'Specs'!$B$2:$B$164,"")</x:f>
        <x:v>EXIT DEVICE</x:v>
      </x:c>
      <x:c r="C95" t="str">
        <x:f>XLOOKUP($A95,'Specs'!$A$2:$A$164,'Specs'!$C$2:$C$164,"")</x:f>
        <x:v>PANIC / EXIT DEVICE</x:v>
      </x:c>
      <x:c r="D95" t="str">
        <x:f>XLOOKUP($A95,'Specs'!$A$2:$A$164,'Specs'!$D$2:$D$164,"")</x:f>
        <x:v>RIM</x:v>
      </x:c>
      <x:c r="E95" t="str">
        <x:f>XLOOKUP($A95,'Specs'!$A$2:$A$164,'Specs'!$E$2:$E$164,"")</x:f>
        <x:v>EXIT DEVICE</x:v>
      </x:c>
      <x:c r="F95" t="str">
        <x:f>XLOOKUP($A95,'Specs'!$A$2:$A$164,'Specs'!$F$2:$F$164,"")</x:f>
        <x:v>NOT APPLICABLE</x:v>
      </x:c>
      <x:c r="G95" t="str">
        <x:f>XLOOKUP($A95,'Specs'!$A$2:$A$164,'Specs'!$G$2:$G$164,"")</x:f>
      </x:c>
      <x:c r="H95" t="str">
        <x:f>XLOOKUP($A95,'Specs'!$A$2:$A$164,'Specs'!$H$2:$H$164,"")</x:f>
      </x:c>
      <x:c r="I95" t="str">
        <x:f>XLOOKUP($A95,'Specs'!$A$2:$A$164,'Specs'!$I$2:$I$164,"")</x:f>
      </x:c>
      <x:c r="J95" t="str">
        <x:f>XLOOKUP($A95,'Specs'!$A$2:$A$164,'Specs'!$J$2:$J$164,"")</x:f>
      </x:c>
      <x:c r="K95" t="str">
        <x:f>XLOOKUP($A95,'Specs'!$A$2:$A$164,'Specs'!$K$2:$K$164,"")</x:f>
      </x:c>
      <x:c r="L95" t="str">
        <x:f>XLOOKUP($A95,'Specs'!$A$2:$A$164,'Specs'!$L$2:$L$164,"")</x:f>
      </x:c>
      <x:c r="M95" t="n">
        <x:f>XLOOKUP($A95,'Specs'!$A$2:$A$164,'Specs'!$M$2:$M$164,"")</x:f>
        <x:v>630</x:v>
      </x:c>
      <x:c r="N95" t="str">
        <x:f>XLOOKUP($A95,'Specs'!$A$2:$A$164,'Specs'!$N$2:$N$164,"")</x:f>
      </x:c>
      <x:c r="O95" t="str">
        <x:f>XLOOKUP($A95,'Specs'!$A$2:$A$164,'Specs'!$O$2:$O$164,"")</x:f>
      </x:c>
      <x:c r="P95" t="str">
        <x:f>XLOOKUP($A95,'Specs'!$A$2:$A$164,'Specs'!$P$2:$P$164,"")</x:f>
        <x:v>MEDIUM</x:v>
      </x:c>
      <x:c r="Q95" s="53" t="n">
        <x:f>XLOOKUP($A95,'Specs'!$A$2:$A$164,'Specs'!$Q$2:$Q$164,"")</x:f>
        <x:v>2</x:v>
      </x:c>
      <x:c r="R95" s="53" t="n">
        <x:f>XLOOKUP($A95,'Specs'!$A$2:$A$164,'Specs'!$R$2:$R$164,"")</x:f>
        <x:v>1</x:v>
      </x:c>
      <x:c r="S95" t="str">
        <x:f>'Vendor Options'!A95</x:f>
        <x:v>OFFER-21E2CD4F6856</x:v>
      </x:c>
      <x:c r="T95" t="str">
        <x:f>'Vendor Options'!C95</x:f>
        <x:v>DK</x:v>
      </x:c>
      <x:c r="U95" t="str">
        <x:f>'Vendor Options'!D95</x:f>
        <x:v>ESC LEVER TRIM</x:v>
      </x:c>
      <x:c r="V95" t="str">
        <x:f>'Vendor Options'!E95</x:f>
        <x:v>YC: ESCUTCHEON</x:v>
      </x:c>
      <x:c r="W95" t="str">
        <x:f>'Vendor Options'!F95</x:f>
      </x:c>
      <x:c r="X95" t="str">
        <x:f>'Vendor Options'!G95</x:f>
        <x:v>YR</x:v>
      </x:c>
      <x:c r="Y95" t="str">
        <x:f>'Vendor Options'!H95</x:f>
        <x:v>YR x FUNCTION</x:v>
      </x:c>
      <x:c r="Z95" t="str">
        <x:f>'Vendor Options'!I95</x:f>
      </x:c>
      <x:c r="AA95" s="54" t="n">
        <x:f>'Vendor Options'!J95</x:f>
        <x:v>1473</x:v>
      </x:c>
      <x:c r="AB95" t="n">
        <x:f>'Vendor Options'!K95</x:f>
        <x:v>0</x:v>
      </x:c>
      <x:c r="AC95" s="57" t="n">
        <x:f>'Vendor Options'!L95</x:f>
        <x:v>0</x:v>
      </x:c>
      <x:c r="AD95" s="57" t="n">
        <x:f>'Vendor Options'!M95</x:f>
        <x:v>0</x:v>
      </x:c>
      <x:c r="AE95" s="54" t="n">
        <x:f>'Vendor Options'!N95</x:f>
        <x:v>1473</x:v>
      </x:c>
      <x:c r="AF95" t="str">
        <x:f>'Vendor Options'!O95</x:f>
        <x:v>USD</x:v>
      </x:c>
      <x:c r="AG95" t="str">
        <x:f>'Vendor Options'!P95</x:f>
        <x:v>PRICED</x:v>
      </x:c>
      <x:c r="AH95" t="str">
        <x:f>'Vendor Options'!Q95</x:f>
        <x:v>ACTIVE</x:v>
      </x:c>
      <x:c r="AI95" t="str">
        <x:f>'Vendor Options'!R95</x:f>
      </x:c>
      <x:c r="AJ95" t="n">
        <x:f>'Vendor Options'!S95</x:f>
        <x:v>326</x:v>
      </x:c>
    </x:row>
    <x:row r="96" ht="15" hidden="0" customHeight="1">
      <x:c r="A96" t="str">
        <x:f>'Vendor Options'!B96</x:f>
        <x:v>SPEC-F1E1828AD4E3</x:v>
      </x:c>
      <x:c r="B96" t="str">
        <x:f>XLOOKUP($A96,'Specs'!$A$2:$A$164,'Specs'!$B$2:$B$164,"")</x:f>
        <x:v>EXIT DEVICE</x:v>
      </x:c>
      <x:c r="C96" t="str">
        <x:f>XLOOKUP($A96,'Specs'!$A$2:$A$164,'Specs'!$C$2:$C$164,"")</x:f>
        <x:v>PANIC / EXIT DEVICE</x:v>
      </x:c>
      <x:c r="D96" t="str">
        <x:f>XLOOKUP($A96,'Specs'!$A$2:$A$164,'Specs'!$D$2:$D$164,"")</x:f>
        <x:v>RIM</x:v>
      </x:c>
      <x:c r="E96" t="str">
        <x:f>XLOOKUP($A96,'Specs'!$A$2:$A$164,'Specs'!$E$2:$E$164,"")</x:f>
        <x:v>EXIT DEVICE</x:v>
      </x:c>
      <x:c r="F96" t="str">
        <x:f>XLOOKUP($A96,'Specs'!$A$2:$A$164,'Specs'!$F$2:$F$164,"")</x:f>
        <x:v>NOT APPLICABLE</x:v>
      </x:c>
      <x:c r="G96" t="str">
        <x:f>XLOOKUP($A96,'Specs'!$A$2:$A$164,'Specs'!$G$2:$G$164,"")</x:f>
      </x:c>
      <x:c r="H96" t="str">
        <x:f>XLOOKUP($A96,'Specs'!$A$2:$A$164,'Specs'!$H$2:$H$164,"")</x:f>
      </x:c>
      <x:c r="I96" t="str">
        <x:f>XLOOKUP($A96,'Specs'!$A$2:$A$164,'Specs'!$I$2:$I$164,"")</x:f>
      </x:c>
      <x:c r="J96" t="str">
        <x:f>XLOOKUP($A96,'Specs'!$A$2:$A$164,'Specs'!$J$2:$J$164,"")</x:f>
      </x:c>
      <x:c r="K96" t="str">
        <x:f>XLOOKUP($A96,'Specs'!$A$2:$A$164,'Specs'!$K$2:$K$164,"")</x:f>
      </x:c>
      <x:c r="L96" t="str">
        <x:f>XLOOKUP($A96,'Specs'!$A$2:$A$164,'Specs'!$L$2:$L$164,"")</x:f>
      </x:c>
      <x:c r="M96" t="n">
        <x:f>XLOOKUP($A96,'Specs'!$A$2:$A$164,'Specs'!$M$2:$M$164,"")</x:f>
        <x:v>630</x:v>
      </x:c>
      <x:c r="N96" t="str">
        <x:f>XLOOKUP($A96,'Specs'!$A$2:$A$164,'Specs'!$N$2:$N$164,"")</x:f>
      </x:c>
      <x:c r="O96" t="str">
        <x:f>XLOOKUP($A96,'Specs'!$A$2:$A$164,'Specs'!$O$2:$O$164,"")</x:f>
      </x:c>
      <x:c r="P96" t="str">
        <x:f>XLOOKUP($A96,'Specs'!$A$2:$A$164,'Specs'!$P$2:$P$164,"")</x:f>
        <x:v>MEDIUM</x:v>
      </x:c>
      <x:c r="Q96" s="53" t="n">
        <x:f>XLOOKUP($A96,'Specs'!$A$2:$A$164,'Specs'!$Q$2:$Q$164,"")</x:f>
        <x:v>2</x:v>
      </x:c>
      <x:c r="R96" s="53" t="n">
        <x:f>XLOOKUP($A96,'Specs'!$A$2:$A$164,'Specs'!$R$2:$R$164,"")</x:f>
        <x:v>1</x:v>
      </x:c>
      <x:c r="S96" t="str">
        <x:f>'Vendor Options'!A96</x:f>
        <x:v>OFFER-B55BB12150E2</x:v>
      </x:c>
      <x:c r="T96" t="str">
        <x:f>'Vendor Options'!C96</x:f>
        <x:v>DK</x:v>
      </x:c>
      <x:c r="U96" t="str">
        <x:f>'Vendor Options'!D96</x:f>
        <x:v>THUMB PULL TRIM</x:v>
      </x:c>
      <x:c r="V96" t="str">
        <x:f>'Vendor Options'!E96</x:f>
        <x:v>THUMB PULL TRIM</x:v>
      </x:c>
      <x:c r="W96" t="n">
        <x:f>'Vendor Options'!F96</x:f>
        <x:v>0</x:v>
      </x:c>
      <x:c r="X96" t="str">
        <x:f>'Vendor Options'!G96</x:f>
        <x:v>HRT05</x:v>
      </x:c>
      <x:c r="Y96" t="str">
        <x:f>'Vendor Options'!H96</x:f>
        <x:v>HRT05</x:v>
      </x:c>
      <x:c r="Z96" t="str">
        <x:f>'Vendor Options'!I96</x:f>
      </x:c>
      <x:c r="AA96" s="54" t="n">
        <x:f>'Vendor Options'!J96</x:f>
        <x:v>467</x:v>
      </x:c>
      <x:c r="AB96" t="n">
        <x:f>'Vendor Options'!K96</x:f>
        <x:v>0</x:v>
      </x:c>
      <x:c r="AC96" s="57" t="n">
        <x:f>'Vendor Options'!L96</x:f>
        <x:v>0</x:v>
      </x:c>
      <x:c r="AD96" s="57" t="n">
        <x:f>'Vendor Options'!M96</x:f>
        <x:v>0</x:v>
      </x:c>
      <x:c r="AE96" s="54" t="n">
        <x:f>'Vendor Options'!N96</x:f>
        <x:v>467</x:v>
      </x:c>
      <x:c r="AF96" t="str">
        <x:f>'Vendor Options'!O96</x:f>
        <x:v>USD</x:v>
      </x:c>
      <x:c r="AG96" t="str">
        <x:f>'Vendor Options'!P96</x:f>
        <x:v>PRICED</x:v>
      </x:c>
      <x:c r="AH96" t="str">
        <x:f>'Vendor Options'!Q96</x:f>
        <x:v>ACTIVE</x:v>
      </x:c>
      <x:c r="AI96" t="str">
        <x:f>'Vendor Options'!R96</x:f>
      </x:c>
      <x:c r="AJ96" t="n">
        <x:f>'Vendor Options'!S96</x:f>
        <x:v>327</x:v>
      </x:c>
    </x:row>
    <x:row r="97" ht="15" hidden="0" customHeight="1">
      <x:c r="A97" t="str">
        <x:f>'Vendor Options'!B97</x:f>
        <x:v>SPEC-558A3F2C2CA4</x:v>
      </x:c>
      <x:c r="B97" t="str">
        <x:f>XLOOKUP($A97,'Specs'!$A$2:$A$164,'Specs'!$B$2:$B$164,"")</x:f>
        <x:v>EXIT DEVICE</x:v>
      </x:c>
      <x:c r="C97" t="str">
        <x:f>XLOOKUP($A97,'Specs'!$A$2:$A$164,'Specs'!$C$2:$C$164,"")</x:f>
        <x:v>PANIC / EXIT DEVICE</x:v>
      </x:c>
      <x:c r="D97" t="str">
        <x:f>XLOOKUP($A97,'Specs'!$A$2:$A$164,'Specs'!$D$2:$D$164,"")</x:f>
        <x:v>RIM</x:v>
      </x:c>
      <x:c r="E97" t="str">
        <x:f>XLOOKUP($A97,'Specs'!$A$2:$A$164,'Specs'!$E$2:$E$164,"")</x:f>
        <x:v>EXIT DEVICE</x:v>
      </x:c>
      <x:c r="F97" t="str">
        <x:f>XLOOKUP($A97,'Specs'!$A$2:$A$164,'Specs'!$F$2:$F$164,"")</x:f>
        <x:v>NOT APPLICABLE</x:v>
      </x:c>
      <x:c r="G97" t="str">
        <x:f>XLOOKUP($A97,'Specs'!$A$2:$A$164,'Specs'!$G$2:$G$164,"")</x:f>
      </x:c>
      <x:c r="H97" t="str">
        <x:f>XLOOKUP($A97,'Specs'!$A$2:$A$164,'Specs'!$H$2:$H$164,"")</x:f>
        <x:v>FIRE</x:v>
      </x:c>
      <x:c r="I97" t="str">
        <x:f>XLOOKUP($A97,'Specs'!$A$2:$A$164,'Specs'!$I$2:$I$164,"")</x:f>
      </x:c>
      <x:c r="J97" t="str">
        <x:f>XLOOKUP($A97,'Specs'!$A$2:$A$164,'Specs'!$J$2:$J$164,"")</x:f>
      </x:c>
      <x:c r="K97" t="str">
        <x:f>XLOOKUP($A97,'Specs'!$A$2:$A$164,'Specs'!$K$2:$K$164,"")</x:f>
      </x:c>
      <x:c r="L97" t="str">
        <x:f>XLOOKUP($A97,'Specs'!$A$2:$A$164,'Specs'!$L$2:$L$164,"")</x:f>
      </x:c>
      <x:c r="M97" t="str">
        <x:f>XLOOKUP($A97,'Specs'!$A$2:$A$164,'Specs'!$M$2:$M$164,"")</x:f>
      </x:c>
      <x:c r="N97" t="str">
        <x:f>XLOOKUP($A97,'Specs'!$A$2:$A$164,'Specs'!$N$2:$N$164,"")</x:f>
      </x:c>
      <x:c r="O97" t="str">
        <x:f>XLOOKUP($A97,'Specs'!$A$2:$A$164,'Specs'!$O$2:$O$164,"")</x:f>
        <x:v>ACCESSORY / ADDER</x:v>
      </x:c>
      <x:c r="P97" t="str">
        <x:f>XLOOKUP($A97,'Specs'!$A$2:$A$164,'Specs'!$P$2:$P$164,"")</x:f>
        <x:v>MEDIUM</x:v>
      </x:c>
      <x:c r="Q97" s="53" t="n">
        <x:f>XLOOKUP($A97,'Specs'!$A$2:$A$164,'Specs'!$Q$2:$Q$164,"")</x:f>
        <x:v>1</x:v>
      </x:c>
      <x:c r="R97" s="53" t="n">
        <x:f>XLOOKUP($A97,'Specs'!$A$2:$A$164,'Specs'!$R$2:$R$164,"")</x:f>
        <x:v>1</x:v>
      </x:c>
      <x:c r="S97" t="str">
        <x:f>'Vendor Options'!A97</x:f>
        <x:v>OFFER-4C1667D806E4</x:v>
      </x:c>
      <x:c r="T97" t="str">
        <x:f>'Vendor Options'!C97</x:f>
        <x:v>PHI</x:v>
      </x:c>
      <x:c r="U97" t="str">
        <x:f>'Vendor Options'!D97</x:f>
        <x:v>FIRE ADDER</x:v>
      </x:c>
      <x:c r="V97" t="n">
        <x:f>'Vendor Options'!E97</x:f>
        <x:v>0</x:v>
      </x:c>
      <x:c r="W97" t="n">
        <x:f>'Vendor Options'!F97</x:f>
        <x:v>0</x:v>
      </x:c>
      <x:c r="X97" t="n">
        <x:f>'Vendor Options'!G97</x:f>
        <x:v>0</x:v>
      </x:c>
      <x:c r="Y97" t="n">
        <x:f>'Vendor Options'!H97</x:f>
        <x:v>0</x:v>
      </x:c>
      <x:c r="Z97" t="str">
        <x:f>'Vendor Options'!I97</x:f>
      </x:c>
      <x:c r="AA97" s="54" t="n">
        <x:f>'Vendor Options'!J97</x:f>
        <x:v>292</x:v>
      </x:c>
      <x:c r="AB97" t="n">
        <x:f>'Vendor Options'!K97</x:f>
        <x:v>0</x:v>
      </x:c>
      <x:c r="AC97" s="57" t="n">
        <x:f>'Vendor Options'!L97</x:f>
        <x:v>0</x:v>
      </x:c>
      <x:c r="AD97" s="57" t="n">
        <x:f>'Vendor Options'!M97</x:f>
        <x:v>0</x:v>
      </x:c>
      <x:c r="AE97" s="54" t="n">
        <x:f>'Vendor Options'!N97</x:f>
        <x:v>292</x:v>
      </x:c>
      <x:c r="AF97" t="str">
        <x:f>'Vendor Options'!O97</x:f>
        <x:v>USD</x:v>
      </x:c>
      <x:c r="AG97" t="str">
        <x:f>'Vendor Options'!P97</x:f>
        <x:v>PRICED</x:v>
      </x:c>
      <x:c r="AH97" t="str">
        <x:f>'Vendor Options'!Q97</x:f>
        <x:v>REVIEW</x:v>
      </x:c>
      <x:c r="AI97" t="str">
        <x:f>'Vendor Options'!R97</x:f>
        <x:v>MISSING_PART_NUMBER</x:v>
      </x:c>
      <x:c r="AJ97" t="n">
        <x:f>'Vendor Options'!S97</x:f>
        <x:v>339</x:v>
      </x:c>
    </x:row>
    <x:row r="98" ht="15" hidden="0" customHeight="1">
      <x:c r="A98" t="str">
        <x:f>'Vendor Options'!B98</x:f>
        <x:v>SPEC-9681E11277B4</x:v>
      </x:c>
      <x:c r="B98" t="str">
        <x:f>XLOOKUP($A98,'Specs'!$A$2:$A$164,'Specs'!$B$2:$B$164,"")</x:f>
        <x:v>EXIT DEVICE</x:v>
      </x:c>
      <x:c r="C98" t="str">
        <x:f>XLOOKUP($A98,'Specs'!$A$2:$A$164,'Specs'!$C$2:$C$164,"")</x:f>
        <x:v>PANIC / EXIT DEVICE</x:v>
      </x:c>
      <x:c r="D98" t="str">
        <x:f>XLOOKUP($A98,'Specs'!$A$2:$A$164,'Specs'!$D$2:$D$164,"")</x:f>
        <x:v>RIM</x:v>
      </x:c>
      <x:c r="E98" t="str">
        <x:f>XLOOKUP($A98,'Specs'!$A$2:$A$164,'Specs'!$E$2:$E$164,"")</x:f>
        <x:v>EXIT DEVICE</x:v>
      </x:c>
      <x:c r="F98" t="str">
        <x:f>XLOOKUP($A98,'Specs'!$A$2:$A$164,'Specs'!$F$2:$F$164,"")</x:f>
        <x:v>NOT APPLICABLE</x:v>
      </x:c>
      <x:c r="G98" t="str">
        <x:f>XLOOKUP($A98,'Specs'!$A$2:$A$164,'Specs'!$G$2:$G$164,"")</x:f>
      </x:c>
      <x:c r="H98" t="str">
        <x:f>XLOOKUP($A98,'Specs'!$A$2:$A$164,'Specs'!$H$2:$H$164,"")</x:f>
        <x:v>PANIC</x:v>
      </x:c>
      <x:c r="I98" t="str">
        <x:f>XLOOKUP($A98,'Specs'!$A$2:$A$164,'Specs'!$I$2:$I$164,"")</x:f>
      </x:c>
      <x:c r="J98" t="str">
        <x:f>XLOOKUP($A98,'Specs'!$A$2:$A$164,'Specs'!$J$2:$J$164,"")</x:f>
      </x:c>
      <x:c r="K98" t="str">
        <x:f>XLOOKUP($A98,'Specs'!$A$2:$A$164,'Specs'!$K$2:$K$164,"")</x:f>
      </x:c>
      <x:c r="L98" t="str">
        <x:f>XLOOKUP($A98,'Specs'!$A$2:$A$164,'Specs'!$L$2:$L$164,"")</x:f>
      </x:c>
      <x:c r="M98" t="n">
        <x:f>XLOOKUP($A98,'Specs'!$A$2:$A$164,'Specs'!$M$2:$M$164,"")</x:f>
        <x:v>630</x:v>
      </x:c>
      <x:c r="N98" t="str">
        <x:f>XLOOKUP($A98,'Specs'!$A$2:$A$164,'Specs'!$N$2:$N$164,"")</x:f>
        <x:v>FAIL SAFE</x:v>
      </x:c>
      <x:c r="O98" t="str">
        <x:f>XLOOKUP($A98,'Specs'!$A$2:$A$164,'Specs'!$O$2:$O$164,"")</x:f>
      </x:c>
      <x:c r="P98" t="str">
        <x:f>XLOOKUP($A98,'Specs'!$A$2:$A$164,'Specs'!$P$2:$P$164,"")</x:f>
        <x:v>HIGH</x:v>
      </x:c>
      <x:c r="Q98" s="53" t="n">
        <x:f>XLOOKUP($A98,'Specs'!$A$2:$A$164,'Specs'!$Q$2:$Q$164,"")</x:f>
        <x:v>1</x:v>
      </x:c>
      <x:c r="R98" s="53" t="n">
        <x:f>XLOOKUP($A98,'Specs'!$A$2:$A$164,'Specs'!$R$2:$R$164,"")</x:f>
        <x:v>1</x:v>
      </x:c>
      <x:c r="S98" t="str">
        <x:f>'Vendor Options'!A98</x:f>
        <x:v>OFFER-834DF9656AA4</x:v>
      </x:c>
      <x:c r="T98" t="str">
        <x:f>'Vendor Options'!C98</x:f>
        <x:v>PHI</x:v>
      </x:c>
      <x:c r="U98" t="str">
        <x:f>'Vendor Options'!D98</x:f>
        <x:v>EL LEVER DOGGING</x:v>
      </x:c>
      <x:c r="V98" t="str">
        <x:f>'Vendor Options'!E98</x:f>
        <x:v>2400 BASE EL LOCK/UNLOCK</x:v>
      </x:c>
      <x:c r="W98" t="n">
        <x:f>'Vendor Options'!F98</x:f>
        <x:v>0</x:v>
      </x:c>
      <x:c r="X98" t="n">
        <x:f>'Vendor Options'!G98</x:f>
        <x:v>0</x:v>
      </x:c>
      <x:c r="Y98" t="n">
        <x:f>'Vendor Options'!H98</x:f>
        <x:v>0</x:v>
      </x:c>
      <x:c r="Z98" t="n">
        <x:f>'Vendor Options'!I98</x:f>
        <x:v>0</x:v>
      </x:c>
      <x:c r="AA98" s="54" t="n">
        <x:f>'Vendor Options'!J98</x:f>
        <x:v>5918</x:v>
      </x:c>
      <x:c r="AB98" t="n">
        <x:f>'Vendor Options'!K98</x:f>
        <x:v>0</x:v>
      </x:c>
      <x:c r="AC98" s="57" t="n">
        <x:f>'Vendor Options'!L98</x:f>
        <x:v>0</x:v>
      </x:c>
      <x:c r="AD98" s="57" t="n">
        <x:f>'Vendor Options'!M98</x:f>
        <x:v>0</x:v>
      </x:c>
      <x:c r="AE98" s="54" t="n">
        <x:f>'Vendor Options'!N98</x:f>
        <x:v>5918</x:v>
      </x:c>
      <x:c r="AF98" t="str">
        <x:f>'Vendor Options'!O98</x:f>
        <x:v>USD</x:v>
      </x:c>
      <x:c r="AG98" t="str">
        <x:f>'Vendor Options'!P98</x:f>
        <x:v>PRICED</x:v>
      </x:c>
      <x:c r="AH98" t="str">
        <x:f>'Vendor Options'!Q98</x:f>
        <x:v>REVIEW</x:v>
      </x:c>
      <x:c r="AI98" t="str">
        <x:f>'Vendor Options'!R98</x:f>
        <x:v>MISSING_PART_NUMBER</x:v>
      </x:c>
      <x:c r="AJ98" t="n">
        <x:f>'Vendor Options'!S98</x:f>
        <x:v>338</x:v>
      </x:c>
    </x:row>
    <x:row r="99" ht="15" hidden="0" customHeight="1">
      <x:c r="A99" t="str">
        <x:f>'Vendor Options'!B99</x:f>
        <x:v>SPEC-20C076C9626B</x:v>
      </x:c>
      <x:c r="B99" t="str">
        <x:f>XLOOKUP($A99,'Specs'!$A$2:$A$164,'Specs'!$B$2:$B$164,"")</x:f>
        <x:v>EXIT DEVICE</x:v>
      </x:c>
      <x:c r="C99" t="str">
        <x:f>XLOOKUP($A99,'Specs'!$A$2:$A$164,'Specs'!$C$2:$C$164,"")</x:f>
        <x:v>PANIC / EXIT DEVICE</x:v>
      </x:c>
      <x:c r="D99" t="str">
        <x:f>XLOOKUP($A99,'Specs'!$A$2:$A$164,'Specs'!$D$2:$D$164,"")</x:f>
        <x:v>RIM</x:v>
      </x:c>
      <x:c r="E99" t="str">
        <x:f>XLOOKUP($A99,'Specs'!$A$2:$A$164,'Specs'!$E$2:$E$164,"")</x:f>
        <x:v>EXIT DEVICE</x:v>
      </x:c>
      <x:c r="F99" t="str">
        <x:f>XLOOKUP($A99,'Specs'!$A$2:$A$164,'Specs'!$F$2:$F$164,"")</x:f>
        <x:v>NOT APPLICABLE</x:v>
      </x:c>
      <x:c r="G99" t="str">
        <x:f>XLOOKUP($A99,'Specs'!$A$2:$A$164,'Specs'!$G$2:$G$164,"")</x:f>
      </x:c>
      <x:c r="H99" t="str">
        <x:f>XLOOKUP($A99,'Specs'!$A$2:$A$164,'Specs'!$H$2:$H$164,"")</x:f>
        <x:v>TDI</x:v>
      </x:c>
      <x:c r="I99" t="str">
        <x:f>XLOOKUP($A99,'Specs'!$A$2:$A$164,'Specs'!$I$2:$I$164,"")</x:f>
      </x:c>
      <x:c r="J99" t="str">
        <x:f>XLOOKUP($A99,'Specs'!$A$2:$A$164,'Specs'!$J$2:$J$164,"")</x:f>
      </x:c>
      <x:c r="K99" t="str">
        <x:f>XLOOKUP($A99,'Specs'!$A$2:$A$164,'Specs'!$K$2:$K$164,"")</x:f>
      </x:c>
      <x:c r="L99" t="str">
        <x:f>XLOOKUP($A99,'Specs'!$A$2:$A$164,'Specs'!$L$2:$L$164,"")</x:f>
      </x:c>
      <x:c r="M99" t="str">
        <x:f>XLOOKUP($A99,'Specs'!$A$2:$A$164,'Specs'!$M$2:$M$164,"")</x:f>
      </x:c>
      <x:c r="N99" t="str">
        <x:f>XLOOKUP($A99,'Specs'!$A$2:$A$164,'Specs'!$N$2:$N$164,"")</x:f>
      </x:c>
      <x:c r="O99" t="str">
        <x:f>XLOOKUP($A99,'Specs'!$A$2:$A$164,'Specs'!$O$2:$O$164,"")</x:f>
        <x:v>ACCESSORY / ADDER</x:v>
      </x:c>
      <x:c r="P99" t="str">
        <x:f>XLOOKUP($A99,'Specs'!$A$2:$A$164,'Specs'!$P$2:$P$164,"")</x:f>
        <x:v>MEDIUM</x:v>
      </x:c>
      <x:c r="Q99" s="53" t="n">
        <x:f>XLOOKUP($A99,'Specs'!$A$2:$A$164,'Specs'!$Q$2:$Q$164,"")</x:f>
        <x:v>2</x:v>
      </x:c>
      <x:c r="R99" s="53" t="n">
        <x:f>XLOOKUP($A99,'Specs'!$A$2:$A$164,'Specs'!$R$2:$R$164,"")</x:f>
        <x:v>2</x:v>
      </x:c>
      <x:c r="S99" t="str">
        <x:f>'Vendor Options'!A99</x:f>
        <x:v>OFFER-63F8C9C6FEE8</x:v>
      </x:c>
      <x:c r="T99" t="str">
        <x:f>'Vendor Options'!C99</x:f>
        <x:v>DK</x:v>
      </x:c>
      <x:c r="U99" t="str">
        <x:f>'Vendor Options'!D99</x:f>
        <x:v>TDI ADDER</x:v>
      </x:c>
      <x:c r="V99" t="n">
        <x:f>'Vendor Options'!E99</x:f>
        <x:v>0</x:v>
      </x:c>
      <x:c r="W99" t="n">
        <x:f>'Vendor Options'!F99</x:f>
        <x:v>0</x:v>
      </x:c>
      <x:c r="X99" t="n">
        <x:f>'Vendor Options'!G99</x:f>
        <x:v>0</x:v>
      </x:c>
      <x:c r="Y99" t="n">
        <x:f>'Vendor Options'!H99</x:f>
        <x:v>0</x:v>
      </x:c>
      <x:c r="Z99" t="str">
        <x:f>'Vendor Options'!I99</x:f>
      </x:c>
      <x:c r="AA99" s="54" t="n">
        <x:f>'Vendor Options'!J99</x:f>
        <x:v>0</x:v>
      </x:c>
      <x:c r="AB99" t="n">
        <x:f>'Vendor Options'!K99</x:f>
        <x:v>0</x:v>
      </x:c>
      <x:c r="AC99" s="57" t="n">
        <x:f>'Vendor Options'!L99</x:f>
        <x:v>0</x:v>
      </x:c>
      <x:c r="AD99" s="57" t="n">
        <x:f>'Vendor Options'!M99</x:f>
        <x:v>0</x:v>
      </x:c>
      <x:c r="AE99" s="54" t="str">
        <x:f>'Vendor Options'!N99</x:f>
      </x:c>
      <x:c r="AF99" t="str">
        <x:f>'Vendor Options'!O99</x:f>
        <x:v>USD</x:v>
      </x:c>
      <x:c r="AG99" t="str">
        <x:f>'Vendor Options'!P99</x:f>
        <x:v>UNPRICED</x:v>
      </x:c>
      <x:c r="AH99" t="str">
        <x:f>'Vendor Options'!Q99</x:f>
        <x:v>REVIEW</x:v>
      </x:c>
      <x:c r="AI99" t="str">
        <x:f>'Vendor Options'!R99</x:f>
        <x:v>MISSING_PRICE; MISSING_PART_NUMBER</x:v>
      </x:c>
      <x:c r="AJ99" t="n">
        <x:f>'Vendor Options'!S99</x:f>
        <x:v>323</x:v>
      </x:c>
    </x:row>
    <x:row r="100" ht="15" hidden="0" customHeight="1">
      <x:c r="A100" t="str">
        <x:f>'Vendor Options'!B100</x:f>
        <x:v>SPEC-20C076C9626B</x:v>
      </x:c>
      <x:c r="B100" t="str">
        <x:f>XLOOKUP($A100,'Specs'!$A$2:$A$164,'Specs'!$B$2:$B$164,"")</x:f>
        <x:v>EXIT DEVICE</x:v>
      </x:c>
      <x:c r="C100" t="str">
        <x:f>XLOOKUP($A100,'Specs'!$A$2:$A$164,'Specs'!$C$2:$C$164,"")</x:f>
        <x:v>PANIC / EXIT DEVICE</x:v>
      </x:c>
      <x:c r="D100" t="str">
        <x:f>XLOOKUP($A100,'Specs'!$A$2:$A$164,'Specs'!$D$2:$D$164,"")</x:f>
        <x:v>RIM</x:v>
      </x:c>
      <x:c r="E100" t="str">
        <x:f>XLOOKUP($A100,'Specs'!$A$2:$A$164,'Specs'!$E$2:$E$164,"")</x:f>
        <x:v>EXIT DEVICE</x:v>
      </x:c>
      <x:c r="F100" t="str">
        <x:f>XLOOKUP($A100,'Specs'!$A$2:$A$164,'Specs'!$F$2:$F$164,"")</x:f>
        <x:v>NOT APPLICABLE</x:v>
      </x:c>
      <x:c r="G100" t="str">
        <x:f>XLOOKUP($A100,'Specs'!$A$2:$A$164,'Specs'!$G$2:$G$164,"")</x:f>
      </x:c>
      <x:c r="H100" t="str">
        <x:f>XLOOKUP($A100,'Specs'!$A$2:$A$164,'Specs'!$H$2:$H$164,"")</x:f>
        <x:v>TDI</x:v>
      </x:c>
      <x:c r="I100" t="str">
        <x:f>XLOOKUP($A100,'Specs'!$A$2:$A$164,'Specs'!$I$2:$I$164,"")</x:f>
      </x:c>
      <x:c r="J100" t="str">
        <x:f>XLOOKUP($A100,'Specs'!$A$2:$A$164,'Specs'!$J$2:$J$164,"")</x:f>
      </x:c>
      <x:c r="K100" t="str">
        <x:f>XLOOKUP($A100,'Specs'!$A$2:$A$164,'Specs'!$K$2:$K$164,"")</x:f>
      </x:c>
      <x:c r="L100" t="str">
        <x:f>XLOOKUP($A100,'Specs'!$A$2:$A$164,'Specs'!$L$2:$L$164,"")</x:f>
      </x:c>
      <x:c r="M100" t="str">
        <x:f>XLOOKUP($A100,'Specs'!$A$2:$A$164,'Specs'!$M$2:$M$164,"")</x:f>
      </x:c>
      <x:c r="N100" t="str">
        <x:f>XLOOKUP($A100,'Specs'!$A$2:$A$164,'Specs'!$N$2:$N$164,"")</x:f>
      </x:c>
      <x:c r="O100" t="str">
        <x:f>XLOOKUP($A100,'Specs'!$A$2:$A$164,'Specs'!$O$2:$O$164,"")</x:f>
        <x:v>ACCESSORY / ADDER</x:v>
      </x:c>
      <x:c r="P100" t="str">
        <x:f>XLOOKUP($A100,'Specs'!$A$2:$A$164,'Specs'!$P$2:$P$164,"")</x:f>
        <x:v>MEDIUM</x:v>
      </x:c>
      <x:c r="Q100" s="53" t="n">
        <x:f>XLOOKUP($A100,'Specs'!$A$2:$A$164,'Specs'!$Q$2:$Q$164,"")</x:f>
        <x:v>2</x:v>
      </x:c>
      <x:c r="R100" s="53" t="n">
        <x:f>XLOOKUP($A100,'Specs'!$A$2:$A$164,'Specs'!$R$2:$R$164,"")</x:f>
        <x:v>2</x:v>
      </x:c>
      <x:c r="S100" t="str">
        <x:f>'Vendor Options'!A100</x:f>
        <x:v>OFFER-2ECB555036ED</x:v>
      </x:c>
      <x:c r="T100" t="str">
        <x:f>'Vendor Options'!C100</x:f>
        <x:v>PHI</x:v>
      </x:c>
      <x:c r="U100" t="str">
        <x:f>'Vendor Options'!D100</x:f>
        <x:v>TDI ADDER</x:v>
      </x:c>
      <x:c r="V100" t="n">
        <x:f>'Vendor Options'!E100</x:f>
        <x:v>0</x:v>
      </x:c>
      <x:c r="W100" t="n">
        <x:f>'Vendor Options'!F100</x:f>
        <x:v>0</x:v>
      </x:c>
      <x:c r="X100" t="n">
        <x:f>'Vendor Options'!G100</x:f>
        <x:v>0</x:v>
      </x:c>
      <x:c r="Y100" t="n">
        <x:f>'Vendor Options'!H100</x:f>
        <x:v>0</x:v>
      </x:c>
      <x:c r="Z100" t="str">
        <x:f>'Vendor Options'!I100</x:f>
      </x:c>
      <x:c r="AA100" s="54" t="n">
        <x:f>'Vendor Options'!J100</x:f>
        <x:v>67</x:v>
      </x:c>
      <x:c r="AB100" t="n">
        <x:f>'Vendor Options'!K100</x:f>
        <x:v>0</x:v>
      </x:c>
      <x:c r="AC100" s="57" t="n">
        <x:f>'Vendor Options'!L100</x:f>
        <x:v>0</x:v>
      </x:c>
      <x:c r="AD100" s="57" t="n">
        <x:f>'Vendor Options'!M100</x:f>
        <x:v>0</x:v>
      </x:c>
      <x:c r="AE100" s="54" t="n">
        <x:f>'Vendor Options'!N100</x:f>
        <x:v>67</x:v>
      </x:c>
      <x:c r="AF100" t="str">
        <x:f>'Vendor Options'!O100</x:f>
        <x:v>USD</x:v>
      </x:c>
      <x:c r="AG100" t="str">
        <x:f>'Vendor Options'!P100</x:f>
        <x:v>PRICED</x:v>
      </x:c>
      <x:c r="AH100" t="str">
        <x:f>'Vendor Options'!Q100</x:f>
        <x:v>REVIEW</x:v>
      </x:c>
      <x:c r="AI100" t="str">
        <x:f>'Vendor Options'!R100</x:f>
        <x:v>MISSING_PART_NUMBER</x:v>
      </x:c>
      <x:c r="AJ100" t="n">
        <x:f>'Vendor Options'!S100</x:f>
        <x:v>341</x:v>
      </x:c>
    </x:row>
    <x:row r="101" ht="15" hidden="0" customHeight="1">
      <x:c r="A101" t="str">
        <x:f>'Vendor Options'!B101</x:f>
        <x:v>SPEC-283CB2D05CC5</x:v>
      </x:c>
      <x:c r="B101" t="str">
        <x:f>XLOOKUP($A101,'Specs'!$A$2:$A$164,'Specs'!$B$2:$B$164,"")</x:f>
        <x:v>EXIT DEVICE</x:v>
      </x:c>
      <x:c r="C101" t="str">
        <x:f>XLOOKUP($A101,'Specs'!$A$2:$A$164,'Specs'!$C$2:$C$164,"")</x:f>
        <x:v>PANIC / EXIT DEVICE</x:v>
      </x:c>
      <x:c r="D101" t="str">
        <x:f>XLOOKUP($A101,'Specs'!$A$2:$A$164,'Specs'!$D$2:$D$164,"")</x:f>
        <x:v>RIM</x:v>
      </x:c>
      <x:c r="E101" t="str">
        <x:f>XLOOKUP($A101,'Specs'!$A$2:$A$164,'Specs'!$E$2:$E$164,"")</x:f>
        <x:v>EXIT DEVICE</x:v>
      </x:c>
      <x:c r="F101" t="str">
        <x:f>XLOOKUP($A101,'Specs'!$A$2:$A$164,'Specs'!$F$2:$F$164,"")</x:f>
        <x:v>NOT APPLICABLE</x:v>
      </x:c>
      <x:c r="G101" t="str">
        <x:f>XLOOKUP($A101,'Specs'!$A$2:$A$164,'Specs'!$G$2:$G$164,"")</x:f>
      </x:c>
      <x:c r="H101" t="str">
        <x:f>XLOOKUP($A101,'Specs'!$A$2:$A$164,'Specs'!$H$2:$H$164,"")</x:f>
        <x:v>WIND</x:v>
      </x:c>
      <x:c r="I101" t="str">
        <x:f>XLOOKUP($A101,'Specs'!$A$2:$A$164,'Specs'!$I$2:$I$164,"")</x:f>
      </x:c>
      <x:c r="J101" t="str">
        <x:f>XLOOKUP($A101,'Specs'!$A$2:$A$164,'Specs'!$J$2:$J$164,"")</x:f>
      </x:c>
      <x:c r="K101" t="str">
        <x:f>XLOOKUP($A101,'Specs'!$A$2:$A$164,'Specs'!$K$2:$K$164,"")</x:f>
      </x:c>
      <x:c r="L101" t="str">
        <x:f>XLOOKUP($A101,'Specs'!$A$2:$A$164,'Specs'!$L$2:$L$164,"")</x:f>
      </x:c>
      <x:c r="M101" t="str">
        <x:f>XLOOKUP($A101,'Specs'!$A$2:$A$164,'Specs'!$M$2:$M$164,"")</x:f>
      </x:c>
      <x:c r="N101" t="str">
        <x:f>XLOOKUP($A101,'Specs'!$A$2:$A$164,'Specs'!$N$2:$N$164,"")</x:f>
      </x:c>
      <x:c r="O101" t="str">
        <x:f>XLOOKUP($A101,'Specs'!$A$2:$A$164,'Specs'!$O$2:$O$164,"")</x:f>
        <x:v>ACCESSORY / ADDER</x:v>
      </x:c>
      <x:c r="P101" t="str">
        <x:f>XLOOKUP($A101,'Specs'!$A$2:$A$164,'Specs'!$P$2:$P$164,"")</x:f>
        <x:v>MEDIUM</x:v>
      </x:c>
      <x:c r="Q101" s="53" t="n">
        <x:f>XLOOKUP($A101,'Specs'!$A$2:$A$164,'Specs'!$Q$2:$Q$164,"")</x:f>
        <x:v>2</x:v>
      </x:c>
      <x:c r="R101" s="53" t="n">
        <x:f>XLOOKUP($A101,'Specs'!$A$2:$A$164,'Specs'!$R$2:$R$164,"")</x:f>
        <x:v>2</x:v>
      </x:c>
      <x:c r="S101" t="str">
        <x:f>'Vendor Options'!A101</x:f>
        <x:v>OFFER-6DDC6924A08A</x:v>
      </x:c>
      <x:c r="T101" t="str">
        <x:f>'Vendor Options'!C101</x:f>
        <x:v>DK</x:v>
      </x:c>
      <x:c r="U101" t="str">
        <x:f>'Vendor Options'!D101</x:f>
        <x:v>WIND ADDER</x:v>
      </x:c>
      <x:c r="V101" t="n">
        <x:f>'Vendor Options'!E101</x:f>
        <x:v>0</x:v>
      </x:c>
      <x:c r="W101" t="n">
        <x:f>'Vendor Options'!F101</x:f>
        <x:v>0</x:v>
      </x:c>
      <x:c r="X101" t="n">
        <x:f>'Vendor Options'!G101</x:f>
        <x:v>0</x:v>
      </x:c>
      <x:c r="Y101" t="n">
        <x:f>'Vendor Options'!H101</x:f>
        <x:v>0</x:v>
      </x:c>
      <x:c r="Z101" t="str">
        <x:f>'Vendor Options'!I101</x:f>
      </x:c>
      <x:c r="AA101" s="54" t="n">
        <x:f>'Vendor Options'!J101</x:f>
        <x:v>256</x:v>
      </x:c>
      <x:c r="AB101" t="n">
        <x:f>'Vendor Options'!K101</x:f>
        <x:v>0</x:v>
      </x:c>
      <x:c r="AC101" s="57" t="n">
        <x:f>'Vendor Options'!L101</x:f>
        <x:v>0</x:v>
      </x:c>
      <x:c r="AD101" s="57" t="n">
        <x:f>'Vendor Options'!M101</x:f>
        <x:v>0</x:v>
      </x:c>
      <x:c r="AE101" s="54" t="n">
        <x:f>'Vendor Options'!N101</x:f>
        <x:v>256</x:v>
      </x:c>
      <x:c r="AF101" t="str">
        <x:f>'Vendor Options'!O101</x:f>
        <x:v>USD</x:v>
      </x:c>
      <x:c r="AG101" t="str">
        <x:f>'Vendor Options'!P101</x:f>
        <x:v>PRICED</x:v>
      </x:c>
      <x:c r="AH101" t="str">
        <x:f>'Vendor Options'!Q101</x:f>
        <x:v>REVIEW</x:v>
      </x:c>
      <x:c r="AI101" t="str">
        <x:f>'Vendor Options'!R101</x:f>
        <x:v>MISSING_PART_NUMBER</x:v>
      </x:c>
      <x:c r="AJ101" t="n">
        <x:f>'Vendor Options'!S101</x:f>
        <x:v>322</x:v>
      </x:c>
    </x:row>
    <x:row r="102" ht="15" hidden="0" customHeight="1">
      <x:c r="A102" t="str">
        <x:f>'Vendor Options'!B102</x:f>
        <x:v>SPEC-283CB2D05CC5</x:v>
      </x:c>
      <x:c r="B102" t="str">
        <x:f>XLOOKUP($A102,'Specs'!$A$2:$A$164,'Specs'!$B$2:$B$164,"")</x:f>
        <x:v>EXIT DEVICE</x:v>
      </x:c>
      <x:c r="C102" t="str">
        <x:f>XLOOKUP($A102,'Specs'!$A$2:$A$164,'Specs'!$C$2:$C$164,"")</x:f>
        <x:v>PANIC / EXIT DEVICE</x:v>
      </x:c>
      <x:c r="D102" t="str">
        <x:f>XLOOKUP($A102,'Specs'!$A$2:$A$164,'Specs'!$D$2:$D$164,"")</x:f>
        <x:v>RIM</x:v>
      </x:c>
      <x:c r="E102" t="str">
        <x:f>XLOOKUP($A102,'Specs'!$A$2:$A$164,'Specs'!$E$2:$E$164,"")</x:f>
        <x:v>EXIT DEVICE</x:v>
      </x:c>
      <x:c r="F102" t="str">
        <x:f>XLOOKUP($A102,'Specs'!$A$2:$A$164,'Specs'!$F$2:$F$164,"")</x:f>
        <x:v>NOT APPLICABLE</x:v>
      </x:c>
      <x:c r="G102" t="str">
        <x:f>XLOOKUP($A102,'Specs'!$A$2:$A$164,'Specs'!$G$2:$G$164,"")</x:f>
      </x:c>
      <x:c r="H102" t="str">
        <x:f>XLOOKUP($A102,'Specs'!$A$2:$A$164,'Specs'!$H$2:$H$164,"")</x:f>
        <x:v>WIND</x:v>
      </x:c>
      <x:c r="I102" t="str">
        <x:f>XLOOKUP($A102,'Specs'!$A$2:$A$164,'Specs'!$I$2:$I$164,"")</x:f>
      </x:c>
      <x:c r="J102" t="str">
        <x:f>XLOOKUP($A102,'Specs'!$A$2:$A$164,'Specs'!$J$2:$J$164,"")</x:f>
      </x:c>
      <x:c r="K102" t="str">
        <x:f>XLOOKUP($A102,'Specs'!$A$2:$A$164,'Specs'!$K$2:$K$164,"")</x:f>
      </x:c>
      <x:c r="L102" t="str">
        <x:f>XLOOKUP($A102,'Specs'!$A$2:$A$164,'Specs'!$L$2:$L$164,"")</x:f>
      </x:c>
      <x:c r="M102" t="str">
        <x:f>XLOOKUP($A102,'Specs'!$A$2:$A$164,'Specs'!$M$2:$M$164,"")</x:f>
      </x:c>
      <x:c r="N102" t="str">
        <x:f>XLOOKUP($A102,'Specs'!$A$2:$A$164,'Specs'!$N$2:$N$164,"")</x:f>
      </x:c>
      <x:c r="O102" t="str">
        <x:f>XLOOKUP($A102,'Specs'!$A$2:$A$164,'Specs'!$O$2:$O$164,"")</x:f>
        <x:v>ACCESSORY / ADDER</x:v>
      </x:c>
      <x:c r="P102" t="str">
        <x:f>XLOOKUP($A102,'Specs'!$A$2:$A$164,'Specs'!$P$2:$P$164,"")</x:f>
        <x:v>MEDIUM</x:v>
      </x:c>
      <x:c r="Q102" s="53" t="n">
        <x:f>XLOOKUP($A102,'Specs'!$A$2:$A$164,'Specs'!$Q$2:$Q$164,"")</x:f>
        <x:v>2</x:v>
      </x:c>
      <x:c r="R102" s="53" t="n">
        <x:f>XLOOKUP($A102,'Specs'!$A$2:$A$164,'Specs'!$R$2:$R$164,"")</x:f>
        <x:v>2</x:v>
      </x:c>
      <x:c r="S102" t="str">
        <x:f>'Vendor Options'!A102</x:f>
        <x:v>OFFER-3D2CE677E537</x:v>
      </x:c>
      <x:c r="T102" t="str">
        <x:f>'Vendor Options'!C102</x:f>
        <x:v>PHI</x:v>
      </x:c>
      <x:c r="U102" t="str">
        <x:f>'Vendor Options'!D102</x:f>
        <x:v>WIND ADDER</x:v>
      </x:c>
      <x:c r="V102" t="n">
        <x:f>'Vendor Options'!E102</x:f>
        <x:v>0</x:v>
      </x:c>
      <x:c r="W102" t="str">
        <x:f>'Vendor Options'!F102</x:f>
      </x:c>
      <x:c r="X102" t="str">
        <x:f>'Vendor Options'!G102</x:f>
      </x:c>
      <x:c r="Y102" t="n">
        <x:f>'Vendor Options'!H102</x:f>
        <x:v>0</x:v>
      </x:c>
      <x:c r="Z102" t="str">
        <x:f>'Vendor Options'!I102</x:f>
      </x:c>
      <x:c r="AA102" s="54" t="n">
        <x:f>'Vendor Options'!J102</x:f>
        <x:v>67</x:v>
      </x:c>
      <x:c r="AB102" t="n">
        <x:f>'Vendor Options'!K102</x:f>
        <x:v>0</x:v>
      </x:c>
      <x:c r="AC102" s="57" t="n">
        <x:f>'Vendor Options'!L102</x:f>
        <x:v>0</x:v>
      </x:c>
      <x:c r="AD102" s="57" t="n">
        <x:f>'Vendor Options'!M102</x:f>
        <x:v>0</x:v>
      </x:c>
      <x:c r="AE102" s="54" t="n">
        <x:f>'Vendor Options'!N102</x:f>
        <x:v>67</x:v>
      </x:c>
      <x:c r="AF102" t="str">
        <x:f>'Vendor Options'!O102</x:f>
        <x:v>USD</x:v>
      </x:c>
      <x:c r="AG102" t="str">
        <x:f>'Vendor Options'!P102</x:f>
        <x:v>PRICED</x:v>
      </x:c>
      <x:c r="AH102" t="str">
        <x:f>'Vendor Options'!Q102</x:f>
        <x:v>REVIEW</x:v>
      </x:c>
      <x:c r="AI102" t="str">
        <x:f>'Vendor Options'!R102</x:f>
        <x:v>MISSING_PART_NUMBER</x:v>
      </x:c>
      <x:c r="AJ102" t="n">
        <x:f>'Vendor Options'!S102</x:f>
        <x:v>340</x:v>
      </x:c>
    </x:row>
    <x:row r="103" ht="15" hidden="0" customHeight="1">
      <x:c r="A103" t="str">
        <x:f>'Vendor Options'!B103</x:f>
        <x:v>SPEC-A085F19A4362</x:v>
      </x:c>
      <x:c r="B103" t="str">
        <x:f>XLOOKUP($A103,'Specs'!$A$2:$A$164,'Specs'!$B$2:$B$164,"")</x:f>
        <x:v>EXIT DEVICE</x:v>
      </x:c>
      <x:c r="C103" t="str">
        <x:f>XLOOKUP($A103,'Specs'!$A$2:$A$164,'Specs'!$C$2:$C$164,"")</x:f>
        <x:v>PANIC / EXIT DEVICE</x:v>
      </x:c>
      <x:c r="D103" t="str">
        <x:f>XLOOKUP($A103,'Specs'!$A$2:$A$164,'Specs'!$D$2:$D$164,"")</x:f>
        <x:v>RIM</x:v>
      </x:c>
      <x:c r="E103" t="str">
        <x:f>XLOOKUP($A103,'Specs'!$A$2:$A$164,'Specs'!$E$2:$E$164,"")</x:f>
        <x:v>EXIT DEVICE</x:v>
      </x:c>
      <x:c r="F103" t="str">
        <x:f>XLOOKUP($A103,'Specs'!$A$2:$A$164,'Specs'!$F$2:$F$164,"")</x:f>
        <x:v>NOT APPLICABLE</x:v>
      </x:c>
      <x:c r="G103" t="str">
        <x:f>XLOOKUP($A103,'Specs'!$A$2:$A$164,'Specs'!$G$2:$G$164,"")</x:f>
        <x:v>33"</x:v>
      </x:c>
      <x:c r="H103" t="str">
        <x:f>XLOOKUP($A103,'Specs'!$A$2:$A$164,'Specs'!$H$2:$H$164,"")</x:f>
        <x:v>FIRE</x:v>
      </x:c>
      <x:c r="I103" t="str">
        <x:f>XLOOKUP($A103,'Specs'!$A$2:$A$164,'Specs'!$I$2:$I$164,"")</x:f>
      </x:c>
      <x:c r="J103" t="str">
        <x:f>XLOOKUP($A103,'Specs'!$A$2:$A$164,'Specs'!$J$2:$J$164,"")</x:f>
      </x:c>
      <x:c r="K103" t="str">
        <x:f>XLOOKUP($A103,'Specs'!$A$2:$A$164,'Specs'!$K$2:$K$164,"")</x:f>
      </x:c>
      <x:c r="L103" t="str">
        <x:f>XLOOKUP($A103,'Specs'!$A$2:$A$164,'Specs'!$L$2:$L$164,"")</x:f>
      </x:c>
      <x:c r="M103" t="n">
        <x:f>XLOOKUP($A103,'Specs'!$A$2:$A$164,'Specs'!$M$2:$M$164,"")</x:f>
        <x:v>630</x:v>
      </x:c>
      <x:c r="N103" t="str">
        <x:f>XLOOKUP($A103,'Specs'!$A$2:$A$164,'Specs'!$N$2:$N$164,"")</x:f>
      </x:c>
      <x:c r="O103" t="str">
        <x:f>XLOOKUP($A103,'Specs'!$A$2:$A$164,'Specs'!$O$2:$O$164,"")</x:f>
      </x:c>
      <x:c r="P103" t="str">
        <x:f>XLOOKUP($A103,'Specs'!$A$2:$A$164,'Specs'!$P$2:$P$164,"")</x:f>
        <x:v>HIGH</x:v>
      </x:c>
      <x:c r="Q103" s="53" t="n">
        <x:f>XLOOKUP($A103,'Specs'!$A$2:$A$164,'Specs'!$Q$2:$Q$164,"")</x:f>
        <x:v>2</x:v>
      </x:c>
      <x:c r="R103" s="53" t="n">
        <x:f>XLOOKUP($A103,'Specs'!$A$2:$A$164,'Specs'!$R$2:$R$164,"")</x:f>
        <x:v>1</x:v>
      </x:c>
      <x:c r="S103" t="str">
        <x:f>'Vendor Options'!A103</x:f>
        <x:v>OFFER-D1286B1B1AEF</x:v>
      </x:c>
      <x:c r="T103" t="str">
        <x:f>'Vendor Options'!C103</x:f>
        <x:v>DH</x:v>
      </x:c>
      <x:c r="U103" t="str">
        <x:f>'Vendor Options'!D103</x:f>
        <x:v>1000F: R-PANIC F RATED</x:v>
      </x:c>
      <x:c r="V103" t="str">
        <x:f>'Vendor Options'!E103</x:f>
        <x:v>1000F: R-PANIC F RATED</x:v>
      </x:c>
      <x:c r="W103" t="str">
        <x:f>'Vendor Options'!F103</x:f>
      </x:c>
      <x:c r="X103" t="str">
        <x:f>'Vendor Options'!G103</x:f>
        <x:v>78002587</x:v>
      </x:c>
      <x:c r="Y103" t="str">
        <x:f>'Vendor Options'!H103</x:f>
        <x:v>78002587 - F1000R 33" Fire Rated Rim Device 630</x:v>
      </x:c>
      <x:c r="Z103" t="str">
        <x:f>'Vendor Options'!I103</x:f>
      </x:c>
      <x:c r="AA103" s="54" t="n">
        <x:f>'Vendor Options'!J103</x:f>
        <x:v>1014.2</x:v>
      </x:c>
      <x:c r="AB103" t="n">
        <x:f>'Vendor Options'!K103</x:f>
        <x:v>0</x:v>
      </x:c>
      <x:c r="AC103" s="57" t="n">
        <x:f>'Vendor Options'!L103</x:f>
        <x:v>0</x:v>
      </x:c>
      <x:c r="AD103" s="57" t="n">
        <x:f>'Vendor Options'!M103</x:f>
        <x:v>0</x:v>
      </x:c>
      <x:c r="AE103" s="54" t="n">
        <x:f>'Vendor Options'!N103</x:f>
        <x:v>1014.2</x:v>
      </x:c>
      <x:c r="AF103" t="str">
        <x:f>'Vendor Options'!O103</x:f>
        <x:v>USD</x:v>
      </x:c>
      <x:c r="AG103" t="str">
        <x:f>'Vendor Options'!P103</x:f>
        <x:v>PRICED</x:v>
      </x:c>
      <x:c r="AH103" t="str">
        <x:f>'Vendor Options'!Q103</x:f>
        <x:v>ACTIVE</x:v>
      </x:c>
      <x:c r="AI103" t="str">
        <x:f>'Vendor Options'!R103</x:f>
      </x:c>
      <x:c r="AJ103" t="n">
        <x:f>'Vendor Options'!S103</x:f>
        <x:v>281</x:v>
      </x:c>
    </x:row>
    <x:row r="104" ht="15" hidden="0" customHeight="1">
      <x:c r="A104" t="str">
        <x:f>'Vendor Options'!B104</x:f>
        <x:v>SPEC-A085F19A4362</x:v>
      </x:c>
      <x:c r="B104" t="str">
        <x:f>XLOOKUP($A104,'Specs'!$A$2:$A$164,'Specs'!$B$2:$B$164,"")</x:f>
        <x:v>EXIT DEVICE</x:v>
      </x:c>
      <x:c r="C104" t="str">
        <x:f>XLOOKUP($A104,'Specs'!$A$2:$A$164,'Specs'!$C$2:$C$164,"")</x:f>
        <x:v>PANIC / EXIT DEVICE</x:v>
      </x:c>
      <x:c r="D104" t="str">
        <x:f>XLOOKUP($A104,'Specs'!$A$2:$A$164,'Specs'!$D$2:$D$164,"")</x:f>
        <x:v>RIM</x:v>
      </x:c>
      <x:c r="E104" t="str">
        <x:f>XLOOKUP($A104,'Specs'!$A$2:$A$164,'Specs'!$E$2:$E$164,"")</x:f>
        <x:v>EXIT DEVICE</x:v>
      </x:c>
      <x:c r="F104" t="str">
        <x:f>XLOOKUP($A104,'Specs'!$A$2:$A$164,'Specs'!$F$2:$F$164,"")</x:f>
        <x:v>NOT APPLICABLE</x:v>
      </x:c>
      <x:c r="G104" t="str">
        <x:f>XLOOKUP($A104,'Specs'!$A$2:$A$164,'Specs'!$G$2:$G$164,"")</x:f>
        <x:v>33"</x:v>
      </x:c>
      <x:c r="H104" t="str">
        <x:f>XLOOKUP($A104,'Specs'!$A$2:$A$164,'Specs'!$H$2:$H$164,"")</x:f>
        <x:v>FIRE</x:v>
      </x:c>
      <x:c r="I104" t="str">
        <x:f>XLOOKUP($A104,'Specs'!$A$2:$A$164,'Specs'!$I$2:$I$164,"")</x:f>
      </x:c>
      <x:c r="J104" t="str">
        <x:f>XLOOKUP($A104,'Specs'!$A$2:$A$164,'Specs'!$J$2:$J$164,"")</x:f>
      </x:c>
      <x:c r="K104" t="str">
        <x:f>XLOOKUP($A104,'Specs'!$A$2:$A$164,'Specs'!$K$2:$K$164,"")</x:f>
      </x:c>
      <x:c r="L104" t="str">
        <x:f>XLOOKUP($A104,'Specs'!$A$2:$A$164,'Specs'!$L$2:$L$164,"")</x:f>
      </x:c>
      <x:c r="M104" t="n">
        <x:f>XLOOKUP($A104,'Specs'!$A$2:$A$164,'Specs'!$M$2:$M$164,"")</x:f>
        <x:v>630</x:v>
      </x:c>
      <x:c r="N104" t="str">
        <x:f>XLOOKUP($A104,'Specs'!$A$2:$A$164,'Specs'!$N$2:$N$164,"")</x:f>
      </x:c>
      <x:c r="O104" t="str">
        <x:f>XLOOKUP($A104,'Specs'!$A$2:$A$164,'Specs'!$O$2:$O$164,"")</x:f>
      </x:c>
      <x:c r="P104" t="str">
        <x:f>XLOOKUP($A104,'Specs'!$A$2:$A$164,'Specs'!$P$2:$P$164,"")</x:f>
        <x:v>HIGH</x:v>
      </x:c>
      <x:c r="Q104" s="53" t="n">
        <x:f>XLOOKUP($A104,'Specs'!$A$2:$A$164,'Specs'!$Q$2:$Q$164,"")</x:f>
        <x:v>2</x:v>
      </x:c>
      <x:c r="R104" s="53" t="n">
        <x:f>XLOOKUP($A104,'Specs'!$A$2:$A$164,'Specs'!$R$2:$R$164,"")</x:f>
        <x:v>1</x:v>
      </x:c>
      <x:c r="S104" t="str">
        <x:f>'Vendor Options'!A104</x:f>
        <x:v>OFFER-740D540F0D18</x:v>
      </x:c>
      <x:c r="T104" t="str">
        <x:f>'Vendor Options'!C104</x:f>
        <x:v>DH</x:v>
      </x:c>
      <x:c r="U104" t="str">
        <x:f>'Vendor Options'!D104</x:f>
        <x:v>2000F: R-PANIC F RATED</x:v>
      </x:c>
      <x:c r="V104" t="str">
        <x:f>'Vendor Options'!E104</x:f>
        <x:v>2000F: R-PANIC F RATED</x:v>
      </x:c>
      <x:c r="W104" t="str">
        <x:f>'Vendor Options'!F104</x:f>
      </x:c>
      <x:c r="X104" t="str">
        <x:f>'Vendor Options'!G104</x:f>
        <x:v>78002658</x:v>
      </x:c>
      <x:c r="Y104" t="str">
        <x:f>'Vendor Options'!H104</x:f>
        <x:v>78002658 - F2000R 33" Fire Rated Rim Device</x:v>
      </x:c>
      <x:c r="Z104" t="str">
        <x:f>'Vendor Options'!I104</x:f>
      </x:c>
      <x:c r="AA104" s="54" t="n">
        <x:f>'Vendor Options'!J104</x:f>
        <x:v>624.35</x:v>
      </x:c>
      <x:c r="AB104" t="n">
        <x:f>'Vendor Options'!K104</x:f>
        <x:v>0</x:v>
      </x:c>
      <x:c r="AC104" s="57" t="n">
        <x:f>'Vendor Options'!L104</x:f>
        <x:v>0</x:v>
      </x:c>
      <x:c r="AD104" s="57" t="n">
        <x:f>'Vendor Options'!M104</x:f>
        <x:v>0</x:v>
      </x:c>
      <x:c r="AE104" s="54" t="n">
        <x:f>'Vendor Options'!N104</x:f>
        <x:v>624.35</x:v>
      </x:c>
      <x:c r="AF104" t="str">
        <x:f>'Vendor Options'!O104</x:f>
        <x:v>USD</x:v>
      </x:c>
      <x:c r="AG104" t="str">
        <x:f>'Vendor Options'!P104</x:f>
        <x:v>PRICED</x:v>
      </x:c>
      <x:c r="AH104" t="str">
        <x:f>'Vendor Options'!Q104</x:f>
        <x:v>ACTIVE</x:v>
      </x:c>
      <x:c r="AI104" t="str">
        <x:f>'Vendor Options'!R104</x:f>
      </x:c>
      <x:c r="AJ104" t="n">
        <x:f>'Vendor Options'!S104</x:f>
        <x:v>286</x:v>
      </x:c>
    </x:row>
    <x:row r="105" ht="15" hidden="0" customHeight="1">
      <x:c r="A105" t="str">
        <x:f>'Vendor Options'!B105</x:f>
        <x:v>SPEC-99AC7FBD3B71</x:v>
      </x:c>
      <x:c r="B105" t="str">
        <x:f>XLOOKUP($A105,'Specs'!$A$2:$A$164,'Specs'!$B$2:$B$164,"")</x:f>
        <x:v>EXIT DEVICE</x:v>
      </x:c>
      <x:c r="C105" t="str">
        <x:f>XLOOKUP($A105,'Specs'!$A$2:$A$164,'Specs'!$C$2:$C$164,"")</x:f>
        <x:v>PANIC / EXIT DEVICE</x:v>
      </x:c>
      <x:c r="D105" t="str">
        <x:f>XLOOKUP($A105,'Specs'!$A$2:$A$164,'Specs'!$D$2:$D$164,"")</x:f>
        <x:v>RIM</x:v>
      </x:c>
      <x:c r="E105" t="str">
        <x:f>XLOOKUP($A105,'Specs'!$A$2:$A$164,'Specs'!$E$2:$E$164,"")</x:f>
        <x:v>EXIT DEVICE</x:v>
      </x:c>
      <x:c r="F105" t="str">
        <x:f>XLOOKUP($A105,'Specs'!$A$2:$A$164,'Specs'!$F$2:$F$164,"")</x:f>
        <x:v>NOT APPLICABLE</x:v>
      </x:c>
      <x:c r="G105" t="str">
        <x:f>XLOOKUP($A105,'Specs'!$A$2:$A$164,'Specs'!$G$2:$G$164,"")</x:f>
        <x:v>33"</x:v>
      </x:c>
      <x:c r="H105" t="str">
        <x:f>XLOOKUP($A105,'Specs'!$A$2:$A$164,'Specs'!$H$2:$H$164,"")</x:f>
        <x:v>FIRE</x:v>
      </x:c>
      <x:c r="I105" t="str">
        <x:f>XLOOKUP($A105,'Specs'!$A$2:$A$164,'Specs'!$I$2:$I$164,"")</x:f>
      </x:c>
      <x:c r="J105" t="str">
        <x:f>XLOOKUP($A105,'Specs'!$A$2:$A$164,'Specs'!$J$2:$J$164,"")</x:f>
      </x:c>
      <x:c r="K105" t="str">
        <x:f>XLOOKUP($A105,'Specs'!$A$2:$A$164,'Specs'!$K$2:$K$164,"")</x:f>
      </x:c>
      <x:c r="L105" t="str">
        <x:f>XLOOKUP($A105,'Specs'!$A$2:$A$164,'Specs'!$L$2:$L$164,"")</x:f>
      </x:c>
      <x:c r="M105" t="n">
        <x:f>XLOOKUP($A105,'Specs'!$A$2:$A$164,'Specs'!$M$2:$M$164,"")</x:f>
        <x:v>689</x:v>
      </x:c>
      <x:c r="N105" t="str">
        <x:f>XLOOKUP($A105,'Specs'!$A$2:$A$164,'Specs'!$N$2:$N$164,"")</x:f>
      </x:c>
      <x:c r="O105" t="str">
        <x:f>XLOOKUP($A105,'Specs'!$A$2:$A$164,'Specs'!$O$2:$O$164,"")</x:f>
      </x:c>
      <x:c r="P105" t="str">
        <x:f>XLOOKUP($A105,'Specs'!$A$2:$A$164,'Specs'!$P$2:$P$164,"")</x:f>
        <x:v>HIGH</x:v>
      </x:c>
      <x:c r="Q105" s="53" t="n">
        <x:f>XLOOKUP($A105,'Specs'!$A$2:$A$164,'Specs'!$Q$2:$Q$164,"")</x:f>
        <x:v>1</x:v>
      </x:c>
      <x:c r="R105" s="53" t="n">
        <x:f>XLOOKUP($A105,'Specs'!$A$2:$A$164,'Specs'!$R$2:$R$164,"")</x:f>
        <x:v>1</x:v>
      </x:c>
      <x:c r="S105" t="str">
        <x:f>'Vendor Options'!A105</x:f>
        <x:v>OFFER-ED2A9FD1BE52</x:v>
      </x:c>
      <x:c r="T105" t="str">
        <x:f>'Vendor Options'!C105</x:f>
        <x:v>DH</x:v>
      </x:c>
      <x:c r="U105" t="str">
        <x:f>'Vendor Options'!D105</x:f>
        <x:v>2000F: R-PANIC F RATED</x:v>
      </x:c>
      <x:c r="V105" t="str">
        <x:f>'Vendor Options'!E105</x:f>
        <x:v>2000F: R-PANIC F RATED</x:v>
      </x:c>
      <x:c r="W105" t="str">
        <x:f>'Vendor Options'!F105</x:f>
      </x:c>
      <x:c r="X105" t="str">
        <x:f>'Vendor Options'!G105</x:f>
        <x:v>78002660</x:v>
      </x:c>
      <x:c r="Y105" t="str">
        <x:f>'Vendor Options'!H105</x:f>
        <x:v>78002660 - F2000R 33" Fire Rated Rim Device</x:v>
      </x:c>
      <x:c r="Z105" t="str">
        <x:f>'Vendor Options'!I105</x:f>
      </x:c>
      <x:c r="AA105" s="54" t="n">
        <x:f>'Vendor Options'!J105</x:f>
        <x:v>289.85</x:v>
      </x:c>
      <x:c r="AB105" t="n">
        <x:f>'Vendor Options'!K105</x:f>
        <x:v>0</x:v>
      </x:c>
      <x:c r="AC105" s="57" t="n">
        <x:f>'Vendor Options'!L105</x:f>
        <x:v>0</x:v>
      </x:c>
      <x:c r="AD105" s="57" t="n">
        <x:f>'Vendor Options'!M105</x:f>
        <x:v>0</x:v>
      </x:c>
      <x:c r="AE105" s="54" t="n">
        <x:f>'Vendor Options'!N105</x:f>
        <x:v>289.85</x:v>
      </x:c>
      <x:c r="AF105" t="str">
        <x:f>'Vendor Options'!O105</x:f>
        <x:v>USD</x:v>
      </x:c>
      <x:c r="AG105" t="str">
        <x:f>'Vendor Options'!P105</x:f>
        <x:v>PRICED</x:v>
      </x:c>
      <x:c r="AH105" t="str">
        <x:f>'Vendor Options'!Q105</x:f>
        <x:v>ACTIVE</x:v>
      </x:c>
      <x:c r="AI105" t="str">
        <x:f>'Vendor Options'!R105</x:f>
      </x:c>
      <x:c r="AJ105" t="n">
        <x:f>'Vendor Options'!S105</x:f>
        <x:v>291</x:v>
      </x:c>
    </x:row>
    <x:row r="106" ht="15" hidden="0" customHeight="1">
      <x:c r="A106" t="str">
        <x:f>'Vendor Options'!B106</x:f>
        <x:v>SPEC-4793A0BD3957</x:v>
      </x:c>
      <x:c r="B106" t="str">
        <x:f>XLOOKUP($A106,'Specs'!$A$2:$A$164,'Specs'!$B$2:$B$164,"")</x:f>
        <x:v>EXIT DEVICE</x:v>
      </x:c>
      <x:c r="C106" t="str">
        <x:f>XLOOKUP($A106,'Specs'!$A$2:$A$164,'Specs'!$C$2:$C$164,"")</x:f>
        <x:v>PANIC / EXIT DEVICE</x:v>
      </x:c>
      <x:c r="D106" t="str">
        <x:f>XLOOKUP($A106,'Specs'!$A$2:$A$164,'Specs'!$D$2:$D$164,"")</x:f>
        <x:v>RIM</x:v>
      </x:c>
      <x:c r="E106" t="str">
        <x:f>XLOOKUP($A106,'Specs'!$A$2:$A$164,'Specs'!$E$2:$E$164,"")</x:f>
        <x:v>EXIT DEVICE</x:v>
      </x:c>
      <x:c r="F106" t="str">
        <x:f>XLOOKUP($A106,'Specs'!$A$2:$A$164,'Specs'!$F$2:$F$164,"")</x:f>
        <x:v>NOT APPLICABLE</x:v>
      </x:c>
      <x:c r="G106" t="str">
        <x:f>XLOOKUP($A106,'Specs'!$A$2:$A$164,'Specs'!$G$2:$G$164,"")</x:f>
        <x:v>33"</x:v>
      </x:c>
      <x:c r="H106" t="str">
        <x:f>XLOOKUP($A106,'Specs'!$A$2:$A$164,'Specs'!$H$2:$H$164,"")</x:f>
        <x:v>PANIC</x:v>
      </x:c>
      <x:c r="I106" t="str">
        <x:f>XLOOKUP($A106,'Specs'!$A$2:$A$164,'Specs'!$I$2:$I$164,"")</x:f>
      </x:c>
      <x:c r="J106" t="str">
        <x:f>XLOOKUP($A106,'Specs'!$A$2:$A$164,'Specs'!$J$2:$J$164,"")</x:f>
      </x:c>
      <x:c r="K106" t="str">
        <x:f>XLOOKUP($A106,'Specs'!$A$2:$A$164,'Specs'!$K$2:$K$164,"")</x:f>
      </x:c>
      <x:c r="L106" t="str">
        <x:f>XLOOKUP($A106,'Specs'!$A$2:$A$164,'Specs'!$L$2:$L$164,"")</x:f>
      </x:c>
      <x:c r="M106" t="n">
        <x:f>XLOOKUP($A106,'Specs'!$A$2:$A$164,'Specs'!$M$2:$M$164,"")</x:f>
        <x:v>630</x:v>
      </x:c>
      <x:c r="N106" t="str">
        <x:f>XLOOKUP($A106,'Specs'!$A$2:$A$164,'Specs'!$N$2:$N$164,"")</x:f>
      </x:c>
      <x:c r="O106" t="str">
        <x:f>XLOOKUP($A106,'Specs'!$A$2:$A$164,'Specs'!$O$2:$O$164,"")</x:f>
      </x:c>
      <x:c r="P106" t="str">
        <x:f>XLOOKUP($A106,'Specs'!$A$2:$A$164,'Specs'!$P$2:$P$164,"")</x:f>
        <x:v>HIGH</x:v>
      </x:c>
      <x:c r="Q106" s="53" t="n">
        <x:f>XLOOKUP($A106,'Specs'!$A$2:$A$164,'Specs'!$Q$2:$Q$164,"")</x:f>
        <x:v>2</x:v>
      </x:c>
      <x:c r="R106" s="53" t="n">
        <x:f>XLOOKUP($A106,'Specs'!$A$2:$A$164,'Specs'!$R$2:$R$164,"")</x:f>
        <x:v>1</x:v>
      </x:c>
      <x:c r="S106" t="str">
        <x:f>'Vendor Options'!A106</x:f>
        <x:v>OFFER-C6C76C8D0EFC</x:v>
      </x:c>
      <x:c r="T106" t="str">
        <x:f>'Vendor Options'!C106</x:f>
        <x:v>DH</x:v>
      </x:c>
      <x:c r="U106" t="str">
        <x:f>'Vendor Options'!D106</x:f>
        <x:v>1000: R-PANIC NR</x:v>
      </x:c>
      <x:c r="V106" t="str">
        <x:f>'Vendor Options'!E106</x:f>
        <x:v>1000: R-PANIC NR</x:v>
      </x:c>
      <x:c r="W106" t="str">
        <x:f>'Vendor Options'!F106</x:f>
      </x:c>
      <x:c r="X106" t="str">
        <x:f>'Vendor Options'!G106</x:f>
        <x:v>78002505</x:v>
      </x:c>
      <x:c r="Y106" t="str">
        <x:f>'Vendor Options'!H106</x:f>
        <x:v>78002505 - 1000R 33" Rim Device 630</x:v>
      </x:c>
      <x:c r="Z106" t="str">
        <x:f>'Vendor Options'!I106</x:f>
      </x:c>
      <x:c r="AA106" s="54" t="n">
        <x:f>'Vendor Options'!J106</x:f>
        <x:v>930.35</x:v>
      </x:c>
      <x:c r="AB106" t="n">
        <x:f>'Vendor Options'!K106</x:f>
        <x:v>0</x:v>
      </x:c>
      <x:c r="AC106" s="57" t="n">
        <x:f>'Vendor Options'!L106</x:f>
        <x:v>0</x:v>
      </x:c>
      <x:c r="AD106" s="57" t="n">
        <x:f>'Vendor Options'!M106</x:f>
        <x:v>0</x:v>
      </x:c>
      <x:c r="AE106" s="54" t="n">
        <x:f>'Vendor Options'!N106</x:f>
        <x:v>930.35</x:v>
      </x:c>
      <x:c r="AF106" t="str">
        <x:f>'Vendor Options'!O106</x:f>
        <x:v>USD</x:v>
      </x:c>
      <x:c r="AG106" t="str">
        <x:f>'Vendor Options'!P106</x:f>
        <x:v>PRICED</x:v>
      </x:c>
      <x:c r="AH106" t="str">
        <x:f>'Vendor Options'!Q106</x:f>
        <x:v>ACTIVE</x:v>
      </x:c>
      <x:c r="AI106" t="str">
        <x:f>'Vendor Options'!R106</x:f>
      </x:c>
      <x:c r="AJ106" t="n">
        <x:f>'Vendor Options'!S106</x:f>
        <x:v>280</x:v>
      </x:c>
    </x:row>
    <x:row r="107" ht="15" hidden="0" customHeight="1">
      <x:c r="A107" t="str">
        <x:f>'Vendor Options'!B107</x:f>
        <x:v>SPEC-4793A0BD3957</x:v>
      </x:c>
      <x:c r="B107" t="str">
        <x:f>XLOOKUP($A107,'Specs'!$A$2:$A$164,'Specs'!$B$2:$B$164,"")</x:f>
        <x:v>EXIT DEVICE</x:v>
      </x:c>
      <x:c r="C107" t="str">
        <x:f>XLOOKUP($A107,'Specs'!$A$2:$A$164,'Specs'!$C$2:$C$164,"")</x:f>
        <x:v>PANIC / EXIT DEVICE</x:v>
      </x:c>
      <x:c r="D107" t="str">
        <x:f>XLOOKUP($A107,'Specs'!$A$2:$A$164,'Specs'!$D$2:$D$164,"")</x:f>
        <x:v>RIM</x:v>
      </x:c>
      <x:c r="E107" t="str">
        <x:f>XLOOKUP($A107,'Specs'!$A$2:$A$164,'Specs'!$E$2:$E$164,"")</x:f>
        <x:v>EXIT DEVICE</x:v>
      </x:c>
      <x:c r="F107" t="str">
        <x:f>XLOOKUP($A107,'Specs'!$A$2:$A$164,'Specs'!$F$2:$F$164,"")</x:f>
        <x:v>NOT APPLICABLE</x:v>
      </x:c>
      <x:c r="G107" t="str">
        <x:f>XLOOKUP($A107,'Specs'!$A$2:$A$164,'Specs'!$G$2:$G$164,"")</x:f>
        <x:v>33"</x:v>
      </x:c>
      <x:c r="H107" t="str">
        <x:f>XLOOKUP($A107,'Specs'!$A$2:$A$164,'Specs'!$H$2:$H$164,"")</x:f>
        <x:v>PANIC</x:v>
      </x:c>
      <x:c r="I107" t="str">
        <x:f>XLOOKUP($A107,'Specs'!$A$2:$A$164,'Specs'!$I$2:$I$164,"")</x:f>
      </x:c>
      <x:c r="J107" t="str">
        <x:f>XLOOKUP($A107,'Specs'!$A$2:$A$164,'Specs'!$J$2:$J$164,"")</x:f>
      </x:c>
      <x:c r="K107" t="str">
        <x:f>XLOOKUP($A107,'Specs'!$A$2:$A$164,'Specs'!$K$2:$K$164,"")</x:f>
      </x:c>
      <x:c r="L107" t="str">
        <x:f>XLOOKUP($A107,'Specs'!$A$2:$A$164,'Specs'!$L$2:$L$164,"")</x:f>
      </x:c>
      <x:c r="M107" t="n">
        <x:f>XLOOKUP($A107,'Specs'!$A$2:$A$164,'Specs'!$M$2:$M$164,"")</x:f>
        <x:v>630</x:v>
      </x:c>
      <x:c r="N107" t="str">
        <x:f>XLOOKUP($A107,'Specs'!$A$2:$A$164,'Specs'!$N$2:$N$164,"")</x:f>
      </x:c>
      <x:c r="O107" t="str">
        <x:f>XLOOKUP($A107,'Specs'!$A$2:$A$164,'Specs'!$O$2:$O$164,"")</x:f>
      </x:c>
      <x:c r="P107" t="str">
        <x:f>XLOOKUP($A107,'Specs'!$A$2:$A$164,'Specs'!$P$2:$P$164,"")</x:f>
        <x:v>HIGH</x:v>
      </x:c>
      <x:c r="Q107" s="53" t="n">
        <x:f>XLOOKUP($A107,'Specs'!$A$2:$A$164,'Specs'!$Q$2:$Q$164,"")</x:f>
        <x:v>2</x:v>
      </x:c>
      <x:c r="R107" s="53" t="n">
        <x:f>XLOOKUP($A107,'Specs'!$A$2:$A$164,'Specs'!$R$2:$R$164,"")</x:f>
        <x:v>1</x:v>
      </x:c>
      <x:c r="S107" t="str">
        <x:f>'Vendor Options'!A107</x:f>
        <x:v>OFFER-C0F84173985D</x:v>
      </x:c>
      <x:c r="T107" t="str">
        <x:f>'Vendor Options'!C107</x:f>
        <x:v>DH</x:v>
      </x:c>
      <x:c r="U107" t="str">
        <x:f>'Vendor Options'!D107</x:f>
        <x:v>2000: R-PANIC NR</x:v>
      </x:c>
      <x:c r="V107" t="str">
        <x:f>'Vendor Options'!E107</x:f>
        <x:v>2000: R-PANIC NR</x:v>
      </x:c>
      <x:c r="W107" t="str">
        <x:f>'Vendor Options'!F107</x:f>
      </x:c>
      <x:c r="X107" t="str">
        <x:f>'Vendor Options'!G107</x:f>
        <x:v>78002621</x:v>
      </x:c>
      <x:c r="Y107" t="str">
        <x:f>'Vendor Options'!H107</x:f>
        <x:v>78002621 - 2000R 33" Rim Device 630</x:v>
      </x:c>
      <x:c r="Z107" t="str">
        <x:f>'Vendor Options'!I107</x:f>
      </x:c>
      <x:c r="AA107" s="54" t="n">
        <x:f>'Vendor Options'!J107</x:f>
        <x:v>519</x:v>
      </x:c>
      <x:c r="AB107" t="n">
        <x:f>'Vendor Options'!K107</x:f>
        <x:v>0</x:v>
      </x:c>
      <x:c r="AC107" s="57" t="n">
        <x:f>'Vendor Options'!L107</x:f>
        <x:v>0</x:v>
      </x:c>
      <x:c r="AD107" s="57" t="n">
        <x:f>'Vendor Options'!M107</x:f>
        <x:v>0</x:v>
      </x:c>
      <x:c r="AE107" s="54" t="n">
        <x:f>'Vendor Options'!N107</x:f>
        <x:v>519</x:v>
      </x:c>
      <x:c r="AF107" t="str">
        <x:f>'Vendor Options'!O107</x:f>
        <x:v>USD</x:v>
      </x:c>
      <x:c r="AG107" t="str">
        <x:f>'Vendor Options'!P107</x:f>
        <x:v>PRICED</x:v>
      </x:c>
      <x:c r="AH107" t="str">
        <x:f>'Vendor Options'!Q107</x:f>
        <x:v>ACTIVE</x:v>
      </x:c>
      <x:c r="AI107" t="str">
        <x:f>'Vendor Options'!R107</x:f>
      </x:c>
      <x:c r="AJ107" t="n">
        <x:f>'Vendor Options'!S107</x:f>
        <x:v>285</x:v>
      </x:c>
    </x:row>
    <x:row r="108" ht="15" hidden="0" customHeight="1">
      <x:c r="A108" t="str">
        <x:f>'Vendor Options'!B108</x:f>
        <x:v>SPEC-6637568F824C</x:v>
      </x:c>
      <x:c r="B108" t="str">
        <x:f>XLOOKUP($A108,'Specs'!$A$2:$A$164,'Specs'!$B$2:$B$164,"")</x:f>
        <x:v>EXIT DEVICE</x:v>
      </x:c>
      <x:c r="C108" t="str">
        <x:f>XLOOKUP($A108,'Specs'!$A$2:$A$164,'Specs'!$C$2:$C$164,"")</x:f>
        <x:v>PANIC / EXIT DEVICE</x:v>
      </x:c>
      <x:c r="D108" t="str">
        <x:f>XLOOKUP($A108,'Specs'!$A$2:$A$164,'Specs'!$D$2:$D$164,"")</x:f>
        <x:v>RIM</x:v>
      </x:c>
      <x:c r="E108" t="str">
        <x:f>XLOOKUP($A108,'Specs'!$A$2:$A$164,'Specs'!$E$2:$E$164,"")</x:f>
        <x:v>EXIT DEVICE</x:v>
      </x:c>
      <x:c r="F108" t="str">
        <x:f>XLOOKUP($A108,'Specs'!$A$2:$A$164,'Specs'!$F$2:$F$164,"")</x:f>
        <x:v>NOT APPLICABLE</x:v>
      </x:c>
      <x:c r="G108" t="str">
        <x:f>XLOOKUP($A108,'Specs'!$A$2:$A$164,'Specs'!$G$2:$G$164,"")</x:f>
        <x:v>33"</x:v>
      </x:c>
      <x:c r="H108" t="str">
        <x:f>XLOOKUP($A108,'Specs'!$A$2:$A$164,'Specs'!$H$2:$H$164,"")</x:f>
        <x:v>PANIC</x:v>
      </x:c>
      <x:c r="I108" t="str">
        <x:f>XLOOKUP($A108,'Specs'!$A$2:$A$164,'Specs'!$I$2:$I$164,"")</x:f>
      </x:c>
      <x:c r="J108" t="str">
        <x:f>XLOOKUP($A108,'Specs'!$A$2:$A$164,'Specs'!$J$2:$J$164,"")</x:f>
      </x:c>
      <x:c r="K108" t="str">
        <x:f>XLOOKUP($A108,'Specs'!$A$2:$A$164,'Specs'!$K$2:$K$164,"")</x:f>
      </x:c>
      <x:c r="L108" t="str">
        <x:f>XLOOKUP($A108,'Specs'!$A$2:$A$164,'Specs'!$L$2:$L$164,"")</x:f>
      </x:c>
      <x:c r="M108" t="n">
        <x:f>XLOOKUP($A108,'Specs'!$A$2:$A$164,'Specs'!$M$2:$M$164,"")</x:f>
        <x:v>689</x:v>
      </x:c>
      <x:c r="N108" t="str">
        <x:f>XLOOKUP($A108,'Specs'!$A$2:$A$164,'Specs'!$N$2:$N$164,"")</x:f>
      </x:c>
      <x:c r="O108" t="str">
        <x:f>XLOOKUP($A108,'Specs'!$A$2:$A$164,'Specs'!$O$2:$O$164,"")</x:f>
      </x:c>
      <x:c r="P108" t="str">
        <x:f>XLOOKUP($A108,'Specs'!$A$2:$A$164,'Specs'!$P$2:$P$164,"")</x:f>
        <x:v>HIGH</x:v>
      </x:c>
      <x:c r="Q108" s="53" t="n">
        <x:f>XLOOKUP($A108,'Specs'!$A$2:$A$164,'Specs'!$Q$2:$Q$164,"")</x:f>
        <x:v>1</x:v>
      </x:c>
      <x:c r="R108" s="53" t="n">
        <x:f>XLOOKUP($A108,'Specs'!$A$2:$A$164,'Specs'!$R$2:$R$164,"")</x:f>
        <x:v>1</x:v>
      </x:c>
      <x:c r="S108" t="str">
        <x:f>'Vendor Options'!A108</x:f>
        <x:v>OFFER-D63EDA218368</x:v>
      </x:c>
      <x:c r="T108" t="str">
        <x:f>'Vendor Options'!C108</x:f>
        <x:v>DH</x:v>
      </x:c>
      <x:c r="U108" t="str">
        <x:f>'Vendor Options'!D108</x:f>
        <x:v>2000: R-PANIC NR</x:v>
      </x:c>
      <x:c r="V108" t="str">
        <x:f>'Vendor Options'!E108</x:f>
        <x:v>2000: R-PANIC NR</x:v>
      </x:c>
      <x:c r="W108" t="n">
        <x:f>'Vendor Options'!F108</x:f>
        <x:v>0</x:v>
      </x:c>
      <x:c r="X108" t="str">
        <x:f>'Vendor Options'!G108</x:f>
        <x:v>78002623</x:v>
      </x:c>
      <x:c r="Y108" t="str">
        <x:f>'Vendor Options'!H108</x:f>
        <x:v>78002623 - 2000R 33" Rim Device 689</x:v>
      </x:c>
      <x:c r="Z108" t="str">
        <x:f>'Vendor Options'!I108</x:f>
      </x:c>
      <x:c r="AA108" s="54" t="n">
        <x:f>'Vendor Options'!J108</x:f>
        <x:v>285.6</x:v>
      </x:c>
      <x:c r="AB108" t="n">
        <x:f>'Vendor Options'!K108</x:f>
        <x:v>0</x:v>
      </x:c>
      <x:c r="AC108" s="57" t="n">
        <x:f>'Vendor Options'!L108</x:f>
        <x:v>0</x:v>
      </x:c>
      <x:c r="AD108" s="57" t="n">
        <x:f>'Vendor Options'!M108</x:f>
        <x:v>0</x:v>
      </x:c>
      <x:c r="AE108" s="54" t="n">
        <x:f>'Vendor Options'!N108</x:f>
        <x:v>285.6</x:v>
      </x:c>
      <x:c r="AF108" t="str">
        <x:f>'Vendor Options'!O108</x:f>
        <x:v>USD</x:v>
      </x:c>
      <x:c r="AG108" t="str">
        <x:f>'Vendor Options'!P108</x:f>
        <x:v>PRICED</x:v>
      </x:c>
      <x:c r="AH108" t="str">
        <x:f>'Vendor Options'!Q108</x:f>
        <x:v>ACTIVE</x:v>
      </x:c>
      <x:c r="AI108" t="str">
        <x:f>'Vendor Options'!R108</x:f>
      </x:c>
      <x:c r="AJ108" t="n">
        <x:f>'Vendor Options'!S108</x:f>
        <x:v>290</x:v>
      </x:c>
    </x:row>
    <x:row r="109" ht="15" hidden="0" customHeight="1">
      <x:c r="A109" t="str">
        <x:f>'Vendor Options'!B109</x:f>
        <x:v>SPEC-EBE22E2E7E86</x:v>
      </x:c>
      <x:c r="B109" t="str">
        <x:f>XLOOKUP($A109,'Specs'!$A$2:$A$164,'Specs'!$B$2:$B$164,"")</x:f>
        <x:v>EXIT DEVICE</x:v>
      </x:c>
      <x:c r="C109" t="str">
        <x:f>XLOOKUP($A109,'Specs'!$A$2:$A$164,'Specs'!$C$2:$C$164,"")</x:f>
        <x:v>PANIC / EXIT DEVICE</x:v>
      </x:c>
      <x:c r="D109" t="str">
        <x:f>XLOOKUP($A109,'Specs'!$A$2:$A$164,'Specs'!$D$2:$D$164,"")</x:f>
        <x:v>RIM</x:v>
      </x:c>
      <x:c r="E109" t="str">
        <x:f>XLOOKUP($A109,'Specs'!$A$2:$A$164,'Specs'!$E$2:$E$164,"")</x:f>
        <x:v>EXIT DEVICE</x:v>
      </x:c>
      <x:c r="F109" t="str">
        <x:f>XLOOKUP($A109,'Specs'!$A$2:$A$164,'Specs'!$F$2:$F$164,"")</x:f>
        <x:v>NOT APPLICABLE</x:v>
      </x:c>
      <x:c r="G109" t="str">
        <x:f>XLOOKUP($A109,'Specs'!$A$2:$A$164,'Specs'!$G$2:$G$164,"")</x:f>
        <x:v>36"</x:v>
      </x:c>
      <x:c r="H109" t="str">
        <x:f>XLOOKUP($A109,'Specs'!$A$2:$A$164,'Specs'!$H$2:$H$164,"")</x:f>
        <x:v>FIRE</x:v>
      </x:c>
      <x:c r="I109" t="str">
        <x:f>XLOOKUP($A109,'Specs'!$A$2:$A$164,'Specs'!$I$2:$I$164,"")</x:f>
      </x:c>
      <x:c r="J109" t="str">
        <x:f>XLOOKUP($A109,'Specs'!$A$2:$A$164,'Specs'!$J$2:$J$164,"")</x:f>
      </x:c>
      <x:c r="K109" t="str">
        <x:f>XLOOKUP($A109,'Specs'!$A$2:$A$164,'Specs'!$K$2:$K$164,"")</x:f>
      </x:c>
      <x:c r="L109" t="str">
        <x:f>XLOOKUP($A109,'Specs'!$A$2:$A$164,'Specs'!$L$2:$L$164,"")</x:f>
      </x:c>
      <x:c r="M109" t="n">
        <x:f>XLOOKUP($A109,'Specs'!$A$2:$A$164,'Specs'!$M$2:$M$164,"")</x:f>
        <x:v>630</x:v>
      </x:c>
      <x:c r="N109" t="str">
        <x:f>XLOOKUP($A109,'Specs'!$A$2:$A$164,'Specs'!$N$2:$N$164,"")</x:f>
      </x:c>
      <x:c r="O109" t="str">
        <x:f>XLOOKUP($A109,'Specs'!$A$2:$A$164,'Specs'!$O$2:$O$164,"")</x:f>
      </x:c>
      <x:c r="P109" t="str">
        <x:f>XLOOKUP($A109,'Specs'!$A$2:$A$164,'Specs'!$P$2:$P$164,"")</x:f>
        <x:v>HIGH</x:v>
      </x:c>
      <x:c r="Q109" s="53" t="n">
        <x:f>XLOOKUP($A109,'Specs'!$A$2:$A$164,'Specs'!$Q$2:$Q$164,"")</x:f>
        <x:v>2</x:v>
      </x:c>
      <x:c r="R109" s="53" t="n">
        <x:f>XLOOKUP($A109,'Specs'!$A$2:$A$164,'Specs'!$R$2:$R$164,"")</x:f>
        <x:v>2</x:v>
      </x:c>
      <x:c r="S109" t="str">
        <x:f>'Vendor Options'!A109</x:f>
        <x:v>OFFER-CB5C011F38E5</x:v>
      </x:c>
      <x:c r="T109" t="str">
        <x:f>'Vendor Options'!C109</x:f>
        <x:v>DK</x:v>
      </x:c>
      <x:c r="U109" t="str">
        <x:f>'Vendor Options'!D109</x:f>
        <x:v>9300B 36" FIRE</x:v>
      </x:c>
      <x:c r="V109" t="str">
        <x:f>'Vendor Options'!E109</x:f>
        <x:v>9300B:R-PANIC: FR</x:v>
      </x:c>
      <x:c r="W109" t="str">
        <x:f>'Vendor Options'!F109</x:f>
      </x:c>
      <x:c r="X109" t="str">
        <x:f>'Vendor Options'!G109</x:f>
      </x:c>
      <x:c r="Y109" t="n">
        <x:f>'Vendor Options'!H109</x:f>
        <x:v>0</x:v>
      </x:c>
      <x:c r="Z109" t="str">
        <x:f>'Vendor Options'!I109</x:f>
      </x:c>
      <x:c r="AA109" s="54" t="n">
        <x:f>'Vendor Options'!J109</x:f>
        <x:v>2408</x:v>
      </x:c>
      <x:c r="AB109" t="n">
        <x:f>'Vendor Options'!K109</x:f>
        <x:v>0</x:v>
      </x:c>
      <x:c r="AC109" s="57" t="n">
        <x:f>'Vendor Options'!L109</x:f>
        <x:v>0</x:v>
      </x:c>
      <x:c r="AD109" s="57" t="n">
        <x:f>'Vendor Options'!M109</x:f>
        <x:v>0</x:v>
      </x:c>
      <x:c r="AE109" s="54" t="n">
        <x:f>'Vendor Options'!N109</x:f>
        <x:v>2408</x:v>
      </x:c>
      <x:c r="AF109" t="str">
        <x:f>'Vendor Options'!O109</x:f>
        <x:v>USD</x:v>
      </x:c>
      <x:c r="AG109" t="str">
        <x:f>'Vendor Options'!P109</x:f>
        <x:v>PRICED</x:v>
      </x:c>
      <x:c r="AH109" t="str">
        <x:f>'Vendor Options'!Q109</x:f>
        <x:v>REVIEW</x:v>
      </x:c>
      <x:c r="AI109" t="str">
        <x:f>'Vendor Options'!R109</x:f>
        <x:v>MISSING_PART_NUMBER</x:v>
      </x:c>
      <x:c r="AJ109" t="n">
        <x:f>'Vendor Options'!S109</x:f>
        <x:v>319</x:v>
      </x:c>
    </x:row>
    <x:row r="110" ht="15" hidden="0" customHeight="1">
      <x:c r="A110" t="str">
        <x:f>'Vendor Options'!B110</x:f>
        <x:v>SPEC-EBE22E2E7E86</x:v>
      </x:c>
      <x:c r="B110" t="str">
        <x:f>XLOOKUP($A110,'Specs'!$A$2:$A$164,'Specs'!$B$2:$B$164,"")</x:f>
        <x:v>EXIT DEVICE</x:v>
      </x:c>
      <x:c r="C110" t="str">
        <x:f>XLOOKUP($A110,'Specs'!$A$2:$A$164,'Specs'!$C$2:$C$164,"")</x:f>
        <x:v>PANIC / EXIT DEVICE</x:v>
      </x:c>
      <x:c r="D110" t="str">
        <x:f>XLOOKUP($A110,'Specs'!$A$2:$A$164,'Specs'!$D$2:$D$164,"")</x:f>
        <x:v>RIM</x:v>
      </x:c>
      <x:c r="E110" t="str">
        <x:f>XLOOKUP($A110,'Specs'!$A$2:$A$164,'Specs'!$E$2:$E$164,"")</x:f>
        <x:v>EXIT DEVICE</x:v>
      </x:c>
      <x:c r="F110" t="str">
        <x:f>XLOOKUP($A110,'Specs'!$A$2:$A$164,'Specs'!$F$2:$F$164,"")</x:f>
        <x:v>NOT APPLICABLE</x:v>
      </x:c>
      <x:c r="G110" t="str">
        <x:f>XLOOKUP($A110,'Specs'!$A$2:$A$164,'Specs'!$G$2:$G$164,"")</x:f>
        <x:v>36"</x:v>
      </x:c>
      <x:c r="H110" t="str">
        <x:f>XLOOKUP($A110,'Specs'!$A$2:$A$164,'Specs'!$H$2:$H$164,"")</x:f>
        <x:v>FIRE</x:v>
      </x:c>
      <x:c r="I110" t="str">
        <x:f>XLOOKUP($A110,'Specs'!$A$2:$A$164,'Specs'!$I$2:$I$164,"")</x:f>
      </x:c>
      <x:c r="J110" t="str">
        <x:f>XLOOKUP($A110,'Specs'!$A$2:$A$164,'Specs'!$J$2:$J$164,"")</x:f>
      </x:c>
      <x:c r="K110" t="str">
        <x:f>XLOOKUP($A110,'Specs'!$A$2:$A$164,'Specs'!$K$2:$K$164,"")</x:f>
      </x:c>
      <x:c r="L110" t="str">
        <x:f>XLOOKUP($A110,'Specs'!$A$2:$A$164,'Specs'!$L$2:$L$164,"")</x:f>
      </x:c>
      <x:c r="M110" t="n">
        <x:f>XLOOKUP($A110,'Specs'!$A$2:$A$164,'Specs'!$M$2:$M$164,"")</x:f>
        <x:v>630</x:v>
      </x:c>
      <x:c r="N110" t="str">
        <x:f>XLOOKUP($A110,'Specs'!$A$2:$A$164,'Specs'!$N$2:$N$164,"")</x:f>
      </x:c>
      <x:c r="O110" t="str">
        <x:f>XLOOKUP($A110,'Specs'!$A$2:$A$164,'Specs'!$O$2:$O$164,"")</x:f>
      </x:c>
      <x:c r="P110" t="str">
        <x:f>XLOOKUP($A110,'Specs'!$A$2:$A$164,'Specs'!$P$2:$P$164,"")</x:f>
        <x:v>HIGH</x:v>
      </x:c>
      <x:c r="Q110" s="53" t="n">
        <x:f>XLOOKUP($A110,'Specs'!$A$2:$A$164,'Specs'!$Q$2:$Q$164,"")</x:f>
        <x:v>2</x:v>
      </x:c>
      <x:c r="R110" s="53" t="n">
        <x:f>XLOOKUP($A110,'Specs'!$A$2:$A$164,'Specs'!$R$2:$R$164,"")</x:f>
        <x:v>2</x:v>
      </x:c>
      <x:c r="S110" t="str">
        <x:f>'Vendor Options'!A110</x:f>
        <x:v>OFFER-5D4DD7117B4F</x:v>
      </x:c>
      <x:c r="T110" t="str">
        <x:f>'Vendor Options'!C110</x:f>
        <x:v>PHG</x:v>
      </x:c>
      <x:c r="U110" t="str">
        <x:f>'Vendor Options'!D110</x:f>
        <x:v>9500-36"</x:v>
      </x:c>
      <x:c r="V110" t="str">
        <x:f>'Vendor Options'!E110</x:f>
        <x:v>36" RIM PANIC</x:v>
      </x:c>
      <x:c r="W110" t="n">
        <x:f>'Vendor Options'!F110</x:f>
        <x:v>0</x:v>
      </x:c>
      <x:c r="X110" t="str">
        <x:f>'Vendor Options'!G110</x:f>
        <x:v>95ED36FR32D</x:v>
      </x:c>
      <x:c r="Y110" t="str">
        <x:f>'Vendor Options'!H110</x:f>
        <x:v>95ED36FR32D</x:v>
      </x:c>
      <x:c r="Z110" t="str">
        <x:f>'Vendor Options'!I110</x:f>
      </x:c>
      <x:c r="AA110" s="54" t="n">
        <x:f>'Vendor Options'!J110</x:f>
        <x:v>467.62</x:v>
      </x:c>
      <x:c r="AB110" t="n">
        <x:f>'Vendor Options'!K110</x:f>
        <x:v>0</x:v>
      </x:c>
      <x:c r="AC110" s="57" t="n">
        <x:f>'Vendor Options'!L110</x:f>
        <x:v>0</x:v>
      </x:c>
      <x:c r="AD110" s="57" t="n">
        <x:f>'Vendor Options'!M110</x:f>
        <x:v>0</x:v>
      </x:c>
      <x:c r="AE110" s="54" t="n">
        <x:f>'Vendor Options'!N110</x:f>
        <x:v>467.62</x:v>
      </x:c>
      <x:c r="AF110" t="str">
        <x:f>'Vendor Options'!O110</x:f>
        <x:v>USD</x:v>
      </x:c>
      <x:c r="AG110" t="str">
        <x:f>'Vendor Options'!P110</x:f>
        <x:v>PRICED</x:v>
      </x:c>
      <x:c r="AH110" t="str">
        <x:f>'Vendor Options'!Q110</x:f>
        <x:v>REVIEW</x:v>
      </x:c>
      <x:c r="AI110" t="str">
        <x:f>'Vendor Options'!R110</x:f>
        <x:v>PART_NUMBER_CONFLICT</x:v>
      </x:c>
      <x:c r="AJ110" t="n">
        <x:f>'Vendor Options'!S110</x:f>
        <x:v>302</x:v>
      </x:c>
    </x:row>
    <x:row r="111" ht="15" hidden="0" customHeight="1">
      <x:c r="A111" t="str">
        <x:f>'Vendor Options'!B111</x:f>
        <x:v>SPEC-B9693605514D</x:v>
      </x:c>
      <x:c r="B111" t="str">
        <x:f>XLOOKUP($A111,'Specs'!$A$2:$A$164,'Specs'!$B$2:$B$164,"")</x:f>
        <x:v>EXIT DEVICE</x:v>
      </x:c>
      <x:c r="C111" t="str">
        <x:f>XLOOKUP($A111,'Specs'!$A$2:$A$164,'Specs'!$C$2:$C$164,"")</x:f>
        <x:v>PANIC / EXIT DEVICE</x:v>
      </x:c>
      <x:c r="D111" t="str">
        <x:f>XLOOKUP($A111,'Specs'!$A$2:$A$164,'Specs'!$D$2:$D$164,"")</x:f>
        <x:v>RIM</x:v>
      </x:c>
      <x:c r="E111" t="str">
        <x:f>XLOOKUP($A111,'Specs'!$A$2:$A$164,'Specs'!$E$2:$E$164,"")</x:f>
        <x:v>EXIT DEVICE</x:v>
      </x:c>
      <x:c r="F111" t="str">
        <x:f>XLOOKUP($A111,'Specs'!$A$2:$A$164,'Specs'!$F$2:$F$164,"")</x:f>
        <x:v>NOT APPLICABLE</x:v>
      </x:c>
      <x:c r="G111" t="str">
        <x:f>XLOOKUP($A111,'Specs'!$A$2:$A$164,'Specs'!$G$2:$G$164,"")</x:f>
        <x:v>36"</x:v>
      </x:c>
      <x:c r="H111" t="str">
        <x:f>XLOOKUP($A111,'Specs'!$A$2:$A$164,'Specs'!$H$2:$H$164,"")</x:f>
        <x:v>PANIC</x:v>
      </x:c>
      <x:c r="I111" t="str">
        <x:f>XLOOKUP($A111,'Specs'!$A$2:$A$164,'Specs'!$I$2:$I$164,"")</x:f>
      </x:c>
      <x:c r="J111" t="str">
        <x:f>XLOOKUP($A111,'Specs'!$A$2:$A$164,'Specs'!$J$2:$J$164,"")</x:f>
      </x:c>
      <x:c r="K111" t="str">
        <x:f>XLOOKUP($A111,'Specs'!$A$2:$A$164,'Specs'!$K$2:$K$164,"")</x:f>
      </x:c>
      <x:c r="L111" t="str">
        <x:f>XLOOKUP($A111,'Specs'!$A$2:$A$164,'Specs'!$L$2:$L$164,"")</x:f>
      </x:c>
      <x:c r="M111" t="n">
        <x:f>XLOOKUP($A111,'Specs'!$A$2:$A$164,'Specs'!$M$2:$M$164,"")</x:f>
        <x:v>630</x:v>
      </x:c>
      <x:c r="N111" t="str">
        <x:f>XLOOKUP($A111,'Specs'!$A$2:$A$164,'Specs'!$N$2:$N$164,"")</x:f>
      </x:c>
      <x:c r="O111" t="str">
        <x:f>XLOOKUP($A111,'Specs'!$A$2:$A$164,'Specs'!$O$2:$O$164,"")</x:f>
      </x:c>
      <x:c r="P111" t="str">
        <x:f>XLOOKUP($A111,'Specs'!$A$2:$A$164,'Specs'!$P$2:$P$164,"")</x:f>
        <x:v>HIGH</x:v>
      </x:c>
      <x:c r="Q111" s="53" t="n">
        <x:f>XLOOKUP($A111,'Specs'!$A$2:$A$164,'Specs'!$Q$2:$Q$164,"")</x:f>
        <x:v>3</x:v>
      </x:c>
      <x:c r="R111" s="53" t="n">
        <x:f>XLOOKUP($A111,'Specs'!$A$2:$A$164,'Specs'!$R$2:$R$164,"")</x:f>
        <x:v>3</x:v>
      </x:c>
      <x:c r="S111" t="str">
        <x:f>'Vendor Options'!A111</x:f>
        <x:v>OFFER-BFF489DEAFE6</x:v>
      </x:c>
      <x:c r="T111" t="str">
        <x:f>'Vendor Options'!C111</x:f>
        <x:v>DK</x:v>
      </x:c>
      <x:c r="U111" t="str">
        <x:f>'Vendor Options'!D111</x:f>
        <x:v>9300B 36"</x:v>
      </x:c>
      <x:c r="V111" t="str">
        <x:f>'Vendor Options'!E111</x:f>
        <x:v>9300B:R-PANIC: NR</x:v>
      </x:c>
      <x:c r="W111" t="str">
        <x:f>'Vendor Options'!F111</x:f>
      </x:c>
      <x:c r="X111" t="str">
        <x:f>'Vendor Options'!G111</x:f>
      </x:c>
      <x:c r="Y111" t="n">
        <x:f>'Vendor Options'!H111</x:f>
        <x:v>0</x:v>
      </x:c>
      <x:c r="Z111" t="str">
        <x:f>'Vendor Options'!I111</x:f>
      </x:c>
      <x:c r="AA111" s="54" t="n">
        <x:f>'Vendor Options'!J111</x:f>
        <x:v>2144</x:v>
      </x:c>
      <x:c r="AB111" t="n">
        <x:f>'Vendor Options'!K111</x:f>
        <x:v>0</x:v>
      </x:c>
      <x:c r="AC111" s="57" t="n">
        <x:f>'Vendor Options'!L111</x:f>
        <x:v>0</x:v>
      </x:c>
      <x:c r="AD111" s="57" t="n">
        <x:f>'Vendor Options'!M111</x:f>
        <x:v>0</x:v>
      </x:c>
      <x:c r="AE111" s="54" t="n">
        <x:f>'Vendor Options'!N111</x:f>
        <x:v>2144</x:v>
      </x:c>
      <x:c r="AF111" t="str">
        <x:f>'Vendor Options'!O111</x:f>
        <x:v>USD</x:v>
      </x:c>
      <x:c r="AG111" t="str">
        <x:f>'Vendor Options'!P111</x:f>
        <x:v>PRICED</x:v>
      </x:c>
      <x:c r="AH111" t="str">
        <x:f>'Vendor Options'!Q111</x:f>
        <x:v>REVIEW</x:v>
      </x:c>
      <x:c r="AI111" t="str">
        <x:f>'Vendor Options'!R111</x:f>
        <x:v>MISSING_PART_NUMBER</x:v>
      </x:c>
      <x:c r="AJ111" t="n">
        <x:f>'Vendor Options'!S111</x:f>
        <x:v>318</x:v>
      </x:c>
    </x:row>
    <x:row r="112" ht="15" hidden="0" customHeight="1">
      <x:c r="A112" t="str">
        <x:f>'Vendor Options'!B112</x:f>
        <x:v>SPEC-B9693605514D</x:v>
      </x:c>
      <x:c r="B112" t="str">
        <x:f>XLOOKUP($A112,'Specs'!$A$2:$A$164,'Specs'!$B$2:$B$164,"")</x:f>
        <x:v>EXIT DEVICE</x:v>
      </x:c>
      <x:c r="C112" t="str">
        <x:f>XLOOKUP($A112,'Specs'!$A$2:$A$164,'Specs'!$C$2:$C$164,"")</x:f>
        <x:v>PANIC / EXIT DEVICE</x:v>
      </x:c>
      <x:c r="D112" t="str">
        <x:f>XLOOKUP($A112,'Specs'!$A$2:$A$164,'Specs'!$D$2:$D$164,"")</x:f>
        <x:v>RIM</x:v>
      </x:c>
      <x:c r="E112" t="str">
        <x:f>XLOOKUP($A112,'Specs'!$A$2:$A$164,'Specs'!$E$2:$E$164,"")</x:f>
        <x:v>EXIT DEVICE</x:v>
      </x:c>
      <x:c r="F112" t="str">
        <x:f>XLOOKUP($A112,'Specs'!$A$2:$A$164,'Specs'!$F$2:$F$164,"")</x:f>
        <x:v>NOT APPLICABLE</x:v>
      </x:c>
      <x:c r="G112" t="str">
        <x:f>XLOOKUP($A112,'Specs'!$A$2:$A$164,'Specs'!$G$2:$G$164,"")</x:f>
        <x:v>36"</x:v>
      </x:c>
      <x:c r="H112" t="str">
        <x:f>XLOOKUP($A112,'Specs'!$A$2:$A$164,'Specs'!$H$2:$H$164,"")</x:f>
        <x:v>PANIC</x:v>
      </x:c>
      <x:c r="I112" t="str">
        <x:f>XLOOKUP($A112,'Specs'!$A$2:$A$164,'Specs'!$I$2:$I$164,"")</x:f>
      </x:c>
      <x:c r="J112" t="str">
        <x:f>XLOOKUP($A112,'Specs'!$A$2:$A$164,'Specs'!$J$2:$J$164,"")</x:f>
      </x:c>
      <x:c r="K112" t="str">
        <x:f>XLOOKUP($A112,'Specs'!$A$2:$A$164,'Specs'!$K$2:$K$164,"")</x:f>
      </x:c>
      <x:c r="L112" t="str">
        <x:f>XLOOKUP($A112,'Specs'!$A$2:$A$164,'Specs'!$L$2:$L$164,"")</x:f>
      </x:c>
      <x:c r="M112" t="n">
        <x:f>XLOOKUP($A112,'Specs'!$A$2:$A$164,'Specs'!$M$2:$M$164,"")</x:f>
        <x:v>630</x:v>
      </x:c>
      <x:c r="N112" t="str">
        <x:f>XLOOKUP($A112,'Specs'!$A$2:$A$164,'Specs'!$N$2:$N$164,"")</x:f>
      </x:c>
      <x:c r="O112" t="str">
        <x:f>XLOOKUP($A112,'Specs'!$A$2:$A$164,'Specs'!$O$2:$O$164,"")</x:f>
      </x:c>
      <x:c r="P112" t="str">
        <x:f>XLOOKUP($A112,'Specs'!$A$2:$A$164,'Specs'!$P$2:$P$164,"")</x:f>
        <x:v>HIGH</x:v>
      </x:c>
      <x:c r="Q112" s="53" t="n">
        <x:f>XLOOKUP($A112,'Specs'!$A$2:$A$164,'Specs'!$Q$2:$Q$164,"")</x:f>
        <x:v>3</x:v>
      </x:c>
      <x:c r="R112" s="53" t="n">
        <x:f>XLOOKUP($A112,'Specs'!$A$2:$A$164,'Specs'!$R$2:$R$164,"")</x:f>
        <x:v>3</x:v>
      </x:c>
      <x:c r="S112" t="str">
        <x:f>'Vendor Options'!A112</x:f>
        <x:v>OFFER-AF401A15162A</x:v>
      </x:c>
      <x:c r="T112" t="str">
        <x:f>'Vendor Options'!C112</x:f>
        <x:v>PHG</x:v>
      </x:c>
      <x:c r="U112" t="str">
        <x:f>'Vendor Options'!D112</x:f>
        <x:v>9500-36"</x:v>
      </x:c>
      <x:c r="V112" t="str">
        <x:f>'Vendor Options'!E112</x:f>
        <x:v>36" RIM PANIC</x:v>
      </x:c>
      <x:c r="W112" t="n">
        <x:f>'Vendor Options'!F112</x:f>
        <x:v>0</x:v>
      </x:c>
      <x:c r="X112" t="str">
        <x:f>'Vendor Options'!G112</x:f>
        <x:v>95ED36R32D</x:v>
      </x:c>
      <x:c r="Y112" t="str">
        <x:f>'Vendor Options'!H112</x:f>
        <x:v>95ED36R32D</x:v>
      </x:c>
      <x:c r="Z112" t="str">
        <x:f>'Vendor Options'!I112</x:f>
      </x:c>
      <x:c r="AA112" s="54" t="n">
        <x:f>'Vendor Options'!J112</x:f>
        <x:v>440.88</x:v>
      </x:c>
      <x:c r="AB112" t="str">
        <x:f>'Vendor Options'!K112</x:f>
      </x:c>
      <x:c r="AC112" s="57" t="n">
        <x:f>'Vendor Options'!L112</x:f>
        <x:v>0</x:v>
      </x:c>
      <x:c r="AD112" s="57" t="n">
        <x:f>'Vendor Options'!M112</x:f>
        <x:v>0</x:v>
      </x:c>
      <x:c r="AE112" s="54" t="n">
        <x:f>'Vendor Options'!N112</x:f>
        <x:v>440.88</x:v>
      </x:c>
      <x:c r="AF112" t="str">
        <x:f>'Vendor Options'!O112</x:f>
        <x:v>USD</x:v>
      </x:c>
      <x:c r="AG112" t="str">
        <x:f>'Vendor Options'!P112</x:f>
        <x:v>PRICED</x:v>
      </x:c>
      <x:c r="AH112" t="str">
        <x:f>'Vendor Options'!Q112</x:f>
        <x:v>ACTIVE</x:v>
      </x:c>
      <x:c r="AI112" t="str">
        <x:f>'Vendor Options'!R112</x:f>
      </x:c>
      <x:c r="AJ112" t="n">
        <x:f>'Vendor Options'!S112</x:f>
        <x:v>301</x:v>
      </x:c>
    </x:row>
    <x:row r="113" ht="15" hidden="0" customHeight="1">
      <x:c r="A113" t="str">
        <x:f>'Vendor Options'!B113</x:f>
        <x:v>SPEC-B9693605514D</x:v>
      </x:c>
      <x:c r="B113" t="str">
        <x:f>XLOOKUP($A113,'Specs'!$A$2:$A$164,'Specs'!$B$2:$B$164,"")</x:f>
        <x:v>EXIT DEVICE</x:v>
      </x:c>
      <x:c r="C113" t="str">
        <x:f>XLOOKUP($A113,'Specs'!$A$2:$A$164,'Specs'!$C$2:$C$164,"")</x:f>
        <x:v>PANIC / EXIT DEVICE</x:v>
      </x:c>
      <x:c r="D113" t="str">
        <x:f>XLOOKUP($A113,'Specs'!$A$2:$A$164,'Specs'!$D$2:$D$164,"")</x:f>
        <x:v>RIM</x:v>
      </x:c>
      <x:c r="E113" t="str">
        <x:f>XLOOKUP($A113,'Specs'!$A$2:$A$164,'Specs'!$E$2:$E$164,"")</x:f>
        <x:v>EXIT DEVICE</x:v>
      </x:c>
      <x:c r="F113" t="str">
        <x:f>XLOOKUP($A113,'Specs'!$A$2:$A$164,'Specs'!$F$2:$F$164,"")</x:f>
        <x:v>NOT APPLICABLE</x:v>
      </x:c>
      <x:c r="G113" t="str">
        <x:f>XLOOKUP($A113,'Specs'!$A$2:$A$164,'Specs'!$G$2:$G$164,"")</x:f>
        <x:v>36"</x:v>
      </x:c>
      <x:c r="H113" t="str">
        <x:f>XLOOKUP($A113,'Specs'!$A$2:$A$164,'Specs'!$H$2:$H$164,"")</x:f>
        <x:v>PANIC</x:v>
      </x:c>
      <x:c r="I113" t="str">
        <x:f>XLOOKUP($A113,'Specs'!$A$2:$A$164,'Specs'!$I$2:$I$164,"")</x:f>
      </x:c>
      <x:c r="J113" t="str">
        <x:f>XLOOKUP($A113,'Specs'!$A$2:$A$164,'Specs'!$J$2:$J$164,"")</x:f>
      </x:c>
      <x:c r="K113" t="str">
        <x:f>XLOOKUP($A113,'Specs'!$A$2:$A$164,'Specs'!$K$2:$K$164,"")</x:f>
      </x:c>
      <x:c r="L113" t="str">
        <x:f>XLOOKUP($A113,'Specs'!$A$2:$A$164,'Specs'!$L$2:$L$164,"")</x:f>
      </x:c>
      <x:c r="M113" t="n">
        <x:f>XLOOKUP($A113,'Specs'!$A$2:$A$164,'Specs'!$M$2:$M$164,"")</x:f>
        <x:v>630</x:v>
      </x:c>
      <x:c r="N113" t="str">
        <x:f>XLOOKUP($A113,'Specs'!$A$2:$A$164,'Specs'!$N$2:$N$164,"")</x:f>
      </x:c>
      <x:c r="O113" t="str">
        <x:f>XLOOKUP($A113,'Specs'!$A$2:$A$164,'Specs'!$O$2:$O$164,"")</x:f>
      </x:c>
      <x:c r="P113" t="str">
        <x:f>XLOOKUP($A113,'Specs'!$A$2:$A$164,'Specs'!$P$2:$P$164,"")</x:f>
        <x:v>HIGH</x:v>
      </x:c>
      <x:c r="Q113" s="53" t="n">
        <x:f>XLOOKUP($A113,'Specs'!$A$2:$A$164,'Specs'!$Q$2:$Q$164,"")</x:f>
        <x:v>3</x:v>
      </x:c>
      <x:c r="R113" s="53" t="n">
        <x:f>XLOOKUP($A113,'Specs'!$A$2:$A$164,'Specs'!$R$2:$R$164,"")</x:f>
        <x:v>3</x:v>
      </x:c>
      <x:c r="S113" t="str">
        <x:f>'Vendor Options'!A113</x:f>
        <x:v>OFFER-0C3F1190F227</x:v>
      </x:c>
      <x:c r="T113" t="str">
        <x:f>'Vendor Options'!C113</x:f>
        <x:v>PHI</x:v>
      </x:c>
      <x:c r="U113" t="str">
        <x:f>'Vendor Options'!D113</x:f>
        <x:v>2300 36"</x:v>
      </x:c>
      <x:c r="V113" t="str">
        <x:f>'Vendor Options'!E113</x:f>
        <x:v>2400:R-PANIC: NR</x:v>
      </x:c>
      <x:c r="W113" t="str">
        <x:f>'Vendor Options'!F113</x:f>
      </x:c>
      <x:c r="X113" t="str">
        <x:f>'Vendor Options'!G113</x:f>
      </x:c>
      <x:c r="Y113" t="n">
        <x:f>'Vendor Options'!H113</x:f>
        <x:v>0</x:v>
      </x:c>
      <x:c r="Z113" t="str">
        <x:f>'Vendor Options'!I113</x:f>
      </x:c>
      <x:c r="AA113" s="54" t="n">
        <x:f>'Vendor Options'!J113</x:f>
        <x:v>4860</x:v>
      </x:c>
      <x:c r="AB113" t="str">
        <x:f>'Vendor Options'!K113</x:f>
        <x:v>50/70</x:v>
      </x:c>
      <x:c r="AC113" s="57" t="n">
        <x:f>'Vendor Options'!L113</x:f>
        <x:v>0.5</x:v>
      </x:c>
      <x:c r="AD113" s="57" t="n">
        <x:f>'Vendor Options'!M113</x:f>
        <x:v>0.7</x:v>
      </x:c>
      <x:c r="AE113" s="54" t="n">
        <x:f>'Vendor Options'!N113</x:f>
        <x:v>729.0000000000001</x:v>
      </x:c>
      <x:c r="AF113" t="str">
        <x:f>'Vendor Options'!O113</x:f>
        <x:v>USD</x:v>
      </x:c>
      <x:c r="AG113" t="str">
        <x:f>'Vendor Options'!P113</x:f>
        <x:v>PRICED</x:v>
      </x:c>
      <x:c r="AH113" t="str">
        <x:f>'Vendor Options'!Q113</x:f>
        <x:v>REVIEW</x:v>
      </x:c>
      <x:c r="AI113" t="str">
        <x:f>'Vendor Options'!R113</x:f>
        <x:v>MISSING_PART_NUMBER</x:v>
      </x:c>
      <x:c r="AJ113" t="n">
        <x:f>'Vendor Options'!S113</x:f>
        <x:v>336</x:v>
      </x:c>
    </x:row>
    <x:row r="114" ht="15" hidden="0" customHeight="1">
      <x:c r="A114" t="str">
        <x:f>'Vendor Options'!B114</x:f>
        <x:v>SPEC-0C7D8610573F</x:v>
      </x:c>
      <x:c r="B114" t="str">
        <x:f>XLOOKUP($A114,'Specs'!$A$2:$A$164,'Specs'!$B$2:$B$164,"")</x:f>
        <x:v>EXIT DEVICE</x:v>
      </x:c>
      <x:c r="C114" t="str">
        <x:f>XLOOKUP($A114,'Specs'!$A$2:$A$164,'Specs'!$C$2:$C$164,"")</x:f>
        <x:v>PANIC / EXIT DEVICE</x:v>
      </x:c>
      <x:c r="D114" t="str">
        <x:f>XLOOKUP($A114,'Specs'!$A$2:$A$164,'Specs'!$D$2:$D$164,"")</x:f>
        <x:v>RIM</x:v>
      </x:c>
      <x:c r="E114" t="str">
        <x:f>XLOOKUP($A114,'Specs'!$A$2:$A$164,'Specs'!$E$2:$E$164,"")</x:f>
        <x:v>EXIT DEVICE</x:v>
      </x:c>
      <x:c r="F114" t="str">
        <x:f>XLOOKUP($A114,'Specs'!$A$2:$A$164,'Specs'!$F$2:$F$164,"")</x:f>
        <x:v>NOT APPLICABLE</x:v>
      </x:c>
      <x:c r="G114" t="str">
        <x:f>XLOOKUP($A114,'Specs'!$A$2:$A$164,'Specs'!$G$2:$G$164,"")</x:f>
        <x:v>36"</x:v>
      </x:c>
      <x:c r="H114" t="str">
        <x:f>XLOOKUP($A114,'Specs'!$A$2:$A$164,'Specs'!$H$2:$H$164,"")</x:f>
        <x:v>TDI</x:v>
      </x:c>
      <x:c r="I114" t="str">
        <x:f>XLOOKUP($A114,'Specs'!$A$2:$A$164,'Specs'!$I$2:$I$164,"")</x:f>
      </x:c>
      <x:c r="J114" t="str">
        <x:f>XLOOKUP($A114,'Specs'!$A$2:$A$164,'Specs'!$J$2:$J$164,"")</x:f>
      </x:c>
      <x:c r="K114" t="str">
        <x:f>XLOOKUP($A114,'Specs'!$A$2:$A$164,'Specs'!$K$2:$K$164,"")</x:f>
      </x:c>
      <x:c r="L114" t="str">
        <x:f>XLOOKUP($A114,'Specs'!$A$2:$A$164,'Specs'!$L$2:$L$164,"")</x:f>
      </x:c>
      <x:c r="M114" t="n">
        <x:f>XLOOKUP($A114,'Specs'!$A$2:$A$164,'Specs'!$M$2:$M$164,"")</x:f>
        <x:v>630</x:v>
      </x:c>
      <x:c r="N114" t="str">
        <x:f>XLOOKUP($A114,'Specs'!$A$2:$A$164,'Specs'!$N$2:$N$164,"")</x:f>
      </x:c>
      <x:c r="O114" t="str">
        <x:f>XLOOKUP($A114,'Specs'!$A$2:$A$164,'Specs'!$O$2:$O$164,"")</x:f>
      </x:c>
      <x:c r="P114" t="str">
        <x:f>XLOOKUP($A114,'Specs'!$A$2:$A$164,'Specs'!$P$2:$P$164,"")</x:f>
        <x:v>HIGH</x:v>
      </x:c>
      <x:c r="Q114" s="53" t="n">
        <x:f>XLOOKUP($A114,'Specs'!$A$2:$A$164,'Specs'!$Q$2:$Q$164,"")</x:f>
        <x:v>1</x:v>
      </x:c>
      <x:c r="R114" s="53" t="n">
        <x:f>XLOOKUP($A114,'Specs'!$A$2:$A$164,'Specs'!$R$2:$R$164,"")</x:f>
        <x:v>1</x:v>
      </x:c>
      <x:c r="S114" t="str">
        <x:f>'Vendor Options'!A114</x:f>
        <x:v>OFFER-C6180F510030</x:v>
      </x:c>
      <x:c r="T114" t="str">
        <x:f>'Vendor Options'!C114</x:f>
        <x:v>PHG</x:v>
      </x:c>
      <x:c r="U114" t="str">
        <x:f>'Vendor Options'!D114</x:f>
        <x:v>9500-36"</x:v>
      </x:c>
      <x:c r="V114" t="str">
        <x:f>'Vendor Options'!E114</x:f>
        <x:v>36" RIM PANIC</x:v>
      </x:c>
      <x:c r="W114" t="str">
        <x:f>'Vendor Options'!F114</x:f>
      </x:c>
      <x:c r="X114" t="str">
        <x:f>'Vendor Options'!G114</x:f>
        <x:v>95ED36FR32D</x:v>
      </x:c>
      <x:c r="Y114" t="str">
        <x:f>'Vendor Options'!H114</x:f>
        <x:v>95ED36FR32D</x:v>
      </x:c>
      <x:c r="Z114" t="str">
        <x:f>'Vendor Options'!I114</x:f>
      </x:c>
      <x:c r="AA114" s="54" t="n">
        <x:f>'Vendor Options'!J114</x:f>
        <x:v>467.62</x:v>
      </x:c>
      <x:c r="AB114" t="n">
        <x:f>'Vendor Options'!K114</x:f>
        <x:v>0</x:v>
      </x:c>
      <x:c r="AC114" s="57" t="n">
        <x:f>'Vendor Options'!L114</x:f>
        <x:v>0</x:v>
      </x:c>
      <x:c r="AD114" s="57" t="n">
        <x:f>'Vendor Options'!M114</x:f>
        <x:v>0</x:v>
      </x:c>
      <x:c r="AE114" s="54" t="n">
        <x:f>'Vendor Options'!N114</x:f>
        <x:v>467.62</x:v>
      </x:c>
      <x:c r="AF114" t="str">
        <x:f>'Vendor Options'!O114</x:f>
        <x:v>USD</x:v>
      </x:c>
      <x:c r="AG114" t="str">
        <x:f>'Vendor Options'!P114</x:f>
        <x:v>PRICED</x:v>
      </x:c>
      <x:c r="AH114" t="str">
        <x:f>'Vendor Options'!Q114</x:f>
        <x:v>REVIEW</x:v>
      </x:c>
      <x:c r="AI114" t="str">
        <x:f>'Vendor Options'!R114</x:f>
        <x:v>PART_NUMBER_CONFLICT</x:v>
      </x:c>
      <x:c r="AJ114" t="n">
        <x:f>'Vendor Options'!S114</x:f>
        <x:v>304</x:v>
      </x:c>
    </x:row>
    <x:row r="115" ht="15" hidden="0" customHeight="1">
      <x:c r="A115" t="str">
        <x:f>'Vendor Options'!B115</x:f>
        <x:v>SPEC-7935B9EC99E6</x:v>
      </x:c>
      <x:c r="B115" t="str">
        <x:f>XLOOKUP($A115,'Specs'!$A$2:$A$164,'Specs'!$B$2:$B$164,"")</x:f>
        <x:v>EXIT DEVICE</x:v>
      </x:c>
      <x:c r="C115" t="str">
        <x:f>XLOOKUP($A115,'Specs'!$A$2:$A$164,'Specs'!$C$2:$C$164,"")</x:f>
        <x:v>PANIC / EXIT DEVICE</x:v>
      </x:c>
      <x:c r="D115" t="str">
        <x:f>XLOOKUP($A115,'Specs'!$A$2:$A$164,'Specs'!$D$2:$D$164,"")</x:f>
        <x:v>RIM</x:v>
      </x:c>
      <x:c r="E115" t="str">
        <x:f>XLOOKUP($A115,'Specs'!$A$2:$A$164,'Specs'!$E$2:$E$164,"")</x:f>
        <x:v>EXIT DEVICE</x:v>
      </x:c>
      <x:c r="F115" t="str">
        <x:f>XLOOKUP($A115,'Specs'!$A$2:$A$164,'Specs'!$F$2:$F$164,"")</x:f>
        <x:v>NOT APPLICABLE</x:v>
      </x:c>
      <x:c r="G115" t="str">
        <x:f>XLOOKUP($A115,'Specs'!$A$2:$A$164,'Specs'!$G$2:$G$164,"")</x:f>
        <x:v>42"</x:v>
      </x:c>
      <x:c r="H115" t="str">
        <x:f>XLOOKUP($A115,'Specs'!$A$2:$A$164,'Specs'!$H$2:$H$164,"")</x:f>
        <x:v>FIRE</x:v>
      </x:c>
      <x:c r="I115" t="str">
        <x:f>XLOOKUP($A115,'Specs'!$A$2:$A$164,'Specs'!$I$2:$I$164,"")</x:f>
      </x:c>
      <x:c r="J115" t="str">
        <x:f>XLOOKUP($A115,'Specs'!$A$2:$A$164,'Specs'!$J$2:$J$164,"")</x:f>
      </x:c>
      <x:c r="K115" t="str">
        <x:f>XLOOKUP($A115,'Specs'!$A$2:$A$164,'Specs'!$K$2:$K$164,"")</x:f>
      </x:c>
      <x:c r="L115" t="str">
        <x:f>XLOOKUP($A115,'Specs'!$A$2:$A$164,'Specs'!$L$2:$L$164,"")</x:f>
      </x:c>
      <x:c r="M115" t="n">
        <x:f>XLOOKUP($A115,'Specs'!$A$2:$A$164,'Specs'!$M$2:$M$164,"")</x:f>
        <x:v>630</x:v>
      </x:c>
      <x:c r="N115" t="str">
        <x:f>XLOOKUP($A115,'Specs'!$A$2:$A$164,'Specs'!$N$2:$N$164,"")</x:f>
      </x:c>
      <x:c r="O115" t="str">
        <x:f>XLOOKUP($A115,'Specs'!$A$2:$A$164,'Specs'!$O$2:$O$164,"")</x:f>
      </x:c>
      <x:c r="P115" t="str">
        <x:f>XLOOKUP($A115,'Specs'!$A$2:$A$164,'Specs'!$P$2:$P$164,"")</x:f>
        <x:v>HIGH</x:v>
      </x:c>
      <x:c r="Q115" s="53" t="n">
        <x:f>XLOOKUP($A115,'Specs'!$A$2:$A$164,'Specs'!$Q$2:$Q$164,"")</x:f>
        <x:v>2</x:v>
      </x:c>
      <x:c r="R115" s="53" t="n">
        <x:f>XLOOKUP($A115,'Specs'!$A$2:$A$164,'Specs'!$R$2:$R$164,"")</x:f>
        <x:v>1</x:v>
      </x:c>
      <x:c r="S115" t="str">
        <x:f>'Vendor Options'!A115</x:f>
        <x:v>OFFER-94B1EA31EABC</x:v>
      </x:c>
      <x:c r="T115" t="str">
        <x:f>'Vendor Options'!C115</x:f>
        <x:v>DH</x:v>
      </x:c>
      <x:c r="U115" t="str">
        <x:f>'Vendor Options'!D115</x:f>
        <x:v>1000F: R-PANIC F RATED</x:v>
      </x:c>
      <x:c r="V115" t="str">
        <x:f>'Vendor Options'!E115</x:f>
        <x:v>1000F: R-PANIC F RATED</x:v>
      </x:c>
      <x:c r="W115" t="str">
        <x:f>'Vendor Options'!F115</x:f>
      </x:c>
      <x:c r="X115" t="str">
        <x:f>'Vendor Options'!G115</x:f>
        <x:v>78002592</x:v>
      </x:c>
      <x:c r="Y115" t="str">
        <x:f>'Vendor Options'!H115</x:f>
        <x:v>78002592 - F1000R 42" Fire Rated Rim Device 630</x:v>
      </x:c>
      <x:c r="Z115" t="str">
        <x:f>'Vendor Options'!I115</x:f>
      </x:c>
      <x:c r="AA115" s="54" t="n">
        <x:f>'Vendor Options'!J115</x:f>
        <x:v>1128.1</x:v>
      </x:c>
      <x:c r="AB115" t="n">
        <x:f>'Vendor Options'!K115</x:f>
        <x:v>0</x:v>
      </x:c>
      <x:c r="AC115" s="57" t="n">
        <x:f>'Vendor Options'!L115</x:f>
        <x:v>0</x:v>
      </x:c>
      <x:c r="AD115" s="57" t="n">
        <x:f>'Vendor Options'!M115</x:f>
        <x:v>0</x:v>
      </x:c>
      <x:c r="AE115" s="54" t="n">
        <x:f>'Vendor Options'!N115</x:f>
        <x:v>1128.1</x:v>
      </x:c>
      <x:c r="AF115" t="str">
        <x:f>'Vendor Options'!O115</x:f>
        <x:v>USD</x:v>
      </x:c>
      <x:c r="AG115" t="str">
        <x:f>'Vendor Options'!P115</x:f>
        <x:v>PRICED</x:v>
      </x:c>
      <x:c r="AH115" t="str">
        <x:f>'Vendor Options'!Q115</x:f>
        <x:v>ACTIVE</x:v>
      </x:c>
      <x:c r="AI115" t="str">
        <x:f>'Vendor Options'!R115</x:f>
      </x:c>
      <x:c r="AJ115" t="n">
        <x:f>'Vendor Options'!S115</x:f>
        <x:v>283</x:v>
      </x:c>
    </x:row>
    <x:row r="116" ht="15" hidden="0" customHeight="1">
      <x:c r="A116" t="str">
        <x:f>'Vendor Options'!B116</x:f>
        <x:v>SPEC-7935B9EC99E6</x:v>
      </x:c>
      <x:c r="B116" t="str">
        <x:f>XLOOKUP($A116,'Specs'!$A$2:$A$164,'Specs'!$B$2:$B$164,"")</x:f>
        <x:v>EXIT DEVICE</x:v>
      </x:c>
      <x:c r="C116" t="str">
        <x:f>XLOOKUP($A116,'Specs'!$A$2:$A$164,'Specs'!$C$2:$C$164,"")</x:f>
        <x:v>PANIC / EXIT DEVICE</x:v>
      </x:c>
      <x:c r="D116" t="str">
        <x:f>XLOOKUP($A116,'Specs'!$A$2:$A$164,'Specs'!$D$2:$D$164,"")</x:f>
        <x:v>RIM</x:v>
      </x:c>
      <x:c r="E116" t="str">
        <x:f>XLOOKUP($A116,'Specs'!$A$2:$A$164,'Specs'!$E$2:$E$164,"")</x:f>
        <x:v>EXIT DEVICE</x:v>
      </x:c>
      <x:c r="F116" t="str">
        <x:f>XLOOKUP($A116,'Specs'!$A$2:$A$164,'Specs'!$F$2:$F$164,"")</x:f>
        <x:v>NOT APPLICABLE</x:v>
      </x:c>
      <x:c r="G116" t="str">
        <x:f>XLOOKUP($A116,'Specs'!$A$2:$A$164,'Specs'!$G$2:$G$164,"")</x:f>
        <x:v>42"</x:v>
      </x:c>
      <x:c r="H116" t="str">
        <x:f>XLOOKUP($A116,'Specs'!$A$2:$A$164,'Specs'!$H$2:$H$164,"")</x:f>
        <x:v>FIRE</x:v>
      </x:c>
      <x:c r="I116" t="str">
        <x:f>XLOOKUP($A116,'Specs'!$A$2:$A$164,'Specs'!$I$2:$I$164,"")</x:f>
      </x:c>
      <x:c r="J116" t="str">
        <x:f>XLOOKUP($A116,'Specs'!$A$2:$A$164,'Specs'!$J$2:$J$164,"")</x:f>
      </x:c>
      <x:c r="K116" t="str">
        <x:f>XLOOKUP($A116,'Specs'!$A$2:$A$164,'Specs'!$K$2:$K$164,"")</x:f>
      </x:c>
      <x:c r="L116" t="str">
        <x:f>XLOOKUP($A116,'Specs'!$A$2:$A$164,'Specs'!$L$2:$L$164,"")</x:f>
      </x:c>
      <x:c r="M116" t="n">
        <x:f>XLOOKUP($A116,'Specs'!$A$2:$A$164,'Specs'!$M$2:$M$164,"")</x:f>
        <x:v>630</x:v>
      </x:c>
      <x:c r="N116" t="str">
        <x:f>XLOOKUP($A116,'Specs'!$A$2:$A$164,'Specs'!$N$2:$N$164,"")</x:f>
      </x:c>
      <x:c r="O116" t="str">
        <x:f>XLOOKUP($A116,'Specs'!$A$2:$A$164,'Specs'!$O$2:$O$164,"")</x:f>
      </x:c>
      <x:c r="P116" t="str">
        <x:f>XLOOKUP($A116,'Specs'!$A$2:$A$164,'Specs'!$P$2:$P$164,"")</x:f>
        <x:v>HIGH</x:v>
      </x:c>
      <x:c r="Q116" s="53" t="n">
        <x:f>XLOOKUP($A116,'Specs'!$A$2:$A$164,'Specs'!$Q$2:$Q$164,"")</x:f>
        <x:v>2</x:v>
      </x:c>
      <x:c r="R116" s="53" t="n">
        <x:f>XLOOKUP($A116,'Specs'!$A$2:$A$164,'Specs'!$R$2:$R$164,"")</x:f>
        <x:v>1</x:v>
      </x:c>
      <x:c r="S116" t="str">
        <x:f>'Vendor Options'!A116</x:f>
        <x:v>OFFER-553B6D611A43</x:v>
      </x:c>
      <x:c r="T116" t="str">
        <x:f>'Vendor Options'!C116</x:f>
        <x:v>DH</x:v>
      </x:c>
      <x:c r="U116" t="str">
        <x:f>'Vendor Options'!D116</x:f>
        <x:v>2000F: R-PANIC F RATED</x:v>
      </x:c>
      <x:c r="V116" t="str">
        <x:f>'Vendor Options'!E116</x:f>
        <x:v>2000F: R-PANIC F RATED</x:v>
      </x:c>
      <x:c r="W116" t="str">
        <x:f>'Vendor Options'!F116</x:f>
      </x:c>
      <x:c r="X116" t="str">
        <x:f>'Vendor Options'!G116</x:f>
        <x:v>78002659</x:v>
      </x:c>
      <x:c r="Y116" t="str">
        <x:f>'Vendor Options'!H116</x:f>
        <x:v>78002659 - F2000R 42" Fire Rated Rim Device</x:v>
      </x:c>
      <x:c r="Z116" t="str">
        <x:f>'Vendor Options'!I116</x:f>
      </x:c>
      <x:c r="AA116" s="54" t="n">
        <x:f>'Vendor Options'!J116</x:f>
        <x:v>678.2</x:v>
      </x:c>
      <x:c r="AB116" t="n">
        <x:f>'Vendor Options'!K116</x:f>
        <x:v>0</x:v>
      </x:c>
      <x:c r="AC116" s="57" t="n">
        <x:f>'Vendor Options'!L116</x:f>
        <x:v>0</x:v>
      </x:c>
      <x:c r="AD116" s="57" t="n">
        <x:f>'Vendor Options'!M116</x:f>
        <x:v>0</x:v>
      </x:c>
      <x:c r="AE116" s="54" t="n">
        <x:f>'Vendor Options'!N116</x:f>
        <x:v>678.2</x:v>
      </x:c>
      <x:c r="AF116" t="str">
        <x:f>'Vendor Options'!O116</x:f>
        <x:v>USD</x:v>
      </x:c>
      <x:c r="AG116" t="str">
        <x:f>'Vendor Options'!P116</x:f>
        <x:v>PRICED</x:v>
      </x:c>
      <x:c r="AH116" t="str">
        <x:f>'Vendor Options'!Q116</x:f>
        <x:v>REVIEW</x:v>
      </x:c>
      <x:c r="AI116" t="str">
        <x:f>'Vendor Options'!R116</x:f>
        <x:v>PART_NUMBER_CONFLICT</x:v>
      </x:c>
      <x:c r="AJ116" t="n">
        <x:f>'Vendor Options'!S116</x:f>
        <x:v>288</x:v>
      </x:c>
    </x:row>
    <x:row r="117" ht="15" hidden="0" customHeight="1">
      <x:c r="A117" t="str">
        <x:f>'Vendor Options'!B117</x:f>
        <x:v>SPEC-741297671B6D</x:v>
      </x:c>
      <x:c r="B117" t="str">
        <x:f>XLOOKUP($A117,'Specs'!$A$2:$A$164,'Specs'!$B$2:$B$164,"")</x:f>
        <x:v>EXIT DEVICE</x:v>
      </x:c>
      <x:c r="C117" t="str">
        <x:f>XLOOKUP($A117,'Specs'!$A$2:$A$164,'Specs'!$C$2:$C$164,"")</x:f>
        <x:v>PANIC / EXIT DEVICE</x:v>
      </x:c>
      <x:c r="D117" t="str">
        <x:f>XLOOKUP($A117,'Specs'!$A$2:$A$164,'Specs'!$D$2:$D$164,"")</x:f>
        <x:v>RIM</x:v>
      </x:c>
      <x:c r="E117" t="str">
        <x:f>XLOOKUP($A117,'Specs'!$A$2:$A$164,'Specs'!$E$2:$E$164,"")</x:f>
        <x:v>EXIT DEVICE</x:v>
      </x:c>
      <x:c r="F117" t="str">
        <x:f>XLOOKUP($A117,'Specs'!$A$2:$A$164,'Specs'!$F$2:$F$164,"")</x:f>
        <x:v>NOT APPLICABLE</x:v>
      </x:c>
      <x:c r="G117" t="str">
        <x:f>XLOOKUP($A117,'Specs'!$A$2:$A$164,'Specs'!$G$2:$G$164,"")</x:f>
        <x:v>42"</x:v>
      </x:c>
      <x:c r="H117" t="str">
        <x:f>XLOOKUP($A117,'Specs'!$A$2:$A$164,'Specs'!$H$2:$H$164,"")</x:f>
        <x:v>FIRE</x:v>
      </x:c>
      <x:c r="I117" t="str">
        <x:f>XLOOKUP($A117,'Specs'!$A$2:$A$164,'Specs'!$I$2:$I$164,"")</x:f>
      </x:c>
      <x:c r="J117" t="str">
        <x:f>XLOOKUP($A117,'Specs'!$A$2:$A$164,'Specs'!$J$2:$J$164,"")</x:f>
      </x:c>
      <x:c r="K117" t="str">
        <x:f>XLOOKUP($A117,'Specs'!$A$2:$A$164,'Specs'!$K$2:$K$164,"")</x:f>
      </x:c>
      <x:c r="L117" t="str">
        <x:f>XLOOKUP($A117,'Specs'!$A$2:$A$164,'Specs'!$L$2:$L$164,"")</x:f>
      </x:c>
      <x:c r="M117" t="n">
        <x:f>XLOOKUP($A117,'Specs'!$A$2:$A$164,'Specs'!$M$2:$M$164,"")</x:f>
        <x:v>689</x:v>
      </x:c>
      <x:c r="N117" t="str">
        <x:f>XLOOKUP($A117,'Specs'!$A$2:$A$164,'Specs'!$N$2:$N$164,"")</x:f>
      </x:c>
      <x:c r="O117" t="str">
        <x:f>XLOOKUP($A117,'Specs'!$A$2:$A$164,'Specs'!$O$2:$O$164,"")</x:f>
      </x:c>
      <x:c r="P117" t="str">
        <x:f>XLOOKUP($A117,'Specs'!$A$2:$A$164,'Specs'!$P$2:$P$164,"")</x:f>
        <x:v>HIGH</x:v>
      </x:c>
      <x:c r="Q117" s="53" t="n">
        <x:f>XLOOKUP($A117,'Specs'!$A$2:$A$164,'Specs'!$Q$2:$Q$164,"")</x:f>
        <x:v>1</x:v>
      </x:c>
      <x:c r="R117" s="53" t="n">
        <x:f>XLOOKUP($A117,'Specs'!$A$2:$A$164,'Specs'!$R$2:$R$164,"")</x:f>
        <x:v>1</x:v>
      </x:c>
      <x:c r="S117" t="str">
        <x:f>'Vendor Options'!A117</x:f>
        <x:v>OFFER-6B943A94FFA6</x:v>
      </x:c>
      <x:c r="T117" t="str">
        <x:f>'Vendor Options'!C117</x:f>
        <x:v>DH</x:v>
      </x:c>
      <x:c r="U117" t="str">
        <x:f>'Vendor Options'!D117</x:f>
        <x:v>2000F: R-PANIC F RATED</x:v>
      </x:c>
      <x:c r="V117" t="str">
        <x:f>'Vendor Options'!E117</x:f>
        <x:v>2000F: R-PANIC F RATED</x:v>
      </x:c>
      <x:c r="W117" t="str">
        <x:f>'Vendor Options'!F117</x:f>
      </x:c>
      <x:c r="X117" t="str">
        <x:f>'Vendor Options'!G117</x:f>
        <x:v>78002659</x:v>
      </x:c>
      <x:c r="Y117" t="str">
        <x:f>'Vendor Options'!H117</x:f>
        <x:v>78002659 - F2000R 42" Fire Rated Rim Device</x:v>
      </x:c>
      <x:c r="Z117" t="str">
        <x:f>'Vendor Options'!I117</x:f>
      </x:c>
      <x:c r="AA117" s="54" t="n">
        <x:f>'Vendor Options'!J117</x:f>
        <x:v>409.1</x:v>
      </x:c>
      <x:c r="AB117" t="n">
        <x:f>'Vendor Options'!K117</x:f>
        <x:v>0</x:v>
      </x:c>
      <x:c r="AC117" s="57" t="n">
        <x:f>'Vendor Options'!L117</x:f>
        <x:v>0</x:v>
      </x:c>
      <x:c r="AD117" s="57" t="n">
        <x:f>'Vendor Options'!M117</x:f>
        <x:v>0</x:v>
      </x:c>
      <x:c r="AE117" s="54" t="n">
        <x:f>'Vendor Options'!N117</x:f>
        <x:v>409.1</x:v>
      </x:c>
      <x:c r="AF117" t="str">
        <x:f>'Vendor Options'!O117</x:f>
        <x:v>USD</x:v>
      </x:c>
      <x:c r="AG117" t="str">
        <x:f>'Vendor Options'!P117</x:f>
        <x:v>PRICED</x:v>
      </x:c>
      <x:c r="AH117" t="str">
        <x:f>'Vendor Options'!Q117</x:f>
        <x:v>REVIEW</x:v>
      </x:c>
      <x:c r="AI117" t="str">
        <x:f>'Vendor Options'!R117</x:f>
        <x:v>PART_NUMBER_CONFLICT</x:v>
      </x:c>
      <x:c r="AJ117" t="n">
        <x:f>'Vendor Options'!S117</x:f>
        <x:v>293</x:v>
      </x:c>
    </x:row>
    <x:row r="118" ht="15" hidden="0" customHeight="1">
      <x:c r="A118" t="str">
        <x:f>'Vendor Options'!B118</x:f>
        <x:v>SPEC-C6691ACF2992</x:v>
      </x:c>
      <x:c r="B118" t="str">
        <x:f>XLOOKUP($A118,'Specs'!$A$2:$A$164,'Specs'!$B$2:$B$164,"")</x:f>
        <x:v>EXIT DEVICE</x:v>
      </x:c>
      <x:c r="C118" t="str">
        <x:f>XLOOKUP($A118,'Specs'!$A$2:$A$164,'Specs'!$C$2:$C$164,"")</x:f>
        <x:v>PANIC / EXIT DEVICE</x:v>
      </x:c>
      <x:c r="D118" t="str">
        <x:f>XLOOKUP($A118,'Specs'!$A$2:$A$164,'Specs'!$D$2:$D$164,"")</x:f>
        <x:v>RIM</x:v>
      </x:c>
      <x:c r="E118" t="str">
        <x:f>XLOOKUP($A118,'Specs'!$A$2:$A$164,'Specs'!$E$2:$E$164,"")</x:f>
        <x:v>EXIT DEVICE</x:v>
      </x:c>
      <x:c r="F118" t="str">
        <x:f>XLOOKUP($A118,'Specs'!$A$2:$A$164,'Specs'!$F$2:$F$164,"")</x:f>
        <x:v>NOT APPLICABLE</x:v>
      </x:c>
      <x:c r="G118" t="str">
        <x:f>XLOOKUP($A118,'Specs'!$A$2:$A$164,'Specs'!$G$2:$G$164,"")</x:f>
        <x:v>42"</x:v>
      </x:c>
      <x:c r="H118" t="str">
        <x:f>XLOOKUP($A118,'Specs'!$A$2:$A$164,'Specs'!$H$2:$H$164,"")</x:f>
        <x:v>PANIC</x:v>
      </x:c>
      <x:c r="I118" t="str">
        <x:f>XLOOKUP($A118,'Specs'!$A$2:$A$164,'Specs'!$I$2:$I$164,"")</x:f>
      </x:c>
      <x:c r="J118" t="str">
        <x:f>XLOOKUP($A118,'Specs'!$A$2:$A$164,'Specs'!$J$2:$J$164,"")</x:f>
      </x:c>
      <x:c r="K118" t="str">
        <x:f>XLOOKUP($A118,'Specs'!$A$2:$A$164,'Specs'!$K$2:$K$164,"")</x:f>
      </x:c>
      <x:c r="L118" t="str">
        <x:f>XLOOKUP($A118,'Specs'!$A$2:$A$164,'Specs'!$L$2:$L$164,"")</x:f>
      </x:c>
      <x:c r="M118" t="n">
        <x:f>XLOOKUP($A118,'Specs'!$A$2:$A$164,'Specs'!$M$2:$M$164,"")</x:f>
        <x:v>630</x:v>
      </x:c>
      <x:c r="N118" t="str">
        <x:f>XLOOKUP($A118,'Specs'!$A$2:$A$164,'Specs'!$N$2:$N$164,"")</x:f>
      </x:c>
      <x:c r="O118" t="str">
        <x:f>XLOOKUP($A118,'Specs'!$A$2:$A$164,'Specs'!$O$2:$O$164,"")</x:f>
      </x:c>
      <x:c r="P118" t="str">
        <x:f>XLOOKUP($A118,'Specs'!$A$2:$A$164,'Specs'!$P$2:$P$164,"")</x:f>
        <x:v>HIGH</x:v>
      </x:c>
      <x:c r="Q118" s="53" t="n">
        <x:f>XLOOKUP($A118,'Specs'!$A$2:$A$164,'Specs'!$Q$2:$Q$164,"")</x:f>
        <x:v>2</x:v>
      </x:c>
      <x:c r="R118" s="53" t="n">
        <x:f>XLOOKUP($A118,'Specs'!$A$2:$A$164,'Specs'!$R$2:$R$164,"")</x:f>
        <x:v>1</x:v>
      </x:c>
      <x:c r="S118" t="str">
        <x:f>'Vendor Options'!A118</x:f>
        <x:v>OFFER-1D515CA77FC8</x:v>
      </x:c>
      <x:c r="T118" t="str">
        <x:f>'Vendor Options'!C118</x:f>
        <x:v>DH</x:v>
      </x:c>
      <x:c r="U118" t="str">
        <x:f>'Vendor Options'!D118</x:f>
        <x:v>1000: R-PANIC NR</x:v>
      </x:c>
      <x:c r="V118" t="str">
        <x:f>'Vendor Options'!E118</x:f>
        <x:v>1000: R-PANIC NR</x:v>
      </x:c>
      <x:c r="W118" t="str">
        <x:f>'Vendor Options'!F118</x:f>
      </x:c>
      <x:c r="X118" t="str">
        <x:f>'Vendor Options'!G118</x:f>
        <x:v>78002510</x:v>
      </x:c>
      <x:c r="Y118" t="str">
        <x:f>'Vendor Options'!H118</x:f>
        <x:v>78002510 - 1000R 42" Rim Device 630</x:v>
      </x:c>
      <x:c r="Z118" t="str">
        <x:f>'Vendor Options'!I118</x:f>
      </x:c>
      <x:c r="AA118" s="54" t="n">
        <x:f>'Vendor Options'!J118</x:f>
        <x:v>1048.15</x:v>
      </x:c>
      <x:c r="AB118" t="n">
        <x:f>'Vendor Options'!K118</x:f>
        <x:v>0</x:v>
      </x:c>
      <x:c r="AC118" s="57" t="n">
        <x:f>'Vendor Options'!L118</x:f>
        <x:v>0</x:v>
      </x:c>
      <x:c r="AD118" s="57" t="n">
        <x:f>'Vendor Options'!M118</x:f>
        <x:v>0</x:v>
      </x:c>
      <x:c r="AE118" s="54" t="n">
        <x:f>'Vendor Options'!N118</x:f>
        <x:v>1048.15</x:v>
      </x:c>
      <x:c r="AF118" t="str">
        <x:f>'Vendor Options'!O118</x:f>
        <x:v>USD</x:v>
      </x:c>
      <x:c r="AG118" t="str">
        <x:f>'Vendor Options'!P118</x:f>
        <x:v>PRICED</x:v>
      </x:c>
      <x:c r="AH118" t="str">
        <x:f>'Vendor Options'!Q118</x:f>
        <x:v>ACTIVE</x:v>
      </x:c>
      <x:c r="AI118" t="str">
        <x:f>'Vendor Options'!R118</x:f>
      </x:c>
      <x:c r="AJ118" t="n">
        <x:f>'Vendor Options'!S118</x:f>
        <x:v>282</x:v>
      </x:c>
    </x:row>
    <x:row r="119" ht="15" hidden="0" customHeight="1">
      <x:c r="A119" t="str">
        <x:f>'Vendor Options'!B119</x:f>
        <x:v>SPEC-C6691ACF2992</x:v>
      </x:c>
      <x:c r="B119" t="str">
        <x:f>XLOOKUP($A119,'Specs'!$A$2:$A$164,'Specs'!$B$2:$B$164,"")</x:f>
        <x:v>EXIT DEVICE</x:v>
      </x:c>
      <x:c r="C119" t="str">
        <x:f>XLOOKUP($A119,'Specs'!$A$2:$A$164,'Specs'!$C$2:$C$164,"")</x:f>
        <x:v>PANIC / EXIT DEVICE</x:v>
      </x:c>
      <x:c r="D119" t="str">
        <x:f>XLOOKUP($A119,'Specs'!$A$2:$A$164,'Specs'!$D$2:$D$164,"")</x:f>
        <x:v>RIM</x:v>
      </x:c>
      <x:c r="E119" t="str">
        <x:f>XLOOKUP($A119,'Specs'!$A$2:$A$164,'Specs'!$E$2:$E$164,"")</x:f>
        <x:v>EXIT DEVICE</x:v>
      </x:c>
      <x:c r="F119" t="str">
        <x:f>XLOOKUP($A119,'Specs'!$A$2:$A$164,'Specs'!$F$2:$F$164,"")</x:f>
        <x:v>NOT APPLICABLE</x:v>
      </x:c>
      <x:c r="G119" t="str">
        <x:f>XLOOKUP($A119,'Specs'!$A$2:$A$164,'Specs'!$G$2:$G$164,"")</x:f>
        <x:v>42"</x:v>
      </x:c>
      <x:c r="H119" t="str">
        <x:f>XLOOKUP($A119,'Specs'!$A$2:$A$164,'Specs'!$H$2:$H$164,"")</x:f>
        <x:v>PANIC</x:v>
      </x:c>
      <x:c r="I119" t="str">
        <x:f>XLOOKUP($A119,'Specs'!$A$2:$A$164,'Specs'!$I$2:$I$164,"")</x:f>
      </x:c>
      <x:c r="J119" t="str">
        <x:f>XLOOKUP($A119,'Specs'!$A$2:$A$164,'Specs'!$J$2:$J$164,"")</x:f>
      </x:c>
      <x:c r="K119" t="str">
        <x:f>XLOOKUP($A119,'Specs'!$A$2:$A$164,'Specs'!$K$2:$K$164,"")</x:f>
      </x:c>
      <x:c r="L119" t="str">
        <x:f>XLOOKUP($A119,'Specs'!$A$2:$A$164,'Specs'!$L$2:$L$164,"")</x:f>
      </x:c>
      <x:c r="M119" t="n">
        <x:f>XLOOKUP($A119,'Specs'!$A$2:$A$164,'Specs'!$M$2:$M$164,"")</x:f>
        <x:v>630</x:v>
      </x:c>
      <x:c r="N119" t="str">
        <x:f>XLOOKUP($A119,'Specs'!$A$2:$A$164,'Specs'!$N$2:$N$164,"")</x:f>
      </x:c>
      <x:c r="O119" t="str">
        <x:f>XLOOKUP($A119,'Specs'!$A$2:$A$164,'Specs'!$O$2:$O$164,"")</x:f>
      </x:c>
      <x:c r="P119" t="str">
        <x:f>XLOOKUP($A119,'Specs'!$A$2:$A$164,'Specs'!$P$2:$P$164,"")</x:f>
        <x:v>HIGH</x:v>
      </x:c>
      <x:c r="Q119" s="53" t="n">
        <x:f>XLOOKUP($A119,'Specs'!$A$2:$A$164,'Specs'!$Q$2:$Q$164,"")</x:f>
        <x:v>2</x:v>
      </x:c>
      <x:c r="R119" s="53" t="n">
        <x:f>XLOOKUP($A119,'Specs'!$A$2:$A$164,'Specs'!$R$2:$R$164,"")</x:f>
        <x:v>1</x:v>
      </x:c>
      <x:c r="S119" t="str">
        <x:f>'Vendor Options'!A119</x:f>
        <x:v>OFFER-3A85325005DA</x:v>
      </x:c>
      <x:c r="T119" t="str">
        <x:f>'Vendor Options'!C119</x:f>
        <x:v>DH</x:v>
      </x:c>
      <x:c r="U119" t="str">
        <x:f>'Vendor Options'!D119</x:f>
        <x:v>2000: R-PANIC NR</x:v>
      </x:c>
      <x:c r="V119" t="str">
        <x:f>'Vendor Options'!E119</x:f>
        <x:v>2000: R-PANIC NR</x:v>
      </x:c>
      <x:c r="W119" t="str">
        <x:f>'Vendor Options'!F119</x:f>
      </x:c>
      <x:c r="X119" t="str">
        <x:f>'Vendor Options'!G119</x:f>
        <x:v>78002622</x:v>
      </x:c>
      <x:c r="Y119" t="str">
        <x:f>'Vendor Options'!H119</x:f>
        <x:v>78002622 - 2000R 42" Rim Device</x:v>
      </x:c>
      <x:c r="Z119" t="str">
        <x:f>'Vendor Options'!I119</x:f>
      </x:c>
      <x:c r="AA119" s="54" t="n">
        <x:f>'Vendor Options'!J119</x:f>
        <x:v>571.15</x:v>
      </x:c>
      <x:c r="AB119" t="n">
        <x:f>'Vendor Options'!K119</x:f>
        <x:v>0</x:v>
      </x:c>
      <x:c r="AC119" s="57" t="n">
        <x:f>'Vendor Options'!L119</x:f>
        <x:v>0</x:v>
      </x:c>
      <x:c r="AD119" s="57" t="n">
        <x:f>'Vendor Options'!M119</x:f>
        <x:v>0</x:v>
      </x:c>
      <x:c r="AE119" s="54" t="n">
        <x:f>'Vendor Options'!N119</x:f>
        <x:v>571.15</x:v>
      </x:c>
      <x:c r="AF119" t="str">
        <x:f>'Vendor Options'!O119</x:f>
        <x:v>USD</x:v>
      </x:c>
      <x:c r="AG119" t="str">
        <x:f>'Vendor Options'!P119</x:f>
        <x:v>PRICED</x:v>
      </x:c>
      <x:c r="AH119" t="str">
        <x:f>'Vendor Options'!Q119</x:f>
        <x:v>ACTIVE</x:v>
      </x:c>
      <x:c r="AI119" t="str">
        <x:f>'Vendor Options'!R119</x:f>
      </x:c>
      <x:c r="AJ119" t="n">
        <x:f>'Vendor Options'!S119</x:f>
        <x:v>287</x:v>
      </x:c>
    </x:row>
    <x:row r="120" ht="15" hidden="0" customHeight="1">
      <x:c r="A120" t="str">
        <x:f>'Vendor Options'!B120</x:f>
        <x:v>SPEC-107EFC844FEF</x:v>
      </x:c>
      <x:c r="B120" t="str">
        <x:f>XLOOKUP($A120,'Specs'!$A$2:$A$164,'Specs'!$B$2:$B$164,"")</x:f>
        <x:v>EXIT DEVICE</x:v>
      </x:c>
      <x:c r="C120" t="str">
        <x:f>XLOOKUP($A120,'Specs'!$A$2:$A$164,'Specs'!$C$2:$C$164,"")</x:f>
        <x:v>PANIC / EXIT DEVICE</x:v>
      </x:c>
      <x:c r="D120" t="str">
        <x:f>XLOOKUP($A120,'Specs'!$A$2:$A$164,'Specs'!$D$2:$D$164,"")</x:f>
        <x:v>RIM</x:v>
      </x:c>
      <x:c r="E120" t="str">
        <x:f>XLOOKUP($A120,'Specs'!$A$2:$A$164,'Specs'!$E$2:$E$164,"")</x:f>
        <x:v>EXIT DEVICE</x:v>
      </x:c>
      <x:c r="F120" t="str">
        <x:f>XLOOKUP($A120,'Specs'!$A$2:$A$164,'Specs'!$F$2:$F$164,"")</x:f>
        <x:v>NOT APPLICABLE</x:v>
      </x:c>
      <x:c r="G120" t="str">
        <x:f>XLOOKUP($A120,'Specs'!$A$2:$A$164,'Specs'!$G$2:$G$164,"")</x:f>
        <x:v>42"</x:v>
      </x:c>
      <x:c r="H120" t="str">
        <x:f>XLOOKUP($A120,'Specs'!$A$2:$A$164,'Specs'!$H$2:$H$164,"")</x:f>
        <x:v>PANIC</x:v>
      </x:c>
      <x:c r="I120" t="str">
        <x:f>XLOOKUP($A120,'Specs'!$A$2:$A$164,'Specs'!$I$2:$I$164,"")</x:f>
      </x:c>
      <x:c r="J120" t="str">
        <x:f>XLOOKUP($A120,'Specs'!$A$2:$A$164,'Specs'!$J$2:$J$164,"")</x:f>
      </x:c>
      <x:c r="K120" t="str">
        <x:f>XLOOKUP($A120,'Specs'!$A$2:$A$164,'Specs'!$K$2:$K$164,"")</x:f>
      </x:c>
      <x:c r="L120" t="str">
        <x:f>XLOOKUP($A120,'Specs'!$A$2:$A$164,'Specs'!$L$2:$L$164,"")</x:f>
      </x:c>
      <x:c r="M120" t="n">
        <x:f>XLOOKUP($A120,'Specs'!$A$2:$A$164,'Specs'!$M$2:$M$164,"")</x:f>
        <x:v>689</x:v>
      </x:c>
      <x:c r="N120" t="str">
        <x:f>XLOOKUP($A120,'Specs'!$A$2:$A$164,'Specs'!$N$2:$N$164,"")</x:f>
      </x:c>
      <x:c r="O120" t="str">
        <x:f>XLOOKUP($A120,'Specs'!$A$2:$A$164,'Specs'!$O$2:$O$164,"")</x:f>
      </x:c>
      <x:c r="P120" t="str">
        <x:f>XLOOKUP($A120,'Specs'!$A$2:$A$164,'Specs'!$P$2:$P$164,"")</x:f>
        <x:v>HIGH</x:v>
      </x:c>
      <x:c r="Q120" s="53" t="n">
        <x:f>XLOOKUP($A120,'Specs'!$A$2:$A$164,'Specs'!$Q$2:$Q$164,"")</x:f>
        <x:v>1</x:v>
      </x:c>
      <x:c r="R120" s="53" t="n">
        <x:f>XLOOKUP($A120,'Specs'!$A$2:$A$164,'Specs'!$R$2:$R$164,"")</x:f>
        <x:v>1</x:v>
      </x:c>
      <x:c r="S120" t="str">
        <x:f>'Vendor Options'!A120</x:f>
        <x:v>OFFER-8BAD3D05A52F</x:v>
      </x:c>
      <x:c r="T120" t="str">
        <x:f>'Vendor Options'!C120</x:f>
        <x:v>DH</x:v>
      </x:c>
      <x:c r="U120" t="str">
        <x:f>'Vendor Options'!D120</x:f>
        <x:v>2000: R-PANIC NR</x:v>
      </x:c>
      <x:c r="V120" t="str">
        <x:f>'Vendor Options'!E120</x:f>
        <x:v>2000: R-PANIC NR</x:v>
      </x:c>
      <x:c r="W120" t="str">
        <x:f>'Vendor Options'!F120</x:f>
      </x:c>
      <x:c r="X120" t="str">
        <x:f>'Vendor Options'!G120</x:f>
        <x:v>78002624</x:v>
      </x:c>
      <x:c r="Y120" t="str">
        <x:f>'Vendor Options'!H120</x:f>
        <x:v>78002624 - 2000R 42" Rim Device</x:v>
      </x:c>
      <x:c r="Z120" t="str">
        <x:f>'Vendor Options'!I120</x:f>
      </x:c>
      <x:c r="AA120" s="54" t="n">
        <x:f>'Vendor Options'!J120</x:f>
        <x:v>324.1</x:v>
      </x:c>
      <x:c r="AB120" t="n">
        <x:f>'Vendor Options'!K120</x:f>
        <x:v>0</x:v>
      </x:c>
      <x:c r="AC120" s="57" t="n">
        <x:f>'Vendor Options'!L120</x:f>
        <x:v>0</x:v>
      </x:c>
      <x:c r="AD120" s="57" t="n">
        <x:f>'Vendor Options'!M120</x:f>
        <x:v>0</x:v>
      </x:c>
      <x:c r="AE120" s="54" t="n">
        <x:f>'Vendor Options'!N120</x:f>
        <x:v>324.1</x:v>
      </x:c>
      <x:c r="AF120" t="str">
        <x:f>'Vendor Options'!O120</x:f>
        <x:v>USD</x:v>
      </x:c>
      <x:c r="AG120" t="str">
        <x:f>'Vendor Options'!P120</x:f>
        <x:v>PRICED</x:v>
      </x:c>
      <x:c r="AH120" t="str">
        <x:f>'Vendor Options'!Q120</x:f>
        <x:v>ACTIVE</x:v>
      </x:c>
      <x:c r="AI120" t="str">
        <x:f>'Vendor Options'!R120</x:f>
      </x:c>
      <x:c r="AJ120" t="n">
        <x:f>'Vendor Options'!S120</x:f>
        <x:v>292</x:v>
      </x:c>
    </x:row>
    <x:row r="121" ht="15" hidden="0" customHeight="1">
      <x:c r="A121" t="str">
        <x:f>'Vendor Options'!B121</x:f>
        <x:v>SPEC-668DCC0882B9</x:v>
      </x:c>
      <x:c r="B121" t="str">
        <x:f>XLOOKUP($A121,'Specs'!$A$2:$A$164,'Specs'!$B$2:$B$164,"")</x:f>
        <x:v>EXIT DEVICE</x:v>
      </x:c>
      <x:c r="C121" t="str">
        <x:f>XLOOKUP($A121,'Specs'!$A$2:$A$164,'Specs'!$C$2:$C$164,"")</x:f>
        <x:v>PANIC / EXIT DEVICE</x:v>
      </x:c>
      <x:c r="D121" t="str">
        <x:f>XLOOKUP($A121,'Specs'!$A$2:$A$164,'Specs'!$D$2:$D$164,"")</x:f>
        <x:v>RIM</x:v>
      </x:c>
      <x:c r="E121" t="str">
        <x:f>XLOOKUP($A121,'Specs'!$A$2:$A$164,'Specs'!$E$2:$E$164,"")</x:f>
        <x:v>EXIT DEVICE</x:v>
      </x:c>
      <x:c r="F121" t="str">
        <x:f>XLOOKUP($A121,'Specs'!$A$2:$A$164,'Specs'!$F$2:$F$164,"")</x:f>
        <x:v>NOT APPLICABLE</x:v>
      </x:c>
      <x:c r="G121" t="str">
        <x:f>XLOOKUP($A121,'Specs'!$A$2:$A$164,'Specs'!$G$2:$G$164,"")</x:f>
        <x:v>48"</x:v>
      </x:c>
      <x:c r="H121" t="str">
        <x:f>XLOOKUP($A121,'Specs'!$A$2:$A$164,'Specs'!$H$2:$H$164,"")</x:f>
        <x:v>FIRE</x:v>
      </x:c>
      <x:c r="I121" t="str">
        <x:f>XLOOKUP($A121,'Specs'!$A$2:$A$164,'Specs'!$I$2:$I$164,"")</x:f>
      </x:c>
      <x:c r="J121" t="str">
        <x:f>XLOOKUP($A121,'Specs'!$A$2:$A$164,'Specs'!$J$2:$J$164,"")</x:f>
      </x:c>
      <x:c r="K121" t="str">
        <x:f>XLOOKUP($A121,'Specs'!$A$2:$A$164,'Specs'!$K$2:$K$164,"")</x:f>
      </x:c>
      <x:c r="L121" t="str">
        <x:f>XLOOKUP($A121,'Specs'!$A$2:$A$164,'Specs'!$L$2:$L$164,"")</x:f>
      </x:c>
      <x:c r="M121" t="n">
        <x:f>XLOOKUP($A121,'Specs'!$A$2:$A$164,'Specs'!$M$2:$M$164,"")</x:f>
        <x:v>630</x:v>
      </x:c>
      <x:c r="N121" t="str">
        <x:f>XLOOKUP($A121,'Specs'!$A$2:$A$164,'Specs'!$N$2:$N$164,"")</x:f>
      </x:c>
      <x:c r="O121" t="str">
        <x:f>XLOOKUP($A121,'Specs'!$A$2:$A$164,'Specs'!$O$2:$O$164,"")</x:f>
      </x:c>
      <x:c r="P121" t="str">
        <x:f>XLOOKUP($A121,'Specs'!$A$2:$A$164,'Specs'!$P$2:$P$164,"")</x:f>
        <x:v>HIGH</x:v>
      </x:c>
      <x:c r="Q121" s="53" t="n">
        <x:f>XLOOKUP($A121,'Specs'!$A$2:$A$164,'Specs'!$Q$2:$Q$164,"")</x:f>
        <x:v>1</x:v>
      </x:c>
      <x:c r="R121" s="53" t="n">
        <x:f>XLOOKUP($A121,'Specs'!$A$2:$A$164,'Specs'!$R$2:$R$164,"")</x:f>
        <x:v>1</x:v>
      </x:c>
      <x:c r="S121" t="str">
        <x:f>'Vendor Options'!A121</x:f>
        <x:v>OFFER-CA7344E64657</x:v>
      </x:c>
      <x:c r="T121" t="str">
        <x:f>'Vendor Options'!C121</x:f>
        <x:v>PHG</x:v>
      </x:c>
      <x:c r="U121" t="str">
        <x:f>'Vendor Options'!D121</x:f>
        <x:v>9500-48"</x:v>
      </x:c>
      <x:c r="V121" t="str">
        <x:f>'Vendor Options'!E121</x:f>
        <x:v>48" RIM PANIC</x:v>
      </x:c>
      <x:c r="W121" t="n">
        <x:f>'Vendor Options'!F121</x:f>
        <x:v>0</x:v>
      </x:c>
      <x:c r="X121" t="str">
        <x:f>'Vendor Options'!G121</x:f>
        <x:v>95ED48FR32D</x:v>
      </x:c>
      <x:c r="Y121" t="str">
        <x:f>'Vendor Options'!H121</x:f>
        <x:v>95ED48FR32D</x:v>
      </x:c>
      <x:c r="Z121" t="str">
        <x:f>'Vendor Options'!I121</x:f>
      </x:c>
      <x:c r="AA121" s="54" t="n">
        <x:f>'Vendor Options'!J121</x:f>
        <x:v>484.7</x:v>
      </x:c>
      <x:c r="AB121" t="n">
        <x:f>'Vendor Options'!K121</x:f>
        <x:v>0</x:v>
      </x:c>
      <x:c r="AC121" s="57" t="n">
        <x:f>'Vendor Options'!L121</x:f>
        <x:v>0</x:v>
      </x:c>
      <x:c r="AD121" s="57" t="n">
        <x:f>'Vendor Options'!M121</x:f>
        <x:v>0</x:v>
      </x:c>
      <x:c r="AE121" s="54" t="n">
        <x:f>'Vendor Options'!N121</x:f>
        <x:v>484.7</x:v>
      </x:c>
      <x:c r="AF121" t="str">
        <x:f>'Vendor Options'!O121</x:f>
        <x:v>USD</x:v>
      </x:c>
      <x:c r="AG121" t="str">
        <x:f>'Vendor Options'!P121</x:f>
        <x:v>PRICED</x:v>
      </x:c>
      <x:c r="AH121" t="str">
        <x:f>'Vendor Options'!Q121</x:f>
        <x:v>REVIEW</x:v>
      </x:c>
      <x:c r="AI121" t="str">
        <x:f>'Vendor Options'!R121</x:f>
        <x:v>PART_NUMBER_CONFLICT</x:v>
      </x:c>
      <x:c r="AJ121" t="n">
        <x:f>'Vendor Options'!S121</x:f>
        <x:v>306</x:v>
      </x:c>
    </x:row>
    <x:row r="122" ht="15" hidden="0" customHeight="1">
      <x:c r="A122" t="str">
        <x:f>'Vendor Options'!B122</x:f>
        <x:v>SPEC-91FCF875ED12</x:v>
      </x:c>
      <x:c r="B122" t="str">
        <x:f>XLOOKUP($A122,'Specs'!$A$2:$A$164,'Specs'!$B$2:$B$164,"")</x:f>
        <x:v>EXIT DEVICE</x:v>
      </x:c>
      <x:c r="C122" t="str">
        <x:f>XLOOKUP($A122,'Specs'!$A$2:$A$164,'Specs'!$C$2:$C$164,"")</x:f>
        <x:v>PANIC / EXIT DEVICE</x:v>
      </x:c>
      <x:c r="D122" t="str">
        <x:f>XLOOKUP($A122,'Specs'!$A$2:$A$164,'Specs'!$D$2:$D$164,"")</x:f>
        <x:v>RIM</x:v>
      </x:c>
      <x:c r="E122" t="str">
        <x:f>XLOOKUP($A122,'Specs'!$A$2:$A$164,'Specs'!$E$2:$E$164,"")</x:f>
        <x:v>EXIT DEVICE</x:v>
      </x:c>
      <x:c r="F122" t="str">
        <x:f>XLOOKUP($A122,'Specs'!$A$2:$A$164,'Specs'!$F$2:$F$164,"")</x:f>
        <x:v>NOT APPLICABLE</x:v>
      </x:c>
      <x:c r="G122" t="str">
        <x:f>XLOOKUP($A122,'Specs'!$A$2:$A$164,'Specs'!$G$2:$G$164,"")</x:f>
        <x:v>48"</x:v>
      </x:c>
      <x:c r="H122" t="str">
        <x:f>XLOOKUP($A122,'Specs'!$A$2:$A$164,'Specs'!$H$2:$H$164,"")</x:f>
        <x:v>PANIC</x:v>
      </x:c>
      <x:c r="I122" t="str">
        <x:f>XLOOKUP($A122,'Specs'!$A$2:$A$164,'Specs'!$I$2:$I$164,"")</x:f>
      </x:c>
      <x:c r="J122" t="str">
        <x:f>XLOOKUP($A122,'Specs'!$A$2:$A$164,'Specs'!$J$2:$J$164,"")</x:f>
      </x:c>
      <x:c r="K122" t="str">
        <x:f>XLOOKUP($A122,'Specs'!$A$2:$A$164,'Specs'!$K$2:$K$164,"")</x:f>
      </x:c>
      <x:c r="L122" t="str">
        <x:f>XLOOKUP($A122,'Specs'!$A$2:$A$164,'Specs'!$L$2:$L$164,"")</x:f>
      </x:c>
      <x:c r="M122" t="n">
        <x:f>XLOOKUP($A122,'Specs'!$A$2:$A$164,'Specs'!$M$2:$M$164,"")</x:f>
        <x:v>630</x:v>
      </x:c>
      <x:c r="N122" t="str">
        <x:f>XLOOKUP($A122,'Specs'!$A$2:$A$164,'Specs'!$N$2:$N$164,"")</x:f>
      </x:c>
      <x:c r="O122" t="str">
        <x:f>XLOOKUP($A122,'Specs'!$A$2:$A$164,'Specs'!$O$2:$O$164,"")</x:f>
      </x:c>
      <x:c r="P122" t="str">
        <x:f>XLOOKUP($A122,'Specs'!$A$2:$A$164,'Specs'!$P$2:$P$164,"")</x:f>
        <x:v>HIGH</x:v>
      </x:c>
      <x:c r="Q122" s="53" t="n">
        <x:f>XLOOKUP($A122,'Specs'!$A$2:$A$164,'Specs'!$Q$2:$Q$164,"")</x:f>
        <x:v>3</x:v>
      </x:c>
      <x:c r="R122" s="53" t="n">
        <x:f>XLOOKUP($A122,'Specs'!$A$2:$A$164,'Specs'!$R$2:$R$164,"")</x:f>
        <x:v>3</x:v>
      </x:c>
      <x:c r="S122" t="str">
        <x:f>'Vendor Options'!A122</x:f>
        <x:v>OFFER-2CFD0AD52CC3</x:v>
      </x:c>
      <x:c r="T122" t="str">
        <x:f>'Vendor Options'!C122</x:f>
        <x:v>DK</x:v>
      </x:c>
      <x:c r="U122" t="str">
        <x:f>'Vendor Options'!D122</x:f>
        <x:v>9300A 48"</x:v>
      </x:c>
      <x:c r="V122" t="str">
        <x:f>'Vendor Options'!E122</x:f>
        <x:v>9300A:R-PANIC: NR</x:v>
      </x:c>
      <x:c r="W122" t="str">
        <x:f>'Vendor Options'!F122</x:f>
      </x:c>
      <x:c r="X122" t="str">
        <x:f>'Vendor Options'!G122</x:f>
      </x:c>
      <x:c r="Y122" t="n">
        <x:f>'Vendor Options'!H122</x:f>
        <x:v>0</x:v>
      </x:c>
      <x:c r="Z122" t="str">
        <x:f>'Vendor Options'!I122</x:f>
      </x:c>
      <x:c r="AA122" s="54" t="n">
        <x:f>'Vendor Options'!J122</x:f>
        <x:v>2144</x:v>
      </x:c>
      <x:c r="AB122" t="n">
        <x:f>'Vendor Options'!K122</x:f>
        <x:v>0</x:v>
      </x:c>
      <x:c r="AC122" s="57" t="n">
        <x:f>'Vendor Options'!L122</x:f>
        <x:v>0</x:v>
      </x:c>
      <x:c r="AD122" s="57" t="n">
        <x:f>'Vendor Options'!M122</x:f>
        <x:v>0</x:v>
      </x:c>
      <x:c r="AE122" s="54" t="n">
        <x:f>'Vendor Options'!N122</x:f>
        <x:v>2144</x:v>
      </x:c>
      <x:c r="AF122" t="str">
        <x:f>'Vendor Options'!O122</x:f>
        <x:v>USD</x:v>
      </x:c>
      <x:c r="AG122" t="str">
        <x:f>'Vendor Options'!P122</x:f>
        <x:v>PRICED</x:v>
      </x:c>
      <x:c r="AH122" t="str">
        <x:f>'Vendor Options'!Q122</x:f>
        <x:v>REVIEW</x:v>
      </x:c>
      <x:c r="AI122" t="str">
        <x:f>'Vendor Options'!R122</x:f>
        <x:v>MISSING_PART_NUMBER</x:v>
      </x:c>
      <x:c r="AJ122" t="n">
        <x:f>'Vendor Options'!S122</x:f>
        <x:v>320</x:v>
      </x:c>
    </x:row>
    <x:row r="123" ht="15" hidden="0" customHeight="1">
      <x:c r="A123" t="str">
        <x:f>'Vendor Options'!B123</x:f>
        <x:v>SPEC-91FCF875ED12</x:v>
      </x:c>
      <x:c r="B123" t="str">
        <x:f>XLOOKUP($A123,'Specs'!$A$2:$A$164,'Specs'!$B$2:$B$164,"")</x:f>
        <x:v>EXIT DEVICE</x:v>
      </x:c>
      <x:c r="C123" t="str">
        <x:f>XLOOKUP($A123,'Specs'!$A$2:$A$164,'Specs'!$C$2:$C$164,"")</x:f>
        <x:v>PANIC / EXIT DEVICE</x:v>
      </x:c>
      <x:c r="D123" t="str">
        <x:f>XLOOKUP($A123,'Specs'!$A$2:$A$164,'Specs'!$D$2:$D$164,"")</x:f>
        <x:v>RIM</x:v>
      </x:c>
      <x:c r="E123" t="str">
        <x:f>XLOOKUP($A123,'Specs'!$A$2:$A$164,'Specs'!$E$2:$E$164,"")</x:f>
        <x:v>EXIT DEVICE</x:v>
      </x:c>
      <x:c r="F123" t="str">
        <x:f>XLOOKUP($A123,'Specs'!$A$2:$A$164,'Specs'!$F$2:$F$164,"")</x:f>
        <x:v>NOT APPLICABLE</x:v>
      </x:c>
      <x:c r="G123" t="str">
        <x:f>XLOOKUP($A123,'Specs'!$A$2:$A$164,'Specs'!$G$2:$G$164,"")</x:f>
        <x:v>48"</x:v>
      </x:c>
      <x:c r="H123" t="str">
        <x:f>XLOOKUP($A123,'Specs'!$A$2:$A$164,'Specs'!$H$2:$H$164,"")</x:f>
        <x:v>PANIC</x:v>
      </x:c>
      <x:c r="I123" t="str">
        <x:f>XLOOKUP($A123,'Specs'!$A$2:$A$164,'Specs'!$I$2:$I$164,"")</x:f>
      </x:c>
      <x:c r="J123" t="str">
        <x:f>XLOOKUP($A123,'Specs'!$A$2:$A$164,'Specs'!$J$2:$J$164,"")</x:f>
      </x:c>
      <x:c r="K123" t="str">
        <x:f>XLOOKUP($A123,'Specs'!$A$2:$A$164,'Specs'!$K$2:$K$164,"")</x:f>
      </x:c>
      <x:c r="L123" t="str">
        <x:f>XLOOKUP($A123,'Specs'!$A$2:$A$164,'Specs'!$L$2:$L$164,"")</x:f>
      </x:c>
      <x:c r="M123" t="n">
        <x:f>XLOOKUP($A123,'Specs'!$A$2:$A$164,'Specs'!$M$2:$M$164,"")</x:f>
        <x:v>630</x:v>
      </x:c>
      <x:c r="N123" t="str">
        <x:f>XLOOKUP($A123,'Specs'!$A$2:$A$164,'Specs'!$N$2:$N$164,"")</x:f>
      </x:c>
      <x:c r="O123" t="str">
        <x:f>XLOOKUP($A123,'Specs'!$A$2:$A$164,'Specs'!$O$2:$O$164,"")</x:f>
      </x:c>
      <x:c r="P123" t="str">
        <x:f>XLOOKUP($A123,'Specs'!$A$2:$A$164,'Specs'!$P$2:$P$164,"")</x:f>
        <x:v>HIGH</x:v>
      </x:c>
      <x:c r="Q123" s="53" t="n">
        <x:f>XLOOKUP($A123,'Specs'!$A$2:$A$164,'Specs'!$Q$2:$Q$164,"")</x:f>
        <x:v>3</x:v>
      </x:c>
      <x:c r="R123" s="53" t="n">
        <x:f>XLOOKUP($A123,'Specs'!$A$2:$A$164,'Specs'!$R$2:$R$164,"")</x:f>
        <x:v>3</x:v>
      </x:c>
      <x:c r="S123" t="str">
        <x:f>'Vendor Options'!A123</x:f>
        <x:v>OFFER-764F6D9F87A3</x:v>
      </x:c>
      <x:c r="T123" t="str">
        <x:f>'Vendor Options'!C123</x:f>
        <x:v>PHG</x:v>
      </x:c>
      <x:c r="U123" t="str">
        <x:f>'Vendor Options'!D123</x:f>
        <x:v>9500-48"</x:v>
      </x:c>
      <x:c r="V123" t="str">
        <x:f>'Vendor Options'!E123</x:f>
        <x:v>48" RIM PANIC</x:v>
      </x:c>
      <x:c r="W123" t="n">
        <x:f>'Vendor Options'!F123</x:f>
        <x:v>0</x:v>
      </x:c>
      <x:c r="X123" t="str">
        <x:f>'Vendor Options'!G123</x:f>
        <x:v>95ED48R32D</x:v>
      </x:c>
      <x:c r="Y123" t="str">
        <x:f>'Vendor Options'!H123</x:f>
        <x:v>95ED48R32D</x:v>
      </x:c>
      <x:c r="Z123" t="str">
        <x:f>'Vendor Options'!I123</x:f>
      </x:c>
      <x:c r="AA123" s="54" t="n">
        <x:f>'Vendor Options'!J123</x:f>
        <x:v>448.43</x:v>
      </x:c>
      <x:c r="AB123" t="str">
        <x:f>'Vendor Options'!K123</x:f>
      </x:c>
      <x:c r="AC123" s="57" t="n">
        <x:f>'Vendor Options'!L123</x:f>
        <x:v>0</x:v>
      </x:c>
      <x:c r="AD123" s="57" t="n">
        <x:f>'Vendor Options'!M123</x:f>
        <x:v>0</x:v>
      </x:c>
      <x:c r="AE123" s="54" t="n">
        <x:f>'Vendor Options'!N123</x:f>
        <x:v>448.43</x:v>
      </x:c>
      <x:c r="AF123" t="str">
        <x:f>'Vendor Options'!O123</x:f>
        <x:v>USD</x:v>
      </x:c>
      <x:c r="AG123" t="str">
        <x:f>'Vendor Options'!P123</x:f>
        <x:v>PRICED</x:v>
      </x:c>
      <x:c r="AH123" t="str">
        <x:f>'Vendor Options'!Q123</x:f>
        <x:v>ACTIVE</x:v>
      </x:c>
      <x:c r="AI123" t="str">
        <x:f>'Vendor Options'!R123</x:f>
      </x:c>
      <x:c r="AJ123" t="n">
        <x:f>'Vendor Options'!S123</x:f>
        <x:v>305</x:v>
      </x:c>
    </x:row>
    <x:row r="124" ht="15" hidden="0" customHeight="1">
      <x:c r="A124" t="str">
        <x:f>'Vendor Options'!B124</x:f>
        <x:v>SPEC-91FCF875ED12</x:v>
      </x:c>
      <x:c r="B124" t="str">
        <x:f>XLOOKUP($A124,'Specs'!$A$2:$A$164,'Specs'!$B$2:$B$164,"")</x:f>
        <x:v>EXIT DEVICE</x:v>
      </x:c>
      <x:c r="C124" t="str">
        <x:f>XLOOKUP($A124,'Specs'!$A$2:$A$164,'Specs'!$C$2:$C$164,"")</x:f>
        <x:v>PANIC / EXIT DEVICE</x:v>
      </x:c>
      <x:c r="D124" t="str">
        <x:f>XLOOKUP($A124,'Specs'!$A$2:$A$164,'Specs'!$D$2:$D$164,"")</x:f>
        <x:v>RIM</x:v>
      </x:c>
      <x:c r="E124" t="str">
        <x:f>XLOOKUP($A124,'Specs'!$A$2:$A$164,'Specs'!$E$2:$E$164,"")</x:f>
        <x:v>EXIT DEVICE</x:v>
      </x:c>
      <x:c r="F124" t="str">
        <x:f>XLOOKUP($A124,'Specs'!$A$2:$A$164,'Specs'!$F$2:$F$164,"")</x:f>
        <x:v>NOT APPLICABLE</x:v>
      </x:c>
      <x:c r="G124" t="str">
        <x:f>XLOOKUP($A124,'Specs'!$A$2:$A$164,'Specs'!$G$2:$G$164,"")</x:f>
        <x:v>48"</x:v>
      </x:c>
      <x:c r="H124" t="str">
        <x:f>XLOOKUP($A124,'Specs'!$A$2:$A$164,'Specs'!$H$2:$H$164,"")</x:f>
        <x:v>PANIC</x:v>
      </x:c>
      <x:c r="I124" t="str">
        <x:f>XLOOKUP($A124,'Specs'!$A$2:$A$164,'Specs'!$I$2:$I$164,"")</x:f>
      </x:c>
      <x:c r="J124" t="str">
        <x:f>XLOOKUP($A124,'Specs'!$A$2:$A$164,'Specs'!$J$2:$J$164,"")</x:f>
      </x:c>
      <x:c r="K124" t="str">
        <x:f>XLOOKUP($A124,'Specs'!$A$2:$A$164,'Specs'!$K$2:$K$164,"")</x:f>
      </x:c>
      <x:c r="L124" t="str">
        <x:f>XLOOKUP($A124,'Specs'!$A$2:$A$164,'Specs'!$L$2:$L$164,"")</x:f>
      </x:c>
      <x:c r="M124" t="n">
        <x:f>XLOOKUP($A124,'Specs'!$A$2:$A$164,'Specs'!$M$2:$M$164,"")</x:f>
        <x:v>630</x:v>
      </x:c>
      <x:c r="N124" t="str">
        <x:f>XLOOKUP($A124,'Specs'!$A$2:$A$164,'Specs'!$N$2:$N$164,"")</x:f>
      </x:c>
      <x:c r="O124" t="str">
        <x:f>XLOOKUP($A124,'Specs'!$A$2:$A$164,'Specs'!$O$2:$O$164,"")</x:f>
      </x:c>
      <x:c r="P124" t="str">
        <x:f>XLOOKUP($A124,'Specs'!$A$2:$A$164,'Specs'!$P$2:$P$164,"")</x:f>
        <x:v>HIGH</x:v>
      </x:c>
      <x:c r="Q124" s="53" t="n">
        <x:f>XLOOKUP($A124,'Specs'!$A$2:$A$164,'Specs'!$Q$2:$Q$164,"")</x:f>
        <x:v>3</x:v>
      </x:c>
      <x:c r="R124" s="53" t="n">
        <x:f>XLOOKUP($A124,'Specs'!$A$2:$A$164,'Specs'!$R$2:$R$164,"")</x:f>
        <x:v>3</x:v>
      </x:c>
      <x:c r="S124" t="str">
        <x:f>'Vendor Options'!A124</x:f>
        <x:v>OFFER-1F1566827C02</x:v>
      </x:c>
      <x:c r="T124" t="str">
        <x:f>'Vendor Options'!C124</x:f>
        <x:v>PHI</x:v>
      </x:c>
      <x:c r="U124" t="str">
        <x:f>'Vendor Options'!D124</x:f>
        <x:v>2300 48"</x:v>
      </x:c>
      <x:c r="V124" t="str">
        <x:f>'Vendor Options'!E124</x:f>
        <x:v>2400:R-PANIC: NR</x:v>
      </x:c>
      <x:c r="W124" t="str">
        <x:f>'Vendor Options'!F124</x:f>
      </x:c>
      <x:c r="X124" t="str">
        <x:f>'Vendor Options'!G124</x:f>
      </x:c>
      <x:c r="Y124" t="n">
        <x:f>'Vendor Options'!H124</x:f>
        <x:v>0</x:v>
      </x:c>
      <x:c r="Z124" t="str">
        <x:f>'Vendor Options'!I124</x:f>
      </x:c>
      <x:c r="AA124" s="54" t="n">
        <x:f>'Vendor Options'!J124</x:f>
        <x:v>4860</x:v>
      </x:c>
      <x:c r="AB124" t="str">
        <x:f>'Vendor Options'!K124</x:f>
        <x:v>50/70</x:v>
      </x:c>
      <x:c r="AC124" s="57" t="n">
        <x:f>'Vendor Options'!L124</x:f>
        <x:v>0.5</x:v>
      </x:c>
      <x:c r="AD124" s="57" t="n">
        <x:f>'Vendor Options'!M124</x:f>
        <x:v>0.7</x:v>
      </x:c>
      <x:c r="AE124" s="54" t="n">
        <x:f>'Vendor Options'!N124</x:f>
        <x:v>729.0000000000001</x:v>
      </x:c>
      <x:c r="AF124" t="str">
        <x:f>'Vendor Options'!O124</x:f>
        <x:v>USD</x:v>
      </x:c>
      <x:c r="AG124" t="str">
        <x:f>'Vendor Options'!P124</x:f>
        <x:v>PRICED</x:v>
      </x:c>
      <x:c r="AH124" t="str">
        <x:f>'Vendor Options'!Q124</x:f>
        <x:v>REVIEW</x:v>
      </x:c>
      <x:c r="AI124" t="str">
        <x:f>'Vendor Options'!R124</x:f>
        <x:v>MISSING_PART_NUMBER</x:v>
      </x:c>
      <x:c r="AJ124" t="n">
        <x:f>'Vendor Options'!S124</x:f>
        <x:v>337</x:v>
      </x:c>
    </x:row>
    <x:row r="125" ht="15" hidden="0" customHeight="1">
      <x:c r="A125" t="str">
        <x:f>'Vendor Options'!B125</x:f>
        <x:v>SPEC-FB6463B2EA16</x:v>
      </x:c>
      <x:c r="B125" t="str">
        <x:f>XLOOKUP($A125,'Specs'!$A$2:$A$164,'Specs'!$B$2:$B$164,"")</x:f>
        <x:v>EXIT DEVICE</x:v>
      </x:c>
      <x:c r="C125" t="str">
        <x:f>XLOOKUP($A125,'Specs'!$A$2:$A$164,'Specs'!$C$2:$C$164,"")</x:f>
        <x:v>PANIC / EXIT DEVICE</x:v>
      </x:c>
      <x:c r="D125" t="str">
        <x:f>XLOOKUP($A125,'Specs'!$A$2:$A$164,'Specs'!$D$2:$D$164,"")</x:f>
        <x:v>RIM</x:v>
      </x:c>
      <x:c r="E125" t="str">
        <x:f>XLOOKUP($A125,'Specs'!$A$2:$A$164,'Specs'!$E$2:$E$164,"")</x:f>
        <x:v>EXIT DEVICE</x:v>
      </x:c>
      <x:c r="F125" t="str">
        <x:f>XLOOKUP($A125,'Specs'!$A$2:$A$164,'Specs'!$F$2:$F$164,"")</x:f>
        <x:v>NOT APPLICABLE</x:v>
      </x:c>
      <x:c r="G125" t="str">
        <x:f>XLOOKUP($A125,'Specs'!$A$2:$A$164,'Specs'!$G$2:$G$164,"")</x:f>
        <x:v>48"</x:v>
      </x:c>
      <x:c r="H125" t="str">
        <x:f>XLOOKUP($A125,'Specs'!$A$2:$A$164,'Specs'!$H$2:$H$164,"")</x:f>
        <x:v>TDI</x:v>
      </x:c>
      <x:c r="I125" t="str">
        <x:f>XLOOKUP($A125,'Specs'!$A$2:$A$164,'Specs'!$I$2:$I$164,"")</x:f>
      </x:c>
      <x:c r="J125" t="str">
        <x:f>XLOOKUP($A125,'Specs'!$A$2:$A$164,'Specs'!$J$2:$J$164,"")</x:f>
      </x:c>
      <x:c r="K125" t="str">
        <x:f>XLOOKUP($A125,'Specs'!$A$2:$A$164,'Specs'!$K$2:$K$164,"")</x:f>
      </x:c>
      <x:c r="L125" t="str">
        <x:f>XLOOKUP($A125,'Specs'!$A$2:$A$164,'Specs'!$L$2:$L$164,"")</x:f>
      </x:c>
      <x:c r="M125" t="n">
        <x:f>XLOOKUP($A125,'Specs'!$A$2:$A$164,'Specs'!$M$2:$M$164,"")</x:f>
        <x:v>630</x:v>
      </x:c>
      <x:c r="N125" t="str">
        <x:f>XLOOKUP($A125,'Specs'!$A$2:$A$164,'Specs'!$N$2:$N$164,"")</x:f>
      </x:c>
      <x:c r="O125" t="str">
        <x:f>XLOOKUP($A125,'Specs'!$A$2:$A$164,'Specs'!$O$2:$O$164,"")</x:f>
      </x:c>
      <x:c r="P125" t="str">
        <x:f>XLOOKUP($A125,'Specs'!$A$2:$A$164,'Specs'!$P$2:$P$164,"")</x:f>
        <x:v>HIGH</x:v>
      </x:c>
      <x:c r="Q125" s="53" t="n">
        <x:f>XLOOKUP($A125,'Specs'!$A$2:$A$164,'Specs'!$Q$2:$Q$164,"")</x:f>
        <x:v>1</x:v>
      </x:c>
      <x:c r="R125" s="53" t="n">
        <x:f>XLOOKUP($A125,'Specs'!$A$2:$A$164,'Specs'!$R$2:$R$164,"")</x:f>
        <x:v>1</x:v>
      </x:c>
      <x:c r="S125" t="str">
        <x:f>'Vendor Options'!A125</x:f>
        <x:v>OFFER-AEB5E2F43186</x:v>
      </x:c>
      <x:c r="T125" t="str">
        <x:f>'Vendor Options'!C125</x:f>
        <x:v>PHG</x:v>
      </x:c>
      <x:c r="U125" t="str">
        <x:f>'Vendor Options'!D125</x:f>
        <x:v>9500-48"</x:v>
      </x:c>
      <x:c r="V125" t="str">
        <x:f>'Vendor Options'!E125</x:f>
        <x:v>48" RIM PANIC</x:v>
      </x:c>
      <x:c r="W125" t="str">
        <x:f>'Vendor Options'!F125</x:f>
      </x:c>
      <x:c r="X125" t="str">
        <x:f>'Vendor Options'!G125</x:f>
        <x:v>95ED48FR32D</x:v>
      </x:c>
      <x:c r="Y125" t="str">
        <x:f>'Vendor Options'!H125</x:f>
        <x:v>95ED48FR32D</x:v>
      </x:c>
      <x:c r="Z125" t="str">
        <x:f>'Vendor Options'!I125</x:f>
      </x:c>
      <x:c r="AA125" s="54" t="n">
        <x:f>'Vendor Options'!J125</x:f>
        <x:v>484.7</x:v>
      </x:c>
      <x:c r="AB125" t="n">
        <x:f>'Vendor Options'!K125</x:f>
        <x:v>0</x:v>
      </x:c>
      <x:c r="AC125" s="57" t="n">
        <x:f>'Vendor Options'!L125</x:f>
        <x:v>0</x:v>
      </x:c>
      <x:c r="AD125" s="57" t="n">
        <x:f>'Vendor Options'!M125</x:f>
        <x:v>0</x:v>
      </x:c>
      <x:c r="AE125" s="54" t="n">
        <x:f>'Vendor Options'!N125</x:f>
        <x:v>484.7</x:v>
      </x:c>
      <x:c r="AF125" t="str">
        <x:f>'Vendor Options'!O125</x:f>
        <x:v>USD</x:v>
      </x:c>
      <x:c r="AG125" t="str">
        <x:f>'Vendor Options'!P125</x:f>
        <x:v>PRICED</x:v>
      </x:c>
      <x:c r="AH125" t="str">
        <x:f>'Vendor Options'!Q125</x:f>
        <x:v>REVIEW</x:v>
      </x:c>
      <x:c r="AI125" t="str">
        <x:f>'Vendor Options'!R125</x:f>
        <x:v>PART_NUMBER_CONFLICT</x:v>
      </x:c>
      <x:c r="AJ125" t="n">
        <x:f>'Vendor Options'!S125</x:f>
        <x:v>308</x:v>
      </x:c>
    </x:row>
    <x:row r="126" ht="15" hidden="0" customHeight="1">
      <x:c r="A126" t="str">
        <x:f>'Vendor Options'!B126</x:f>
        <x:v>SPEC-A885CA680F72</x:v>
      </x:c>
      <x:c r="B126" t="str">
        <x:f>XLOOKUP($A126,'Specs'!$A$2:$A$164,'Specs'!$B$2:$B$164,"")</x:f>
        <x:v>EXIT DEVICE</x:v>
      </x:c>
      <x:c r="C126" t="str">
        <x:f>XLOOKUP($A126,'Specs'!$A$2:$A$164,'Specs'!$C$2:$C$164,"")</x:f>
        <x:v>PANIC / EXIT DEVICE</x:v>
      </x:c>
      <x:c r="D126" t="str">
        <x:f>XLOOKUP($A126,'Specs'!$A$2:$A$164,'Specs'!$D$2:$D$164,"")</x:f>
        <x:v>RIM</x:v>
      </x:c>
      <x:c r="E126" t="str">
        <x:f>XLOOKUP($A126,'Specs'!$A$2:$A$164,'Specs'!$E$2:$E$164,"")</x:f>
        <x:v>EXIT DEVICE</x:v>
      </x:c>
      <x:c r="F126" t="str">
        <x:f>XLOOKUP($A126,'Specs'!$A$2:$A$164,'Specs'!$F$2:$F$164,"")</x:f>
        <x:v>NOT APPLICABLE</x:v>
      </x:c>
      <x:c r="G126" t="str">
        <x:f>XLOOKUP($A126,'Specs'!$A$2:$A$164,'Specs'!$G$2:$G$164,"")</x:f>
        <x:v>48"</x:v>
      </x:c>
      <x:c r="H126" t="str">
        <x:f>XLOOKUP($A126,'Specs'!$A$2:$A$164,'Specs'!$H$2:$H$164,"")</x:f>
        <x:v>WIND</x:v>
      </x:c>
      <x:c r="I126" t="str">
        <x:f>XLOOKUP($A126,'Specs'!$A$2:$A$164,'Specs'!$I$2:$I$164,"")</x:f>
      </x:c>
      <x:c r="J126" t="str">
        <x:f>XLOOKUP($A126,'Specs'!$A$2:$A$164,'Specs'!$J$2:$J$164,"")</x:f>
      </x:c>
      <x:c r="K126" t="str">
        <x:f>XLOOKUP($A126,'Specs'!$A$2:$A$164,'Specs'!$K$2:$K$164,"")</x:f>
      </x:c>
      <x:c r="L126" t="str">
        <x:f>XLOOKUP($A126,'Specs'!$A$2:$A$164,'Specs'!$L$2:$L$164,"")</x:f>
      </x:c>
      <x:c r="M126" t="n">
        <x:f>XLOOKUP($A126,'Specs'!$A$2:$A$164,'Specs'!$M$2:$M$164,"")</x:f>
        <x:v>630</x:v>
      </x:c>
      <x:c r="N126" t="str">
        <x:f>XLOOKUP($A126,'Specs'!$A$2:$A$164,'Specs'!$N$2:$N$164,"")</x:f>
      </x:c>
      <x:c r="O126" t="str">
        <x:f>XLOOKUP($A126,'Specs'!$A$2:$A$164,'Specs'!$O$2:$O$164,"")</x:f>
      </x:c>
      <x:c r="P126" t="str">
        <x:f>XLOOKUP($A126,'Specs'!$A$2:$A$164,'Specs'!$P$2:$P$164,"")</x:f>
        <x:v>HIGH</x:v>
      </x:c>
      <x:c r="Q126" s="53" t="n">
        <x:f>XLOOKUP($A126,'Specs'!$A$2:$A$164,'Specs'!$Q$2:$Q$164,"")</x:f>
        <x:v>2</x:v>
      </x:c>
      <x:c r="R126" s="53" t="n">
        <x:f>XLOOKUP($A126,'Specs'!$A$2:$A$164,'Specs'!$R$2:$R$164,"")</x:f>
        <x:v>1</x:v>
      </x:c>
      <x:c r="S126" t="str">
        <x:f>'Vendor Options'!A126</x:f>
        <x:v>OFFER-C2B6D96D5EDA</x:v>
      </x:c>
      <x:c r="T126" t="str">
        <x:f>'Vendor Options'!C126</x:f>
        <x:v>PHG</x:v>
      </x:c>
      <x:c r="U126" t="str">
        <x:f>'Vendor Options'!D126</x:f>
        <x:v>9500-48"</x:v>
      </x:c>
      <x:c r="V126" t="str">
        <x:f>'Vendor Options'!E126</x:f>
        <x:v>48" RIM PANIC</x:v>
      </x:c>
      <x:c r="W126" t="str">
        <x:f>'Vendor Options'!F126</x:f>
      </x:c>
      <x:c r="X126" t="str">
        <x:f>'Vendor Options'!G126</x:f>
        <x:v>95ED36FR32D</x:v>
      </x:c>
      <x:c r="Y126" t="str">
        <x:f>'Vendor Options'!H126</x:f>
        <x:v>95ED36FR32D</x:v>
      </x:c>
      <x:c r="Z126" t="str">
        <x:f>'Vendor Options'!I126</x:f>
      </x:c>
      <x:c r="AA126" s="54" t="n">
        <x:f>'Vendor Options'!J126</x:f>
        <x:v>467.62</x:v>
      </x:c>
      <x:c r="AB126" t="n">
        <x:f>'Vendor Options'!K126</x:f>
        <x:v>0</x:v>
      </x:c>
      <x:c r="AC126" s="57" t="n">
        <x:f>'Vendor Options'!L126</x:f>
        <x:v>0</x:v>
      </x:c>
      <x:c r="AD126" s="57" t="n">
        <x:f>'Vendor Options'!M126</x:f>
        <x:v>0</x:v>
      </x:c>
      <x:c r="AE126" s="54" t="n">
        <x:f>'Vendor Options'!N126</x:f>
        <x:v>467.62</x:v>
      </x:c>
      <x:c r="AF126" t="str">
        <x:f>'Vendor Options'!O126</x:f>
        <x:v>USD</x:v>
      </x:c>
      <x:c r="AG126" t="str">
        <x:f>'Vendor Options'!P126</x:f>
        <x:v>PRICED</x:v>
      </x:c>
      <x:c r="AH126" t="str">
        <x:f>'Vendor Options'!Q126</x:f>
        <x:v>REVIEW</x:v>
      </x:c>
      <x:c r="AI126" t="str">
        <x:f>'Vendor Options'!R126</x:f>
        <x:v>PART_NUMBER_CONFLICT</x:v>
      </x:c>
      <x:c r="AJ126" t="n">
        <x:f>'Vendor Options'!S126</x:f>
        <x:v>303</x:v>
      </x:c>
    </x:row>
    <x:row r="127" ht="15" hidden="0" customHeight="1">
      <x:c r="A127" t="str">
        <x:f>'Vendor Options'!B127</x:f>
        <x:v>SPEC-A885CA680F72</x:v>
      </x:c>
      <x:c r="B127" t="str">
        <x:f>XLOOKUP($A127,'Specs'!$A$2:$A$164,'Specs'!$B$2:$B$164,"")</x:f>
        <x:v>EXIT DEVICE</x:v>
      </x:c>
      <x:c r="C127" t="str">
        <x:f>XLOOKUP($A127,'Specs'!$A$2:$A$164,'Specs'!$C$2:$C$164,"")</x:f>
        <x:v>PANIC / EXIT DEVICE</x:v>
      </x:c>
      <x:c r="D127" t="str">
        <x:f>XLOOKUP($A127,'Specs'!$A$2:$A$164,'Specs'!$D$2:$D$164,"")</x:f>
        <x:v>RIM</x:v>
      </x:c>
      <x:c r="E127" t="str">
        <x:f>XLOOKUP($A127,'Specs'!$A$2:$A$164,'Specs'!$E$2:$E$164,"")</x:f>
        <x:v>EXIT DEVICE</x:v>
      </x:c>
      <x:c r="F127" t="str">
        <x:f>XLOOKUP($A127,'Specs'!$A$2:$A$164,'Specs'!$F$2:$F$164,"")</x:f>
        <x:v>NOT APPLICABLE</x:v>
      </x:c>
      <x:c r="G127" t="str">
        <x:f>XLOOKUP($A127,'Specs'!$A$2:$A$164,'Specs'!$G$2:$G$164,"")</x:f>
        <x:v>48"</x:v>
      </x:c>
      <x:c r="H127" t="str">
        <x:f>XLOOKUP($A127,'Specs'!$A$2:$A$164,'Specs'!$H$2:$H$164,"")</x:f>
        <x:v>WIND</x:v>
      </x:c>
      <x:c r="I127" t="str">
        <x:f>XLOOKUP($A127,'Specs'!$A$2:$A$164,'Specs'!$I$2:$I$164,"")</x:f>
      </x:c>
      <x:c r="J127" t="str">
        <x:f>XLOOKUP($A127,'Specs'!$A$2:$A$164,'Specs'!$J$2:$J$164,"")</x:f>
      </x:c>
      <x:c r="K127" t="str">
        <x:f>XLOOKUP($A127,'Specs'!$A$2:$A$164,'Specs'!$K$2:$K$164,"")</x:f>
      </x:c>
      <x:c r="L127" t="str">
        <x:f>XLOOKUP($A127,'Specs'!$A$2:$A$164,'Specs'!$L$2:$L$164,"")</x:f>
      </x:c>
      <x:c r="M127" t="n">
        <x:f>XLOOKUP($A127,'Specs'!$A$2:$A$164,'Specs'!$M$2:$M$164,"")</x:f>
        <x:v>630</x:v>
      </x:c>
      <x:c r="N127" t="str">
        <x:f>XLOOKUP($A127,'Specs'!$A$2:$A$164,'Specs'!$N$2:$N$164,"")</x:f>
      </x:c>
      <x:c r="O127" t="str">
        <x:f>XLOOKUP($A127,'Specs'!$A$2:$A$164,'Specs'!$O$2:$O$164,"")</x:f>
      </x:c>
      <x:c r="P127" t="str">
        <x:f>XLOOKUP($A127,'Specs'!$A$2:$A$164,'Specs'!$P$2:$P$164,"")</x:f>
        <x:v>HIGH</x:v>
      </x:c>
      <x:c r="Q127" s="53" t="n">
        <x:f>XLOOKUP($A127,'Specs'!$A$2:$A$164,'Specs'!$Q$2:$Q$164,"")</x:f>
        <x:v>2</x:v>
      </x:c>
      <x:c r="R127" s="53" t="n">
        <x:f>XLOOKUP($A127,'Specs'!$A$2:$A$164,'Specs'!$R$2:$R$164,"")</x:f>
        <x:v>1</x:v>
      </x:c>
      <x:c r="S127" t="str">
        <x:f>'Vendor Options'!A127</x:f>
        <x:v>OFFER-7430158E4ED1</x:v>
      </x:c>
      <x:c r="T127" t="str">
        <x:f>'Vendor Options'!C127</x:f>
        <x:v>PHG</x:v>
      </x:c>
      <x:c r="U127" t="str">
        <x:f>'Vendor Options'!D127</x:f>
        <x:v>9500-48"</x:v>
      </x:c>
      <x:c r="V127" t="str">
        <x:f>'Vendor Options'!E127</x:f>
        <x:v>48" RIM PANIC</x:v>
      </x:c>
      <x:c r="W127" t="str">
        <x:f>'Vendor Options'!F127</x:f>
      </x:c>
      <x:c r="X127" t="str">
        <x:f>'Vendor Options'!G127</x:f>
        <x:v>95ED48FR32D</x:v>
      </x:c>
      <x:c r="Y127" t="str">
        <x:f>'Vendor Options'!H127</x:f>
        <x:v>95ED48FR32D</x:v>
      </x:c>
      <x:c r="Z127" t="n">
        <x:f>'Vendor Options'!I127</x:f>
        <x:v>0</x:v>
      </x:c>
      <x:c r="AA127" s="54" t="n">
        <x:f>'Vendor Options'!J127</x:f>
        <x:v>484.7</x:v>
      </x:c>
      <x:c r="AB127" t="n">
        <x:f>'Vendor Options'!K127</x:f>
        <x:v>0</x:v>
      </x:c>
      <x:c r="AC127" s="57" t="n">
        <x:f>'Vendor Options'!L127</x:f>
        <x:v>0</x:v>
      </x:c>
      <x:c r="AD127" s="57" t="n">
        <x:f>'Vendor Options'!M127</x:f>
        <x:v>0</x:v>
      </x:c>
      <x:c r="AE127" s="54" t="n">
        <x:f>'Vendor Options'!N127</x:f>
        <x:v>484.7</x:v>
      </x:c>
      <x:c r="AF127" t="str">
        <x:f>'Vendor Options'!O127</x:f>
        <x:v>USD</x:v>
      </x:c>
      <x:c r="AG127" t="str">
        <x:f>'Vendor Options'!P127</x:f>
        <x:v>PRICED</x:v>
      </x:c>
      <x:c r="AH127" t="str">
        <x:f>'Vendor Options'!Q127</x:f>
        <x:v>REVIEW</x:v>
      </x:c>
      <x:c r="AI127" t="str">
        <x:f>'Vendor Options'!R127</x:f>
        <x:v>PART_NUMBER_CONFLICT</x:v>
      </x:c>
      <x:c r="AJ127" t="n">
        <x:f>'Vendor Options'!S127</x:f>
        <x:v>307</x:v>
      </x:c>
    </x:row>
    <x:row r="128" ht="15" hidden="0" customHeight="1">
      <x:c r="A128" t="str">
        <x:f>'Vendor Options'!B128</x:f>
        <x:v>SPEC-CCD60FD58F0B</x:v>
      </x:c>
      <x:c r="B128" t="str">
        <x:f>XLOOKUP($A128,'Specs'!$A$2:$A$164,'Specs'!$B$2:$B$164,"")</x:f>
        <x:v>HINGE</x:v>
      </x:c>
      <x:c r="C128" t="str">
        <x:f>XLOOKUP($A128,'Specs'!$A$2:$A$164,'Specs'!$C$2:$C$164,"")</x:f>
        <x:v>BUTT HINGE</x:v>
      </x:c>
      <x:c r="D128" t="str">
        <x:f>XLOOKUP($A128,'Specs'!$A$2:$A$164,'Specs'!$D$2:$D$164,"")</x:f>
      </x:c>
      <x:c r="E128" t="str">
        <x:f>XLOOKUP($A128,'Specs'!$A$2:$A$164,'Specs'!$E$2:$E$164,"")</x:f>
        <x:v>NON-REMOVABLE PIN</x:v>
      </x:c>
      <x:c r="F128" t="str">
        <x:f>XLOOKUP($A128,'Specs'!$A$2:$A$164,'Specs'!$F$2:$F$164,"")</x:f>
        <x:v>NOT APPLICABLE</x:v>
      </x:c>
      <x:c r="G128" t="str">
        <x:f>XLOOKUP($A128,'Specs'!$A$2:$A$164,'Specs'!$G$2:$G$164,"")</x:f>
      </x:c>
      <x:c r="H128" t="str">
        <x:f>XLOOKUP($A128,'Specs'!$A$2:$A$164,'Specs'!$H$2:$H$164,"")</x:f>
      </x:c>
      <x:c r="I128" t="str">
        <x:f>XLOOKUP($A128,'Specs'!$A$2:$A$164,'Specs'!$I$2:$I$164,"")</x:f>
      </x:c>
      <x:c r="J128" t="str">
        <x:f>XLOOKUP($A128,'Specs'!$A$2:$A$164,'Specs'!$J$2:$J$164,"")</x:f>
      </x:c>
      <x:c r="K128" t="str">
        <x:f>XLOOKUP($A128,'Specs'!$A$2:$A$164,'Specs'!$K$2:$K$164,"")</x:f>
      </x:c>
      <x:c r="L128" t="str">
        <x:f>XLOOKUP($A128,'Specs'!$A$2:$A$164,'Specs'!$L$2:$L$164,"")</x:f>
      </x:c>
      <x:c r="M128" t="str">
        <x:f>XLOOKUP($A128,'Specs'!$A$2:$A$164,'Specs'!$M$2:$M$164,"")</x:f>
      </x:c>
      <x:c r="N128" t="str">
        <x:f>XLOOKUP($A128,'Specs'!$A$2:$A$164,'Specs'!$N$2:$N$164,"")</x:f>
      </x:c>
      <x:c r="O128" t="str">
        <x:f>XLOOKUP($A128,'Specs'!$A$2:$A$164,'Specs'!$O$2:$O$164,"")</x:f>
        <x:v>NON-REMOVABLE PIN</x:v>
      </x:c>
      <x:c r="P128" t="str">
        <x:f>XLOOKUP($A128,'Specs'!$A$2:$A$164,'Specs'!$P$2:$P$164,"")</x:f>
        <x:v>MEDIUM</x:v>
      </x:c>
      <x:c r="Q128" s="53" t="n">
        <x:f>XLOOKUP($A128,'Specs'!$A$2:$A$164,'Specs'!$Q$2:$Q$164,"")</x:f>
        <x:v>1</x:v>
      </x:c>
      <x:c r="R128" s="53" t="n">
        <x:f>XLOOKUP($A128,'Specs'!$A$2:$A$164,'Specs'!$R$2:$R$164,"")</x:f>
        <x:v>1</x:v>
      </x:c>
      <x:c r="S128" t="str">
        <x:f>'Vendor Options'!A128</x:f>
        <x:v>OFFER-EA52B87C0E65</x:v>
      </x:c>
      <x:c r="T128" t="str">
        <x:f>'Vendor Options'!C128</x:f>
        <x:v>***</x:v>
      </x:c>
      <x:c r="U128" t="str">
        <x:f>'Vendor Options'!D128</x:f>
        <x:v>BUTT</x:v>
      </x:c>
      <x:c r="V128" t="n">
        <x:f>'Vendor Options'!E128</x:f>
        <x:v>0</x:v>
      </x:c>
      <x:c r="W128" t="str">
        <x:f>'Vendor Options'!F128</x:f>
      </x:c>
      <x:c r="X128" t="str">
        <x:f>'Vendor Options'!G128</x:f>
        <x:v>******</x:v>
      </x:c>
      <x:c r="Y128" t="str">
        <x:f>'Vendor Options'!H128</x:f>
        <x:v>******</x:v>
      </x:c>
      <x:c r="Z128" t="n">
        <x:f>'Vendor Options'!I128</x:f>
        <x:v>0</x:v>
      </x:c>
      <x:c r="AA128" s="54" t="n">
        <x:f>'Vendor Options'!J128</x:f>
        <x:v>0</x:v>
      </x:c>
      <x:c r="AB128" t="n">
        <x:f>'Vendor Options'!K128</x:f>
        <x:v>0</x:v>
      </x:c>
      <x:c r="AC128" s="57" t="n">
        <x:f>'Vendor Options'!L128</x:f>
        <x:v>0</x:v>
      </x:c>
      <x:c r="AD128" s="57" t="n">
        <x:f>'Vendor Options'!M128</x:f>
        <x:v>0</x:v>
      </x:c>
      <x:c r="AE128" s="54" t="str">
        <x:f>'Vendor Options'!N128</x:f>
      </x:c>
      <x:c r="AF128" t="str">
        <x:f>'Vendor Options'!O128</x:f>
        <x:v>USD</x:v>
      </x:c>
      <x:c r="AG128" t="str">
        <x:f>'Vendor Options'!P128</x:f>
        <x:v>UNPRICED</x:v>
      </x:c>
      <x:c r="AH128" t="str">
        <x:f>'Vendor Options'!Q128</x:f>
        <x:v>REVIEW</x:v>
      </x:c>
      <x:c r="AI128" t="str">
        <x:f>'Vendor Options'!R128</x:f>
        <x:v>MISSING_VENDOR; MISSING_PRICE; PLACEHOLDER_PART_NUMBER</x:v>
      </x:c>
      <x:c r="AJ128" t="n">
        <x:f>'Vendor Options'!S128</x:f>
        <x:v>10</x:v>
      </x:c>
    </x:row>
    <x:row r="129" ht="15" hidden="0" customHeight="1">
      <x:c r="A129" t="str">
        <x:f>'Vendor Options'!B129</x:f>
        <x:v>SPEC-EAEAADF0DBE0</x:v>
      </x:c>
      <x:c r="B129" t="str">
        <x:f>XLOOKUP($A129,'Specs'!$A$2:$A$164,'Specs'!$B$2:$B$164,"")</x:f>
        <x:v>HINGE</x:v>
      </x:c>
      <x:c r="C129" t="str">
        <x:f>XLOOKUP($A129,'Specs'!$A$2:$A$164,'Specs'!$C$2:$C$164,"")</x:f>
        <x:v>BUTT HINGE</x:v>
      </x:c>
      <x:c r="D129" t="str">
        <x:f>XLOOKUP($A129,'Specs'!$A$2:$A$164,'Specs'!$D$2:$D$164,"")</x:f>
      </x:c>
      <x:c r="E129" t="str">
        <x:f>XLOOKUP($A129,'Specs'!$A$2:$A$164,'Specs'!$E$2:$E$164,"")</x:f>
        <x:v>NON-REMOVABLE PIN</x:v>
      </x:c>
      <x:c r="F129" t="str">
        <x:f>XLOOKUP($A129,'Specs'!$A$2:$A$164,'Specs'!$F$2:$F$164,"")</x:f>
        <x:v>NOT APPLICABLE</x:v>
      </x:c>
      <x:c r="G129" t="str">
        <x:f>XLOOKUP($A129,'Specs'!$A$2:$A$164,'Specs'!$G$2:$G$164,"")</x:f>
        <x:v>5.0" x 5.0"</x:v>
      </x:c>
      <x:c r="H129" t="str">
        <x:f>XLOOKUP($A129,'Specs'!$A$2:$A$164,'Specs'!$H$2:$H$164,"")</x:f>
      </x:c>
      <x:c r="I129" t="str">
        <x:f>XLOOKUP($A129,'Specs'!$A$2:$A$164,'Specs'!$I$2:$I$164,"")</x:f>
      </x:c>
      <x:c r="J129" t="str">
        <x:f>XLOOKUP($A129,'Specs'!$A$2:$A$164,'Specs'!$J$2:$J$164,"")</x:f>
      </x:c>
      <x:c r="K129" t="str">
        <x:f>XLOOKUP($A129,'Specs'!$A$2:$A$164,'Specs'!$K$2:$K$164,"")</x:f>
        <x:v>0.180"</x:v>
      </x:c>
      <x:c r="L129" t="str">
        <x:f>XLOOKUP($A129,'Specs'!$A$2:$A$164,'Specs'!$L$2:$L$164,"")</x:f>
        <x:v>304 STAINLESS STEEL</x:v>
      </x:c>
      <x:c r="M129" t="str">
        <x:f>XLOOKUP($A129,'Specs'!$A$2:$A$164,'Specs'!$M$2:$M$164,"")</x:f>
      </x:c>
      <x:c r="N129" t="str">
        <x:f>XLOOKUP($A129,'Specs'!$A$2:$A$164,'Specs'!$N$2:$N$164,"")</x:f>
      </x:c>
      <x:c r="O129" t="str">
        <x:f>XLOOKUP($A129,'Specs'!$A$2:$A$164,'Specs'!$O$2:$O$164,"")</x:f>
        <x:v>NON-REMOVABLE PIN; 3 x 04 GA WIRE</x:v>
      </x:c>
      <x:c r="P129" t="str">
        <x:f>XLOOKUP($A129,'Specs'!$A$2:$A$164,'Specs'!$P$2:$P$164,"")</x:f>
        <x:v>HIGH</x:v>
      </x:c>
      <x:c r="Q129" s="53" t="n">
        <x:f>XLOOKUP($A129,'Specs'!$A$2:$A$164,'Specs'!$Q$2:$Q$164,"")</x:f>
        <x:v>1</x:v>
      </x:c>
      <x:c r="R129" s="53" t="n">
        <x:f>XLOOKUP($A129,'Specs'!$A$2:$A$164,'Specs'!$R$2:$R$164,"")</x:f>
        <x:v>1</x:v>
      </x:c>
      <x:c r="S129" t="str">
        <x:f>'Vendor Options'!A129</x:f>
        <x:v>OFFER-68B7AE143DF4</x:v>
      </x:c>
      <x:c r="T129" t="str">
        <x:f>'Vendor Options'!C129</x:f>
        <x:v>IVE</x:v>
      </x:c>
      <x:c r="U129" t="str">
        <x:f>'Vendor Options'!D129</x:f>
        <x:v>BUTT</x:v>
      </x:c>
      <x:c r="V129" t="str">
        <x:f>'Vendor Options'!E129</x:f>
        <x:v>5.0 * 5.0</x:v>
      </x:c>
      <x:c r="W129" t="n">
        <x:f>'Vendor Options'!F129</x:f>
        <x:v>0</x:v>
      </x:c>
      <x:c r="X129" t="str">
        <x:f>'Vendor Options'!G129</x:f>
        <x:v>******</x:v>
      </x:c>
      <x:c r="Y129" t="str">
        <x:f>'Vendor Options'!H129</x:f>
        <x:v>******</x:v>
      </x:c>
      <x:c r="Z129" t="n">
        <x:f>'Vendor Options'!I129</x:f>
        <x:v>0</x:v>
      </x:c>
      <x:c r="AA129" s="54" t="n">
        <x:f>'Vendor Options'!J129</x:f>
        <x:v>0</x:v>
      </x:c>
      <x:c r="AB129" t="n">
        <x:f>'Vendor Options'!K129</x:f>
        <x:v>0</x:v>
      </x:c>
      <x:c r="AC129" s="57" t="n">
        <x:f>'Vendor Options'!L129</x:f>
        <x:v>0</x:v>
      </x:c>
      <x:c r="AD129" s="57" t="n">
        <x:f>'Vendor Options'!M129</x:f>
        <x:v>0</x:v>
      </x:c>
      <x:c r="AE129" s="54" t="str">
        <x:f>'Vendor Options'!N129</x:f>
      </x:c>
      <x:c r="AF129" t="str">
        <x:f>'Vendor Options'!O129</x:f>
        <x:v>USD</x:v>
      </x:c>
      <x:c r="AG129" t="str">
        <x:f>'Vendor Options'!P129</x:f>
        <x:v>UNPRICED</x:v>
      </x:c>
      <x:c r="AH129" t="str">
        <x:f>'Vendor Options'!Q129</x:f>
        <x:v>REVIEW</x:v>
      </x:c>
      <x:c r="AI129" t="str">
        <x:f>'Vendor Options'!R129</x:f>
        <x:v>MISSING_PRICE; PLACEHOLDER_PART_NUMBER</x:v>
      </x:c>
      <x:c r="AJ129" t="n">
        <x:f>'Vendor Options'!S129</x:f>
        <x:v>9</x:v>
      </x:c>
    </x:row>
    <x:row r="130" ht="15" hidden="0" customHeight="1">
      <x:c r="A130" t="str">
        <x:f>'Vendor Options'!B130</x:f>
        <x:v>SPEC-0C603B3070A1</x:v>
      </x:c>
      <x:c r="B130" t="str">
        <x:f>XLOOKUP($A130,'Specs'!$A$2:$A$164,'Specs'!$B$2:$B$164,"")</x:f>
        <x:v>HINGE</x:v>
      </x:c>
      <x:c r="C130" t="str">
        <x:f>XLOOKUP($A130,'Specs'!$A$2:$A$164,'Specs'!$C$2:$C$164,"")</x:f>
        <x:v>CONTINUOUS HINGE</x:v>
      </x:c>
      <x:c r="D130" t="str">
        <x:f>XLOOKUP($A130,'Specs'!$A$2:$A$164,'Specs'!$D$2:$D$164,"")</x:f>
      </x:c>
      <x:c r="E130" t="str">
        <x:f>XLOOKUP($A130,'Specs'!$A$2:$A$164,'Specs'!$E$2:$E$164,"")</x:f>
      </x:c>
      <x:c r="F130" t="str">
        <x:f>XLOOKUP($A130,'Specs'!$A$2:$A$164,'Specs'!$F$2:$F$164,"")</x:f>
        <x:v>NOT APPLICABLE</x:v>
      </x:c>
      <x:c r="G130" t="str">
        <x:f>XLOOKUP($A130,'Specs'!$A$2:$A$164,'Specs'!$G$2:$G$164,"")</x:f>
      </x:c>
      <x:c r="H130" t="str">
        <x:f>XLOOKUP($A130,'Specs'!$A$2:$A$164,'Specs'!$H$2:$H$164,"")</x:f>
      </x:c>
      <x:c r="I130" t="str">
        <x:f>XLOOKUP($A130,'Specs'!$A$2:$A$164,'Specs'!$I$2:$I$164,"")</x:f>
      </x:c>
      <x:c r="J130" t="str">
        <x:f>XLOOKUP($A130,'Specs'!$A$2:$A$164,'Specs'!$J$2:$J$164,"")</x:f>
      </x:c>
      <x:c r="K130" t="str">
        <x:f>XLOOKUP($A130,'Specs'!$A$2:$A$164,'Specs'!$K$2:$K$164,"")</x:f>
      </x:c>
      <x:c r="L130" t="str">
        <x:f>XLOOKUP($A130,'Specs'!$A$2:$A$164,'Specs'!$L$2:$L$164,"")</x:f>
      </x:c>
      <x:c r="M130" t="str">
        <x:f>XLOOKUP($A130,'Specs'!$A$2:$A$164,'Specs'!$M$2:$M$164,"")</x:f>
      </x:c>
      <x:c r="N130" t="str">
        <x:f>XLOOKUP($A130,'Specs'!$A$2:$A$164,'Specs'!$N$2:$N$164,"")</x:f>
      </x:c>
      <x:c r="O130" t="str">
        <x:f>XLOOKUP($A130,'Specs'!$A$2:$A$164,'Specs'!$O$2:$O$164,"")</x:f>
      </x:c>
      <x:c r="P130" t="str">
        <x:f>XLOOKUP($A130,'Specs'!$A$2:$A$164,'Specs'!$P$2:$P$164,"")</x:f>
        <x:v>REVIEW</x:v>
      </x:c>
      <x:c r="Q130" s="53" t="n">
        <x:f>XLOOKUP($A130,'Specs'!$A$2:$A$164,'Specs'!$Q$2:$Q$164,"")</x:f>
        <x:v>1</x:v>
      </x:c>
      <x:c r="R130" s="53" t="n">
        <x:f>XLOOKUP($A130,'Specs'!$A$2:$A$164,'Specs'!$R$2:$R$164,"")</x:f>
        <x:v>1</x:v>
      </x:c>
      <x:c r="S130" t="str">
        <x:f>'Vendor Options'!A130</x:f>
        <x:v>OFFER-A4B80386A96D</x:v>
      </x:c>
      <x:c r="T130" t="str">
        <x:f>'Vendor Options'!C130</x:f>
      </x:c>
      <x:c r="U130" t="str">
        <x:f>'Vendor Options'!D130</x:f>
        <x:v>CONTINUOUS</x:v>
      </x:c>
      <x:c r="V130" t="n">
        <x:f>'Vendor Options'!E130</x:f>
        <x:v>0</x:v>
      </x:c>
      <x:c r="W130" t="n">
        <x:f>'Vendor Options'!F130</x:f>
        <x:v>0</x:v>
      </x:c>
      <x:c r="X130" t="n">
        <x:f>'Vendor Options'!G130</x:f>
        <x:v>0</x:v>
      </x:c>
      <x:c r="Y130" t="n">
        <x:f>'Vendor Options'!H130</x:f>
        <x:v>0</x:v>
      </x:c>
      <x:c r="Z130" t="n">
        <x:f>'Vendor Options'!I130</x:f>
        <x:v>0</x:v>
      </x:c>
      <x:c r="AA130" s="54" t="n">
        <x:f>'Vendor Options'!J130</x:f>
        <x:v>0</x:v>
      </x:c>
      <x:c r="AB130" t="n">
        <x:f>'Vendor Options'!K130</x:f>
        <x:v>0</x:v>
      </x:c>
      <x:c r="AC130" s="57" t="n">
        <x:f>'Vendor Options'!L130</x:f>
        <x:v>0</x:v>
      </x:c>
      <x:c r="AD130" s="57" t="n">
        <x:f>'Vendor Options'!M130</x:f>
        <x:v>0</x:v>
      </x:c>
      <x:c r="AE130" s="54" t="str">
        <x:f>'Vendor Options'!N130</x:f>
      </x:c>
      <x:c r="AF130" t="str">
        <x:f>'Vendor Options'!O130</x:f>
        <x:v>USD</x:v>
      </x:c>
      <x:c r="AG130" t="str">
        <x:f>'Vendor Options'!P130</x:f>
        <x:v>UNPRICED</x:v>
      </x:c>
      <x:c r="AH130" t="str">
        <x:f>'Vendor Options'!Q130</x:f>
        <x:v>REVIEW</x:v>
      </x:c>
      <x:c r="AI130" t="str">
        <x:f>'Vendor Options'!R130</x:f>
        <x:v>MISSING_VENDOR; MISSING_PRICE; MISSING_PART_NUMBER; MISSING_REQUIRED_SPEC</x:v>
      </x:c>
      <x:c r="AJ130" t="n">
        <x:f>'Vendor Options'!S130</x:f>
        <x:v>26</x:v>
      </x:c>
    </x:row>
    <x:row r="131" ht="15" hidden="0" customHeight="1">
      <x:c r="A131" t="str">
        <x:f>'Vendor Options'!B131</x:f>
        <x:v>SPEC-3AC38DD8BDA3</x:v>
      </x:c>
      <x:c r="B131" t="str">
        <x:f>XLOOKUP($A131,'Specs'!$A$2:$A$164,'Specs'!$B$2:$B$164,"")</x:f>
        <x:v>HINGE</x:v>
      </x:c>
      <x:c r="C131" t="str">
        <x:f>XLOOKUP($A131,'Specs'!$A$2:$A$164,'Specs'!$C$2:$C$164,"")</x:f>
        <x:v>CONTINUOUS HINGE</x:v>
      </x:c>
      <x:c r="D131" t="str">
        <x:f>XLOOKUP($A131,'Specs'!$A$2:$A$164,'Specs'!$D$2:$D$164,"")</x:f>
      </x:c>
      <x:c r="E131" t="str">
        <x:f>XLOOKUP($A131,'Specs'!$A$2:$A$164,'Specs'!$E$2:$E$164,"")</x:f>
        <x:v>FULL MORTISE</x:v>
      </x:c>
      <x:c r="F131" t="str">
        <x:f>XLOOKUP($A131,'Specs'!$A$2:$A$164,'Specs'!$F$2:$F$164,"")</x:f>
        <x:v>NOT APPLICABLE</x:v>
      </x:c>
      <x:c r="G131" t="str">
        <x:f>XLOOKUP($A131,'Specs'!$A$2:$A$164,'Specs'!$G$2:$G$164,"")</x:f>
      </x:c>
      <x:c r="H131" t="str">
        <x:f>XLOOKUP($A131,'Specs'!$A$2:$A$164,'Specs'!$H$2:$H$164,"")</x:f>
      </x:c>
      <x:c r="I131" t="str">
        <x:f>XLOOKUP($A131,'Specs'!$A$2:$A$164,'Specs'!$I$2:$I$164,"")</x:f>
      </x:c>
      <x:c r="J131" t="str">
        <x:f>XLOOKUP($A131,'Specs'!$A$2:$A$164,'Specs'!$J$2:$J$164,"")</x:f>
        <x:v>FULL MORTISE</x:v>
      </x:c>
      <x:c r="K131" t="str">
        <x:f>XLOOKUP($A131,'Specs'!$A$2:$A$164,'Specs'!$K$2:$K$164,"")</x:f>
      </x:c>
      <x:c r="L131" t="str">
        <x:f>XLOOKUP($A131,'Specs'!$A$2:$A$164,'Specs'!$L$2:$L$164,"")</x:f>
      </x:c>
      <x:c r="M131" t="str">
        <x:f>XLOOKUP($A131,'Specs'!$A$2:$A$164,'Specs'!$M$2:$M$164,"")</x:f>
        <x:v>CLEAR ANODIZED</x:v>
      </x:c>
      <x:c r="N131" t="str">
        <x:f>XLOOKUP($A131,'Specs'!$A$2:$A$164,'Specs'!$N$2:$N$164,"")</x:f>
      </x:c>
      <x:c r="O131" t="str">
        <x:f>XLOOKUP($A131,'Specs'!$A$2:$A$164,'Specs'!$O$2:$O$164,"")</x:f>
      </x:c>
      <x:c r="P131" t="str">
        <x:f>XLOOKUP($A131,'Specs'!$A$2:$A$164,'Specs'!$P$2:$P$164,"")</x:f>
        <x:v>MEDIUM</x:v>
      </x:c>
      <x:c r="Q131" s="53" t="n">
        <x:f>XLOOKUP($A131,'Specs'!$A$2:$A$164,'Specs'!$Q$2:$Q$164,"")</x:f>
        <x:v>6</x:v>
      </x:c>
      <x:c r="R131" s="53" t="n">
        <x:f>XLOOKUP($A131,'Specs'!$A$2:$A$164,'Specs'!$R$2:$R$164,"")</x:f>
        <x:v>3</x:v>
      </x:c>
      <x:c r="S131" t="str">
        <x:f>'Vendor Options'!A131</x:f>
        <x:v>OFFER-AB9524199677</x:v>
      </x:c>
      <x:c r="T131" t="str">
        <x:f>'Vendor Options'!C131</x:f>
        <x:v>ABH</x:v>
      </x:c>
      <x:c r="U131" t="str">
        <x:f>'Vendor Options'!D131</x:f>
        <x:v>CONTINUOUS</x:v>
      </x:c>
      <x:c r="V131" t="str">
        <x:f>'Vendor Options'!E131</x:f>
        <x:v>8'</x:v>
      </x:c>
      <x:c r="W131" t="n">
        <x:f>'Vendor Options'!F131</x:f>
        <x:v>0</x:v>
      </x:c>
      <x:c r="X131" t="n">
        <x:f>'Vendor Options'!G131</x:f>
        <x:v>0</x:v>
      </x:c>
      <x:c r="Y131" t="n">
        <x:f>'Vendor Options'!H131</x:f>
        <x:v>0</x:v>
      </x:c>
      <x:c r="Z131" t="n">
        <x:f>'Vendor Options'!I131</x:f>
        <x:v>0</x:v>
      </x:c>
      <x:c r="AA131" s="54" t="n">
        <x:f>'Vendor Options'!J131</x:f>
        <x:v>0</x:v>
      </x:c>
      <x:c r="AB131" t="n">
        <x:f>'Vendor Options'!K131</x:f>
        <x:v>0</x:v>
      </x:c>
      <x:c r="AC131" s="57" t="n">
        <x:f>'Vendor Options'!L131</x:f>
        <x:v>0</x:v>
      </x:c>
      <x:c r="AD131" s="57" t="n">
        <x:f>'Vendor Options'!M131</x:f>
        <x:v>0</x:v>
      </x:c>
      <x:c r="AE131" s="54" t="str">
        <x:f>'Vendor Options'!N131</x:f>
      </x:c>
      <x:c r="AF131" t="str">
        <x:f>'Vendor Options'!O131</x:f>
        <x:v>USD</x:v>
      </x:c>
      <x:c r="AG131" t="str">
        <x:f>'Vendor Options'!P131</x:f>
        <x:v>UNPRICED</x:v>
      </x:c>
      <x:c r="AH131" t="str">
        <x:f>'Vendor Options'!Q131</x:f>
        <x:v>REVIEW</x:v>
      </x:c>
      <x:c r="AI131" t="str">
        <x:f>'Vendor Options'!R131</x:f>
        <x:v>MISSING_PRICE; MISSING_PART_NUMBER</x:v>
      </x:c>
      <x:c r="AJ131" t="n">
        <x:f>'Vendor Options'!S131</x:f>
        <x:v>14</x:v>
      </x:c>
    </x:row>
    <x:row r="132" ht="15" hidden="0" customHeight="1">
      <x:c r="A132" t="str">
        <x:f>'Vendor Options'!B132</x:f>
        <x:v>SPEC-3AC38DD8BDA3</x:v>
      </x:c>
      <x:c r="B132" t="str">
        <x:f>XLOOKUP($A132,'Specs'!$A$2:$A$164,'Specs'!$B$2:$B$164,"")</x:f>
        <x:v>HINGE</x:v>
      </x:c>
      <x:c r="C132" t="str">
        <x:f>XLOOKUP($A132,'Specs'!$A$2:$A$164,'Specs'!$C$2:$C$164,"")</x:f>
        <x:v>CONTINUOUS HINGE</x:v>
      </x:c>
      <x:c r="D132" t="str">
        <x:f>XLOOKUP($A132,'Specs'!$A$2:$A$164,'Specs'!$D$2:$D$164,"")</x:f>
      </x:c>
      <x:c r="E132" t="str">
        <x:f>XLOOKUP($A132,'Specs'!$A$2:$A$164,'Specs'!$E$2:$E$164,"")</x:f>
        <x:v>FULL MORTISE</x:v>
      </x:c>
      <x:c r="F132" t="str">
        <x:f>XLOOKUP($A132,'Specs'!$A$2:$A$164,'Specs'!$F$2:$F$164,"")</x:f>
        <x:v>NOT APPLICABLE</x:v>
      </x:c>
      <x:c r="G132" t="str">
        <x:f>XLOOKUP($A132,'Specs'!$A$2:$A$164,'Specs'!$G$2:$G$164,"")</x:f>
      </x:c>
      <x:c r="H132" t="str">
        <x:f>XLOOKUP($A132,'Specs'!$A$2:$A$164,'Specs'!$H$2:$H$164,"")</x:f>
      </x:c>
      <x:c r="I132" t="str">
        <x:f>XLOOKUP($A132,'Specs'!$A$2:$A$164,'Specs'!$I$2:$I$164,"")</x:f>
      </x:c>
      <x:c r="J132" t="str">
        <x:f>XLOOKUP($A132,'Specs'!$A$2:$A$164,'Specs'!$J$2:$J$164,"")</x:f>
        <x:v>FULL MORTISE</x:v>
      </x:c>
      <x:c r="K132" t="str">
        <x:f>XLOOKUP($A132,'Specs'!$A$2:$A$164,'Specs'!$K$2:$K$164,"")</x:f>
      </x:c>
      <x:c r="L132" t="str">
        <x:f>XLOOKUP($A132,'Specs'!$A$2:$A$164,'Specs'!$L$2:$L$164,"")</x:f>
      </x:c>
      <x:c r="M132" t="str">
        <x:f>XLOOKUP($A132,'Specs'!$A$2:$A$164,'Specs'!$M$2:$M$164,"")</x:f>
        <x:v>CLEAR ANODIZED</x:v>
      </x:c>
      <x:c r="N132" t="str">
        <x:f>XLOOKUP($A132,'Specs'!$A$2:$A$164,'Specs'!$N$2:$N$164,"")</x:f>
      </x:c>
      <x:c r="O132" t="str">
        <x:f>XLOOKUP($A132,'Specs'!$A$2:$A$164,'Specs'!$O$2:$O$164,"")</x:f>
      </x:c>
      <x:c r="P132" t="str">
        <x:f>XLOOKUP($A132,'Specs'!$A$2:$A$164,'Specs'!$P$2:$P$164,"")</x:f>
        <x:v>MEDIUM</x:v>
      </x:c>
      <x:c r="Q132" s="53" t="n">
        <x:f>XLOOKUP($A132,'Specs'!$A$2:$A$164,'Specs'!$Q$2:$Q$164,"")</x:f>
        <x:v>6</x:v>
      </x:c>
      <x:c r="R132" s="53" t="n">
        <x:f>XLOOKUP($A132,'Specs'!$A$2:$A$164,'Specs'!$R$2:$R$164,"")</x:f>
        <x:v>3</x:v>
      </x:c>
      <x:c r="S132" t="str">
        <x:f>'Vendor Options'!A132</x:f>
        <x:v>OFFER-0863C6C4B230</x:v>
      </x:c>
      <x:c r="T132" t="str">
        <x:f>'Vendor Options'!C132</x:f>
        <x:v>ABH</x:v>
      </x:c>
      <x:c r="U132" t="str">
        <x:f>'Vendor Options'!D132</x:f>
        <x:v>CONTINUOUS</x:v>
      </x:c>
      <x:c r="V132" t="str">
        <x:f>'Vendor Options'!E132</x:f>
        <x:v>7'</x:v>
      </x:c>
      <x:c r="W132" t="n">
        <x:f>'Vendor Options'!F132</x:f>
        <x:v>0</x:v>
      </x:c>
      <x:c r="X132" t="n">
        <x:f>'Vendor Options'!G132</x:f>
        <x:v>0</x:v>
      </x:c>
      <x:c r="Y132" t="n">
        <x:f>'Vendor Options'!H132</x:f>
        <x:v>0</x:v>
      </x:c>
      <x:c r="Z132" t="n">
        <x:f>'Vendor Options'!I132</x:f>
        <x:v>0</x:v>
      </x:c>
      <x:c r="AA132" s="54" t="n">
        <x:f>'Vendor Options'!J132</x:f>
        <x:v>0</x:v>
      </x:c>
      <x:c r="AB132" t="n">
        <x:f>'Vendor Options'!K132</x:f>
        <x:v>0</x:v>
      </x:c>
      <x:c r="AC132" s="57" t="n">
        <x:f>'Vendor Options'!L132</x:f>
        <x:v>0</x:v>
      </x:c>
      <x:c r="AD132" s="57" t="n">
        <x:f>'Vendor Options'!M132</x:f>
        <x:v>0</x:v>
      </x:c>
      <x:c r="AE132" s="54" t="str">
        <x:f>'Vendor Options'!N132</x:f>
      </x:c>
      <x:c r="AF132" t="str">
        <x:f>'Vendor Options'!O132</x:f>
        <x:v>USD</x:v>
      </x:c>
      <x:c r="AG132" t="str">
        <x:f>'Vendor Options'!P132</x:f>
        <x:v>UNPRICED</x:v>
      </x:c>
      <x:c r="AH132" t="str">
        <x:f>'Vendor Options'!Q132</x:f>
        <x:v>REVIEW</x:v>
      </x:c>
      <x:c r="AI132" t="str">
        <x:f>'Vendor Options'!R132</x:f>
        <x:v>MISSING_PRICE; MISSING_PART_NUMBER</x:v>
      </x:c>
      <x:c r="AJ132" t="n">
        <x:f>'Vendor Options'!S132</x:f>
        <x:v>15</x:v>
      </x:c>
    </x:row>
    <x:row r="133" ht="15" hidden="0" customHeight="1">
      <x:c r="A133" t="str">
        <x:f>'Vendor Options'!B133</x:f>
        <x:v>SPEC-3AC38DD8BDA3</x:v>
      </x:c>
      <x:c r="B133" t="str">
        <x:f>XLOOKUP($A133,'Specs'!$A$2:$A$164,'Specs'!$B$2:$B$164,"")</x:f>
        <x:v>HINGE</x:v>
      </x:c>
      <x:c r="C133" t="str">
        <x:f>XLOOKUP($A133,'Specs'!$A$2:$A$164,'Specs'!$C$2:$C$164,"")</x:f>
        <x:v>CONTINUOUS HINGE</x:v>
      </x:c>
      <x:c r="D133" t="str">
        <x:f>XLOOKUP($A133,'Specs'!$A$2:$A$164,'Specs'!$D$2:$D$164,"")</x:f>
      </x:c>
      <x:c r="E133" t="str">
        <x:f>XLOOKUP($A133,'Specs'!$A$2:$A$164,'Specs'!$E$2:$E$164,"")</x:f>
        <x:v>FULL MORTISE</x:v>
      </x:c>
      <x:c r="F133" t="str">
        <x:f>XLOOKUP($A133,'Specs'!$A$2:$A$164,'Specs'!$F$2:$F$164,"")</x:f>
        <x:v>NOT APPLICABLE</x:v>
      </x:c>
      <x:c r="G133" t="str">
        <x:f>XLOOKUP($A133,'Specs'!$A$2:$A$164,'Specs'!$G$2:$G$164,"")</x:f>
      </x:c>
      <x:c r="H133" t="str">
        <x:f>XLOOKUP($A133,'Specs'!$A$2:$A$164,'Specs'!$H$2:$H$164,"")</x:f>
      </x:c>
      <x:c r="I133" t="str">
        <x:f>XLOOKUP($A133,'Specs'!$A$2:$A$164,'Specs'!$I$2:$I$164,"")</x:f>
      </x:c>
      <x:c r="J133" t="str">
        <x:f>XLOOKUP($A133,'Specs'!$A$2:$A$164,'Specs'!$J$2:$J$164,"")</x:f>
        <x:v>FULL MORTISE</x:v>
      </x:c>
      <x:c r="K133" t="str">
        <x:f>XLOOKUP($A133,'Specs'!$A$2:$A$164,'Specs'!$K$2:$K$164,"")</x:f>
      </x:c>
      <x:c r="L133" t="str">
        <x:f>XLOOKUP($A133,'Specs'!$A$2:$A$164,'Specs'!$L$2:$L$164,"")</x:f>
      </x:c>
      <x:c r="M133" t="str">
        <x:f>XLOOKUP($A133,'Specs'!$A$2:$A$164,'Specs'!$M$2:$M$164,"")</x:f>
        <x:v>CLEAR ANODIZED</x:v>
      </x:c>
      <x:c r="N133" t="str">
        <x:f>XLOOKUP($A133,'Specs'!$A$2:$A$164,'Specs'!$N$2:$N$164,"")</x:f>
      </x:c>
      <x:c r="O133" t="str">
        <x:f>XLOOKUP($A133,'Specs'!$A$2:$A$164,'Specs'!$O$2:$O$164,"")</x:f>
      </x:c>
      <x:c r="P133" t="str">
        <x:f>XLOOKUP($A133,'Specs'!$A$2:$A$164,'Specs'!$P$2:$P$164,"")</x:f>
        <x:v>MEDIUM</x:v>
      </x:c>
      <x:c r="Q133" s="53" t="n">
        <x:f>XLOOKUP($A133,'Specs'!$A$2:$A$164,'Specs'!$Q$2:$Q$164,"")</x:f>
        <x:v>6</x:v>
      </x:c>
      <x:c r="R133" s="53" t="n">
        <x:f>XLOOKUP($A133,'Specs'!$A$2:$A$164,'Specs'!$R$2:$R$164,"")</x:f>
        <x:v>3</x:v>
      </x:c>
      <x:c r="S133" t="str">
        <x:f>'Vendor Options'!A133</x:f>
        <x:v>OFFER-48E947663F8B</x:v>
      </x:c>
      <x:c r="T133" t="str">
        <x:f>'Vendor Options'!C133</x:f>
        <x:v>ABH</x:v>
      </x:c>
      <x:c r="U133" t="str">
        <x:f>'Vendor Options'!D133</x:f>
        <x:v>CONTINUOUS</x:v>
      </x:c>
      <x:c r="V133" t="str">
        <x:f>'Vendor Options'!E133</x:f>
        <x:v>EZ</x:v>
      </x:c>
      <x:c r="W133" t="n">
        <x:f>'Vendor Options'!F133</x:f>
        <x:v>0</x:v>
      </x:c>
      <x:c r="X133" t="n">
        <x:f>'Vendor Options'!G133</x:f>
        <x:v>0</x:v>
      </x:c>
      <x:c r="Y133" t="n">
        <x:f>'Vendor Options'!H133</x:f>
        <x:v>0</x:v>
      </x:c>
      <x:c r="Z133" t="n">
        <x:f>'Vendor Options'!I133</x:f>
        <x:v>0</x:v>
      </x:c>
      <x:c r="AA133" s="54" t="n">
        <x:f>'Vendor Options'!J133</x:f>
        <x:v>0</x:v>
      </x:c>
      <x:c r="AB133" t="n">
        <x:f>'Vendor Options'!K133</x:f>
        <x:v>0</x:v>
      </x:c>
      <x:c r="AC133" s="57" t="n">
        <x:f>'Vendor Options'!L133</x:f>
        <x:v>0</x:v>
      </x:c>
      <x:c r="AD133" s="57" t="n">
        <x:f>'Vendor Options'!M133</x:f>
        <x:v>0</x:v>
      </x:c>
      <x:c r="AE133" s="54" t="str">
        <x:f>'Vendor Options'!N133</x:f>
      </x:c>
      <x:c r="AF133" t="str">
        <x:f>'Vendor Options'!O133</x:f>
        <x:v>USD</x:v>
      </x:c>
      <x:c r="AG133" t="str">
        <x:f>'Vendor Options'!P133</x:f>
        <x:v>UNPRICED</x:v>
      </x:c>
      <x:c r="AH133" t="str">
        <x:f>'Vendor Options'!Q133</x:f>
        <x:v>REVIEW</x:v>
      </x:c>
      <x:c r="AI133" t="str">
        <x:f>'Vendor Options'!R133</x:f>
        <x:v>MISSING_PRICE; MISSING_PART_NUMBER</x:v>
      </x:c>
      <x:c r="AJ133" t="n">
        <x:f>'Vendor Options'!S133</x:f>
        <x:v>22</x:v>
      </x:c>
    </x:row>
    <x:row r="134" ht="15" hidden="0" customHeight="1">
      <x:c r="A134" t="str">
        <x:f>'Vendor Options'!B134</x:f>
        <x:v>SPEC-3AC38DD8BDA3</x:v>
      </x:c>
      <x:c r="B134" t="str">
        <x:f>XLOOKUP($A134,'Specs'!$A$2:$A$164,'Specs'!$B$2:$B$164,"")</x:f>
        <x:v>HINGE</x:v>
      </x:c>
      <x:c r="C134" t="str">
        <x:f>XLOOKUP($A134,'Specs'!$A$2:$A$164,'Specs'!$C$2:$C$164,"")</x:f>
        <x:v>CONTINUOUS HINGE</x:v>
      </x:c>
      <x:c r="D134" t="str">
        <x:f>XLOOKUP($A134,'Specs'!$A$2:$A$164,'Specs'!$D$2:$D$164,"")</x:f>
      </x:c>
      <x:c r="E134" t="str">
        <x:f>XLOOKUP($A134,'Specs'!$A$2:$A$164,'Specs'!$E$2:$E$164,"")</x:f>
        <x:v>FULL MORTISE</x:v>
      </x:c>
      <x:c r="F134" t="str">
        <x:f>XLOOKUP($A134,'Specs'!$A$2:$A$164,'Specs'!$F$2:$F$164,"")</x:f>
        <x:v>NOT APPLICABLE</x:v>
      </x:c>
      <x:c r="G134" t="str">
        <x:f>XLOOKUP($A134,'Specs'!$A$2:$A$164,'Specs'!$G$2:$G$164,"")</x:f>
      </x:c>
      <x:c r="H134" t="str">
        <x:f>XLOOKUP($A134,'Specs'!$A$2:$A$164,'Specs'!$H$2:$H$164,"")</x:f>
      </x:c>
      <x:c r="I134" t="str">
        <x:f>XLOOKUP($A134,'Specs'!$A$2:$A$164,'Specs'!$I$2:$I$164,"")</x:f>
      </x:c>
      <x:c r="J134" t="str">
        <x:f>XLOOKUP($A134,'Specs'!$A$2:$A$164,'Specs'!$J$2:$J$164,"")</x:f>
        <x:v>FULL MORTISE</x:v>
      </x:c>
      <x:c r="K134" t="str">
        <x:f>XLOOKUP($A134,'Specs'!$A$2:$A$164,'Specs'!$K$2:$K$164,"")</x:f>
      </x:c>
      <x:c r="L134" t="str">
        <x:f>XLOOKUP($A134,'Specs'!$A$2:$A$164,'Specs'!$L$2:$L$164,"")</x:f>
      </x:c>
      <x:c r="M134" t="str">
        <x:f>XLOOKUP($A134,'Specs'!$A$2:$A$164,'Specs'!$M$2:$M$164,"")</x:f>
        <x:v>CLEAR ANODIZED</x:v>
      </x:c>
      <x:c r="N134" t="str">
        <x:f>XLOOKUP($A134,'Specs'!$A$2:$A$164,'Specs'!$N$2:$N$164,"")</x:f>
      </x:c>
      <x:c r="O134" t="str">
        <x:f>XLOOKUP($A134,'Specs'!$A$2:$A$164,'Specs'!$O$2:$O$164,"")</x:f>
      </x:c>
      <x:c r="P134" t="str">
        <x:f>XLOOKUP($A134,'Specs'!$A$2:$A$164,'Specs'!$P$2:$P$164,"")</x:f>
        <x:v>MEDIUM</x:v>
      </x:c>
      <x:c r="Q134" s="53" t="n">
        <x:f>XLOOKUP($A134,'Specs'!$A$2:$A$164,'Specs'!$Q$2:$Q$164,"")</x:f>
        <x:v>6</x:v>
      </x:c>
      <x:c r="R134" s="53" t="n">
        <x:f>XLOOKUP($A134,'Specs'!$A$2:$A$164,'Specs'!$R$2:$R$164,"")</x:f>
        <x:v>3</x:v>
      </x:c>
      <x:c r="S134" t="str">
        <x:f>'Vendor Options'!A134</x:f>
        <x:v>OFFER-092AAC2B2C23</x:v>
      </x:c>
      <x:c r="T134" t="str">
        <x:f>'Vendor Options'!C134</x:f>
        <x:v>DH</x:v>
      </x:c>
      <x:c r="U134" t="str">
        <x:f>'Vendor Options'!D134</x:f>
        <x:v>CONTINUOUS</x:v>
      </x:c>
      <x:c r="V134" t="str">
        <x:f>'Vendor Options'!E134</x:f>
        <x:v>8'</x:v>
      </x:c>
      <x:c r="W134" t="n">
        <x:f>'Vendor Options'!F134</x:f>
        <x:v>0</x:v>
      </x:c>
      <x:c r="X134" t="n">
        <x:f>'Vendor Options'!G134</x:f>
        <x:v>0</x:v>
      </x:c>
      <x:c r="Y134" t="n">
        <x:f>'Vendor Options'!H134</x:f>
        <x:v>0</x:v>
      </x:c>
      <x:c r="Z134" t="n">
        <x:f>'Vendor Options'!I134</x:f>
        <x:v>0</x:v>
      </x:c>
      <x:c r="AA134" s="54" t="n">
        <x:f>'Vendor Options'!J134</x:f>
        <x:v>0</x:v>
      </x:c>
      <x:c r="AB134" t="n">
        <x:f>'Vendor Options'!K134</x:f>
        <x:v>0</x:v>
      </x:c>
      <x:c r="AC134" s="57" t="n">
        <x:f>'Vendor Options'!L134</x:f>
        <x:v>0</x:v>
      </x:c>
      <x:c r="AD134" s="57" t="n">
        <x:f>'Vendor Options'!M134</x:f>
        <x:v>0</x:v>
      </x:c>
      <x:c r="AE134" s="54" t="str">
        <x:f>'Vendor Options'!N134</x:f>
      </x:c>
      <x:c r="AF134" t="str">
        <x:f>'Vendor Options'!O134</x:f>
        <x:v>USD</x:v>
      </x:c>
      <x:c r="AG134" t="str">
        <x:f>'Vendor Options'!P134</x:f>
        <x:v>UNPRICED</x:v>
      </x:c>
      <x:c r="AH134" t="str">
        <x:f>'Vendor Options'!Q134</x:f>
        <x:v>REVIEW</x:v>
      </x:c>
      <x:c r="AI134" t="str">
        <x:f>'Vendor Options'!R134</x:f>
        <x:v>MISSING_PRICE; MISSING_PART_NUMBER</x:v>
      </x:c>
      <x:c r="AJ134" t="n">
        <x:f>'Vendor Options'!S134</x:f>
        <x:v>23</x:v>
      </x:c>
    </x:row>
    <x:row r="135" ht="15" hidden="0" customHeight="1">
      <x:c r="A135" t="str">
        <x:f>'Vendor Options'!B135</x:f>
        <x:v>SPEC-3AC38DD8BDA3</x:v>
      </x:c>
      <x:c r="B135" t="str">
        <x:f>XLOOKUP($A135,'Specs'!$A$2:$A$164,'Specs'!$B$2:$B$164,"")</x:f>
        <x:v>HINGE</x:v>
      </x:c>
      <x:c r="C135" t="str">
        <x:f>XLOOKUP($A135,'Specs'!$A$2:$A$164,'Specs'!$C$2:$C$164,"")</x:f>
        <x:v>CONTINUOUS HINGE</x:v>
      </x:c>
      <x:c r="D135" t="str">
        <x:f>XLOOKUP($A135,'Specs'!$A$2:$A$164,'Specs'!$D$2:$D$164,"")</x:f>
      </x:c>
      <x:c r="E135" t="str">
        <x:f>XLOOKUP($A135,'Specs'!$A$2:$A$164,'Specs'!$E$2:$E$164,"")</x:f>
        <x:v>FULL MORTISE</x:v>
      </x:c>
      <x:c r="F135" t="str">
        <x:f>XLOOKUP($A135,'Specs'!$A$2:$A$164,'Specs'!$F$2:$F$164,"")</x:f>
        <x:v>NOT APPLICABLE</x:v>
      </x:c>
      <x:c r="G135" t="str">
        <x:f>XLOOKUP($A135,'Specs'!$A$2:$A$164,'Specs'!$G$2:$G$164,"")</x:f>
      </x:c>
      <x:c r="H135" t="str">
        <x:f>XLOOKUP($A135,'Specs'!$A$2:$A$164,'Specs'!$H$2:$H$164,"")</x:f>
      </x:c>
      <x:c r="I135" t="str">
        <x:f>XLOOKUP($A135,'Specs'!$A$2:$A$164,'Specs'!$I$2:$I$164,"")</x:f>
      </x:c>
      <x:c r="J135" t="str">
        <x:f>XLOOKUP($A135,'Specs'!$A$2:$A$164,'Specs'!$J$2:$J$164,"")</x:f>
        <x:v>FULL MORTISE</x:v>
      </x:c>
      <x:c r="K135" t="str">
        <x:f>XLOOKUP($A135,'Specs'!$A$2:$A$164,'Specs'!$K$2:$K$164,"")</x:f>
      </x:c>
      <x:c r="L135" t="str">
        <x:f>XLOOKUP($A135,'Specs'!$A$2:$A$164,'Specs'!$L$2:$L$164,"")</x:f>
      </x:c>
      <x:c r="M135" t="str">
        <x:f>XLOOKUP($A135,'Specs'!$A$2:$A$164,'Specs'!$M$2:$M$164,"")</x:f>
        <x:v>CLEAR ANODIZED</x:v>
      </x:c>
      <x:c r="N135" t="str">
        <x:f>XLOOKUP($A135,'Specs'!$A$2:$A$164,'Specs'!$N$2:$N$164,"")</x:f>
      </x:c>
      <x:c r="O135" t="str">
        <x:f>XLOOKUP($A135,'Specs'!$A$2:$A$164,'Specs'!$O$2:$O$164,"")</x:f>
      </x:c>
      <x:c r="P135" t="str">
        <x:f>XLOOKUP($A135,'Specs'!$A$2:$A$164,'Specs'!$P$2:$P$164,"")</x:f>
        <x:v>MEDIUM</x:v>
      </x:c>
      <x:c r="Q135" s="53" t="n">
        <x:f>XLOOKUP($A135,'Specs'!$A$2:$A$164,'Specs'!$Q$2:$Q$164,"")</x:f>
        <x:v>6</x:v>
      </x:c>
      <x:c r="R135" s="53" t="n">
        <x:f>XLOOKUP($A135,'Specs'!$A$2:$A$164,'Specs'!$R$2:$R$164,"")</x:f>
        <x:v>3</x:v>
      </x:c>
      <x:c r="S135" t="str">
        <x:f>'Vendor Options'!A135</x:f>
        <x:v>OFFER-E2B5ABDA3D82</x:v>
      </x:c>
      <x:c r="T135" t="str">
        <x:f>'Vendor Options'!C135</x:f>
        <x:v>DH</x:v>
      </x:c>
      <x:c r="U135" t="str">
        <x:f>'Vendor Options'!D135</x:f>
        <x:v>CONTINUOUS</x:v>
      </x:c>
      <x:c r="V135" t="str">
        <x:f>'Vendor Options'!E135</x:f>
        <x:v>7'</x:v>
      </x:c>
      <x:c r="W135" t="str">
        <x:f>'Vendor Options'!F135</x:f>
      </x:c>
      <x:c r="X135" t="str">
        <x:f>'Vendor Options'!G135</x:f>
      </x:c>
      <x:c r="Y135" t="n">
        <x:f>'Vendor Options'!H135</x:f>
        <x:v>0</x:v>
      </x:c>
      <x:c r="Z135" t="n">
        <x:f>'Vendor Options'!I135</x:f>
        <x:v>0</x:v>
      </x:c>
      <x:c r="AA135" s="54" t="n">
        <x:f>'Vendor Options'!J135</x:f>
        <x:v>0</x:v>
      </x:c>
      <x:c r="AB135" t="n">
        <x:f>'Vendor Options'!K135</x:f>
        <x:v>0</x:v>
      </x:c>
      <x:c r="AC135" s="57" t="n">
        <x:f>'Vendor Options'!L135</x:f>
        <x:v>0</x:v>
      </x:c>
      <x:c r="AD135" s="57" t="n">
        <x:f>'Vendor Options'!M135</x:f>
        <x:v>0</x:v>
      </x:c>
      <x:c r="AE135" s="54" t="str">
        <x:f>'Vendor Options'!N135</x:f>
      </x:c>
      <x:c r="AF135" t="str">
        <x:f>'Vendor Options'!O135</x:f>
        <x:v>USD</x:v>
      </x:c>
      <x:c r="AG135" t="str">
        <x:f>'Vendor Options'!P135</x:f>
        <x:v>UNPRICED</x:v>
      </x:c>
      <x:c r="AH135" t="str">
        <x:f>'Vendor Options'!Q135</x:f>
        <x:v>REVIEW</x:v>
      </x:c>
      <x:c r="AI135" t="str">
        <x:f>'Vendor Options'!R135</x:f>
        <x:v>MISSING_PRICE; MISSING_PART_NUMBER</x:v>
      </x:c>
      <x:c r="AJ135" t="n">
        <x:f>'Vendor Options'!S135</x:f>
        <x:v>24</x:v>
      </x:c>
    </x:row>
    <x:row r="136" ht="15" hidden="0" customHeight="1">
      <x:c r="A136" t="str">
        <x:f>'Vendor Options'!B136</x:f>
        <x:v>SPEC-3AC38DD8BDA3</x:v>
      </x:c>
      <x:c r="B136" t="str">
        <x:f>XLOOKUP($A136,'Specs'!$A$2:$A$164,'Specs'!$B$2:$B$164,"")</x:f>
        <x:v>HINGE</x:v>
      </x:c>
      <x:c r="C136" t="str">
        <x:f>XLOOKUP($A136,'Specs'!$A$2:$A$164,'Specs'!$C$2:$C$164,"")</x:f>
        <x:v>CONTINUOUS HINGE</x:v>
      </x:c>
      <x:c r="D136" t="str">
        <x:f>XLOOKUP($A136,'Specs'!$A$2:$A$164,'Specs'!$D$2:$D$164,"")</x:f>
      </x:c>
      <x:c r="E136" t="str">
        <x:f>XLOOKUP($A136,'Specs'!$A$2:$A$164,'Specs'!$E$2:$E$164,"")</x:f>
        <x:v>FULL MORTISE</x:v>
      </x:c>
      <x:c r="F136" t="str">
        <x:f>XLOOKUP($A136,'Specs'!$A$2:$A$164,'Specs'!$F$2:$F$164,"")</x:f>
        <x:v>NOT APPLICABLE</x:v>
      </x:c>
      <x:c r="G136" t="str">
        <x:f>XLOOKUP($A136,'Specs'!$A$2:$A$164,'Specs'!$G$2:$G$164,"")</x:f>
      </x:c>
      <x:c r="H136" t="str">
        <x:f>XLOOKUP($A136,'Specs'!$A$2:$A$164,'Specs'!$H$2:$H$164,"")</x:f>
      </x:c>
      <x:c r="I136" t="str">
        <x:f>XLOOKUP($A136,'Specs'!$A$2:$A$164,'Specs'!$I$2:$I$164,"")</x:f>
      </x:c>
      <x:c r="J136" t="str">
        <x:f>XLOOKUP($A136,'Specs'!$A$2:$A$164,'Specs'!$J$2:$J$164,"")</x:f>
        <x:v>FULL MORTISE</x:v>
      </x:c>
      <x:c r="K136" t="str">
        <x:f>XLOOKUP($A136,'Specs'!$A$2:$A$164,'Specs'!$K$2:$K$164,"")</x:f>
      </x:c>
      <x:c r="L136" t="str">
        <x:f>XLOOKUP($A136,'Specs'!$A$2:$A$164,'Specs'!$L$2:$L$164,"")</x:f>
      </x:c>
      <x:c r="M136" t="str">
        <x:f>XLOOKUP($A136,'Specs'!$A$2:$A$164,'Specs'!$M$2:$M$164,"")</x:f>
        <x:v>CLEAR ANODIZED</x:v>
      </x:c>
      <x:c r="N136" t="str">
        <x:f>XLOOKUP($A136,'Specs'!$A$2:$A$164,'Specs'!$N$2:$N$164,"")</x:f>
      </x:c>
      <x:c r="O136" t="str">
        <x:f>XLOOKUP($A136,'Specs'!$A$2:$A$164,'Specs'!$O$2:$O$164,"")</x:f>
      </x:c>
      <x:c r="P136" t="str">
        <x:f>XLOOKUP($A136,'Specs'!$A$2:$A$164,'Specs'!$P$2:$P$164,"")</x:f>
        <x:v>MEDIUM</x:v>
      </x:c>
      <x:c r="Q136" s="53" t="n">
        <x:f>XLOOKUP($A136,'Specs'!$A$2:$A$164,'Specs'!$Q$2:$Q$164,"")</x:f>
        <x:v>6</x:v>
      </x:c>
      <x:c r="R136" s="53" t="n">
        <x:f>XLOOKUP($A136,'Specs'!$A$2:$A$164,'Specs'!$R$2:$R$164,"")</x:f>
        <x:v>3</x:v>
      </x:c>
      <x:c r="S136" t="str">
        <x:f>'Vendor Options'!A136</x:f>
        <x:v>OFFER-679CD343FB67</x:v>
      </x:c>
      <x:c r="T136" t="str">
        <x:f>'Vendor Options'!C136</x:f>
        <x:v>NGP</x:v>
      </x:c>
      <x:c r="U136" t="str">
        <x:f>'Vendor Options'!D136</x:f>
        <x:v>CONTINUOUS</x:v>
      </x:c>
      <x:c r="V136" t="str">
        <x:f>'Vendor Options'!E136</x:f>
        <x:v>7'</x:v>
      </x:c>
      <x:c r="W136" t="n">
        <x:f>'Vendor Options'!F136</x:f>
        <x:v>0</x:v>
      </x:c>
      <x:c r="X136" t="str">
        <x:f>'Vendor Options'!G136</x:f>
        <x:v>HD2400</x:v>
      </x:c>
      <x:c r="Y136" t="str">
        <x:f>'Vendor Options'!H136</x:f>
        <x:v>HD2400</x:v>
      </x:c>
      <x:c r="Z136" t="n">
        <x:f>'Vendor Options'!I136</x:f>
        <x:v>0</x:v>
      </x:c>
      <x:c r="AA136" s="54" t="n">
        <x:f>'Vendor Options'!J136</x:f>
        <x:v>0</x:v>
      </x:c>
      <x:c r="AB136" t="n">
        <x:f>'Vendor Options'!K136</x:f>
        <x:v>0</x:v>
      </x:c>
      <x:c r="AC136" s="57" t="n">
        <x:f>'Vendor Options'!L136</x:f>
        <x:v>0</x:v>
      </x:c>
      <x:c r="AD136" s="57" t="n">
        <x:f>'Vendor Options'!M136</x:f>
        <x:v>0</x:v>
      </x:c>
      <x:c r="AE136" s="54" t="str">
        <x:f>'Vendor Options'!N136</x:f>
      </x:c>
      <x:c r="AF136" t="str">
        <x:f>'Vendor Options'!O136</x:f>
        <x:v>USD</x:v>
      </x:c>
      <x:c r="AG136" t="str">
        <x:f>'Vendor Options'!P136</x:f>
        <x:v>UNPRICED</x:v>
      </x:c>
      <x:c r="AH136" t="str">
        <x:f>'Vendor Options'!Q136</x:f>
        <x:v>ACTIVE</x:v>
      </x:c>
      <x:c r="AI136" t="str">
        <x:f>'Vendor Options'!R136</x:f>
        <x:v>MISSING_PRICE</x:v>
      </x:c>
      <x:c r="AJ136" t="n">
        <x:f>'Vendor Options'!S136</x:f>
        <x:v>20</x:v>
      </x:c>
    </x:row>
    <x:row r="137" ht="15" hidden="0" customHeight="1">
      <x:c r="A137" t="str">
        <x:f>'Vendor Options'!B137</x:f>
        <x:v>SPEC-F0BF5C9B897E</x:v>
      </x:c>
      <x:c r="B137" t="str">
        <x:f>XLOOKUP($A137,'Specs'!$A$2:$A$164,'Specs'!$B$2:$B$164,"")</x:f>
        <x:v>HINGE</x:v>
      </x:c>
      <x:c r="C137" t="str">
        <x:f>XLOOKUP($A137,'Specs'!$A$2:$A$164,'Specs'!$C$2:$C$164,"")</x:f>
        <x:v>CONTINUOUS HINGE</x:v>
      </x:c>
      <x:c r="D137" t="str">
        <x:f>XLOOKUP($A137,'Specs'!$A$2:$A$164,'Specs'!$D$2:$D$164,"")</x:f>
      </x:c>
      <x:c r="E137" t="str">
        <x:f>XLOOKUP($A137,'Specs'!$A$2:$A$164,'Specs'!$E$2:$E$164,"")</x:f>
        <x:v>FULL MORTISE</x:v>
      </x:c>
      <x:c r="F137" t="str">
        <x:f>XLOOKUP($A137,'Specs'!$A$2:$A$164,'Specs'!$F$2:$F$164,"")</x:f>
        <x:v>NOT APPLICABLE</x:v>
      </x:c>
      <x:c r="G137" t="str">
        <x:f>XLOOKUP($A137,'Specs'!$A$2:$A$164,'Specs'!$G$2:$G$164,"")</x:f>
        <x:v>6'8"</x:v>
      </x:c>
      <x:c r="H137" t="str">
        <x:f>XLOOKUP($A137,'Specs'!$A$2:$A$164,'Specs'!$H$2:$H$164,"")</x:f>
      </x:c>
      <x:c r="I137" t="str">
        <x:f>XLOOKUP($A137,'Specs'!$A$2:$A$164,'Specs'!$I$2:$I$164,"")</x:f>
      </x:c>
      <x:c r="J137" t="str">
        <x:f>XLOOKUP($A137,'Specs'!$A$2:$A$164,'Specs'!$J$2:$J$164,"")</x:f>
        <x:v>FULL MORTISE</x:v>
      </x:c>
      <x:c r="K137" t="str">
        <x:f>XLOOKUP($A137,'Specs'!$A$2:$A$164,'Specs'!$K$2:$K$164,"")</x:f>
      </x:c>
      <x:c r="L137" t="str">
        <x:f>XLOOKUP($A137,'Specs'!$A$2:$A$164,'Specs'!$L$2:$L$164,"")</x:f>
      </x:c>
      <x:c r="M137" t="str">
        <x:f>XLOOKUP($A137,'Specs'!$A$2:$A$164,'Specs'!$M$2:$M$164,"")</x:f>
        <x:v>CLEAR ANODIZED</x:v>
      </x:c>
      <x:c r="N137" t="str">
        <x:f>XLOOKUP($A137,'Specs'!$A$2:$A$164,'Specs'!$N$2:$N$164,"")</x:f>
      </x:c>
      <x:c r="O137" t="str">
        <x:f>XLOOKUP($A137,'Specs'!$A$2:$A$164,'Specs'!$O$2:$O$164,"")</x:f>
      </x:c>
      <x:c r="P137" t="str">
        <x:f>XLOOKUP($A137,'Specs'!$A$2:$A$164,'Specs'!$P$2:$P$164,"")</x:f>
        <x:v>HIGH</x:v>
      </x:c>
      <x:c r="Q137" s="53" t="n">
        <x:f>XLOOKUP($A137,'Specs'!$A$2:$A$164,'Specs'!$Q$2:$Q$164,"")</x:f>
        <x:v>2</x:v>
      </x:c>
      <x:c r="R137" s="53" t="n">
        <x:f>XLOOKUP($A137,'Specs'!$A$2:$A$164,'Specs'!$R$2:$R$164,"")</x:f>
        <x:v>2</x:v>
      </x:c>
      <x:c r="S137" t="str">
        <x:f>'Vendor Options'!A137</x:f>
        <x:v>OFFER-3004DBA62C49</x:v>
      </x:c>
      <x:c r="T137" t="str">
        <x:f>'Vendor Options'!C137</x:f>
        <x:v>ABH</x:v>
      </x:c>
      <x:c r="U137" t="str">
        <x:f>'Vendor Options'!D137</x:f>
        <x:v>CONTINUOUS</x:v>
      </x:c>
      <x:c r="V137" t="str">
        <x:f>'Vendor Options'!E137</x:f>
        <x:v>6'8</x:v>
      </x:c>
      <x:c r="W137" t="n">
        <x:f>'Vendor Options'!F137</x:f>
        <x:v>0</x:v>
      </x:c>
      <x:c r="X137" t="n">
        <x:f>'Vendor Options'!G137</x:f>
        <x:v>0</x:v>
      </x:c>
      <x:c r="Y137" t="n">
        <x:f>'Vendor Options'!H137</x:f>
        <x:v>0</x:v>
      </x:c>
      <x:c r="Z137" t="n">
        <x:f>'Vendor Options'!I137</x:f>
        <x:v>0</x:v>
      </x:c>
      <x:c r="AA137" s="54" t="n">
        <x:f>'Vendor Options'!J137</x:f>
        <x:v>0</x:v>
      </x:c>
      <x:c r="AB137" t="n">
        <x:f>'Vendor Options'!K137</x:f>
        <x:v>0</x:v>
      </x:c>
      <x:c r="AC137" s="57" t="n">
        <x:f>'Vendor Options'!L137</x:f>
        <x:v>0</x:v>
      </x:c>
      <x:c r="AD137" s="57" t="n">
        <x:f>'Vendor Options'!M137</x:f>
        <x:v>0</x:v>
      </x:c>
      <x:c r="AE137" s="54" t="str">
        <x:f>'Vendor Options'!N137</x:f>
      </x:c>
      <x:c r="AF137" t="str">
        <x:f>'Vendor Options'!O137</x:f>
        <x:v>USD</x:v>
      </x:c>
      <x:c r="AG137" t="str">
        <x:f>'Vendor Options'!P137</x:f>
        <x:v>UNPRICED</x:v>
      </x:c>
      <x:c r="AH137" t="str">
        <x:f>'Vendor Options'!Q137</x:f>
        <x:v>REVIEW</x:v>
      </x:c>
      <x:c r="AI137" t="str">
        <x:f>'Vendor Options'!R137</x:f>
        <x:v>MISSING_PRICE; MISSING_PART_NUMBER</x:v>
      </x:c>
      <x:c r="AJ137" t="n">
        <x:f>'Vendor Options'!S137</x:f>
        <x:v>16</x:v>
      </x:c>
    </x:row>
    <x:row r="138" ht="15" hidden="0" customHeight="1">
      <x:c r="A138" t="str">
        <x:f>'Vendor Options'!B138</x:f>
        <x:v>SPEC-F0BF5C9B897E</x:v>
      </x:c>
      <x:c r="B138" t="str">
        <x:f>XLOOKUP($A138,'Specs'!$A$2:$A$164,'Specs'!$B$2:$B$164,"")</x:f>
        <x:v>HINGE</x:v>
      </x:c>
      <x:c r="C138" t="str">
        <x:f>XLOOKUP($A138,'Specs'!$A$2:$A$164,'Specs'!$C$2:$C$164,"")</x:f>
        <x:v>CONTINUOUS HINGE</x:v>
      </x:c>
      <x:c r="D138" t="str">
        <x:f>XLOOKUP($A138,'Specs'!$A$2:$A$164,'Specs'!$D$2:$D$164,"")</x:f>
      </x:c>
      <x:c r="E138" t="str">
        <x:f>XLOOKUP($A138,'Specs'!$A$2:$A$164,'Specs'!$E$2:$E$164,"")</x:f>
        <x:v>FULL MORTISE</x:v>
      </x:c>
      <x:c r="F138" t="str">
        <x:f>XLOOKUP($A138,'Specs'!$A$2:$A$164,'Specs'!$F$2:$F$164,"")</x:f>
        <x:v>NOT APPLICABLE</x:v>
      </x:c>
      <x:c r="G138" t="str">
        <x:f>XLOOKUP($A138,'Specs'!$A$2:$A$164,'Specs'!$G$2:$G$164,"")</x:f>
        <x:v>6'8"</x:v>
      </x:c>
      <x:c r="H138" t="str">
        <x:f>XLOOKUP($A138,'Specs'!$A$2:$A$164,'Specs'!$H$2:$H$164,"")</x:f>
      </x:c>
      <x:c r="I138" t="str">
        <x:f>XLOOKUP($A138,'Specs'!$A$2:$A$164,'Specs'!$I$2:$I$164,"")</x:f>
      </x:c>
      <x:c r="J138" t="str">
        <x:f>XLOOKUP($A138,'Specs'!$A$2:$A$164,'Specs'!$J$2:$J$164,"")</x:f>
        <x:v>FULL MORTISE</x:v>
      </x:c>
      <x:c r="K138" t="str">
        <x:f>XLOOKUP($A138,'Specs'!$A$2:$A$164,'Specs'!$K$2:$K$164,"")</x:f>
      </x:c>
      <x:c r="L138" t="str">
        <x:f>XLOOKUP($A138,'Specs'!$A$2:$A$164,'Specs'!$L$2:$L$164,"")</x:f>
      </x:c>
      <x:c r="M138" t="str">
        <x:f>XLOOKUP($A138,'Specs'!$A$2:$A$164,'Specs'!$M$2:$M$164,"")</x:f>
        <x:v>CLEAR ANODIZED</x:v>
      </x:c>
      <x:c r="N138" t="str">
        <x:f>XLOOKUP($A138,'Specs'!$A$2:$A$164,'Specs'!$N$2:$N$164,"")</x:f>
      </x:c>
      <x:c r="O138" t="str">
        <x:f>XLOOKUP($A138,'Specs'!$A$2:$A$164,'Specs'!$O$2:$O$164,"")</x:f>
      </x:c>
      <x:c r="P138" t="str">
        <x:f>XLOOKUP($A138,'Specs'!$A$2:$A$164,'Specs'!$P$2:$P$164,"")</x:f>
        <x:v>HIGH</x:v>
      </x:c>
      <x:c r="Q138" s="53" t="n">
        <x:f>XLOOKUP($A138,'Specs'!$A$2:$A$164,'Specs'!$Q$2:$Q$164,"")</x:f>
        <x:v>2</x:v>
      </x:c>
      <x:c r="R138" s="53" t="n">
        <x:f>XLOOKUP($A138,'Specs'!$A$2:$A$164,'Specs'!$R$2:$R$164,"")</x:f>
        <x:v>2</x:v>
      </x:c>
      <x:c r="S138" t="str">
        <x:f>'Vendor Options'!A138</x:f>
        <x:v>OFFER-0EC3718493B9</x:v>
      </x:c>
      <x:c r="T138" t="str">
        <x:f>'Vendor Options'!C138</x:f>
        <x:v>DH</x:v>
      </x:c>
      <x:c r="U138" t="str">
        <x:f>'Vendor Options'!D138</x:f>
        <x:v>CONTINUOUS</x:v>
      </x:c>
      <x:c r="V138" t="str">
        <x:f>'Vendor Options'!E138</x:f>
        <x:v>6'8</x:v>
      </x:c>
      <x:c r="W138" t="n">
        <x:f>'Vendor Options'!F138</x:f>
        <x:v>0</x:v>
      </x:c>
      <x:c r="X138" t="n">
        <x:f>'Vendor Options'!G138</x:f>
        <x:v>0</x:v>
      </x:c>
      <x:c r="Y138" t="n">
        <x:f>'Vendor Options'!H138</x:f>
        <x:v>0</x:v>
      </x:c>
      <x:c r="Z138" t="n">
        <x:f>'Vendor Options'!I138</x:f>
        <x:v>0</x:v>
      </x:c>
      <x:c r="AA138" s="54" t="n">
        <x:f>'Vendor Options'!J138</x:f>
        <x:v>0</x:v>
      </x:c>
      <x:c r="AB138" t="n">
        <x:f>'Vendor Options'!K138</x:f>
        <x:v>0</x:v>
      </x:c>
      <x:c r="AC138" s="57" t="n">
        <x:f>'Vendor Options'!L138</x:f>
        <x:v>0</x:v>
      </x:c>
      <x:c r="AD138" s="57" t="n">
        <x:f>'Vendor Options'!M138</x:f>
        <x:v>0</x:v>
      </x:c>
      <x:c r="AE138" s="54" t="str">
        <x:f>'Vendor Options'!N138</x:f>
      </x:c>
      <x:c r="AF138" t="str">
        <x:f>'Vendor Options'!O138</x:f>
        <x:v>USD</x:v>
      </x:c>
      <x:c r="AG138" t="str">
        <x:f>'Vendor Options'!P138</x:f>
        <x:v>UNPRICED</x:v>
      </x:c>
      <x:c r="AH138" t="str">
        <x:f>'Vendor Options'!Q138</x:f>
        <x:v>REVIEW</x:v>
      </x:c>
      <x:c r="AI138" t="str">
        <x:f>'Vendor Options'!R138</x:f>
        <x:v>MISSING_PRICE; MISSING_PART_NUMBER</x:v>
      </x:c>
      <x:c r="AJ138" t="n">
        <x:f>'Vendor Options'!S138</x:f>
        <x:v>25</x:v>
      </x:c>
    </x:row>
    <x:row r="139" ht="15" hidden="0" customHeight="1">
      <x:c r="A139" t="str">
        <x:f>'Vendor Options'!B139</x:f>
        <x:v>SPEC-4A1D73AE37C6</x:v>
      </x:c>
      <x:c r="B139" t="str">
        <x:f>XLOOKUP($A139,'Specs'!$A$2:$A$164,'Specs'!$B$2:$B$164,"")</x:f>
        <x:v>HINGE</x:v>
      </x:c>
      <x:c r="C139" t="str">
        <x:f>XLOOKUP($A139,'Specs'!$A$2:$A$164,'Specs'!$C$2:$C$164,"")</x:f>
        <x:v>CONTINUOUS HINGE</x:v>
      </x:c>
      <x:c r="D139" t="str">
        <x:f>XLOOKUP($A139,'Specs'!$A$2:$A$164,'Specs'!$D$2:$D$164,"")</x:f>
      </x:c>
      <x:c r="E139" t="str">
        <x:f>XLOOKUP($A139,'Specs'!$A$2:$A$164,'Specs'!$E$2:$E$164,"")</x:f>
        <x:v>FULL SURFACE</x:v>
      </x:c>
      <x:c r="F139" t="str">
        <x:f>XLOOKUP($A139,'Specs'!$A$2:$A$164,'Specs'!$F$2:$F$164,"")</x:f>
        <x:v>NOT APPLICABLE</x:v>
      </x:c>
      <x:c r="G139" t="str">
        <x:f>XLOOKUP($A139,'Specs'!$A$2:$A$164,'Specs'!$G$2:$G$164,"")</x:f>
      </x:c>
      <x:c r="H139" t="str">
        <x:f>XLOOKUP($A139,'Specs'!$A$2:$A$164,'Specs'!$H$2:$H$164,"")</x:f>
      </x:c>
      <x:c r="I139" t="str">
        <x:f>XLOOKUP($A139,'Specs'!$A$2:$A$164,'Specs'!$I$2:$I$164,"")</x:f>
      </x:c>
      <x:c r="J139" t="str">
        <x:f>XLOOKUP($A139,'Specs'!$A$2:$A$164,'Specs'!$J$2:$J$164,"")</x:f>
        <x:v>FULL SURFACE</x:v>
      </x:c>
      <x:c r="K139" t="str">
        <x:f>XLOOKUP($A139,'Specs'!$A$2:$A$164,'Specs'!$K$2:$K$164,"")</x:f>
      </x:c>
      <x:c r="L139" t="str">
        <x:f>XLOOKUP($A139,'Specs'!$A$2:$A$164,'Specs'!$L$2:$L$164,"")</x:f>
      </x:c>
      <x:c r="M139" t="str">
        <x:f>XLOOKUP($A139,'Specs'!$A$2:$A$164,'Specs'!$M$2:$M$164,"")</x:f>
        <x:v>CLEAR ANODIZED</x:v>
      </x:c>
      <x:c r="N139" t="str">
        <x:f>XLOOKUP($A139,'Specs'!$A$2:$A$164,'Specs'!$N$2:$N$164,"")</x:f>
      </x:c>
      <x:c r="O139" t="str">
        <x:f>XLOOKUP($A139,'Specs'!$A$2:$A$164,'Specs'!$O$2:$O$164,"")</x:f>
      </x:c>
      <x:c r="P139" t="str">
        <x:f>XLOOKUP($A139,'Specs'!$A$2:$A$164,'Specs'!$P$2:$P$164,"")</x:f>
        <x:v>MEDIUM</x:v>
      </x:c>
      <x:c r="Q139" s="53" t="n">
        <x:f>XLOOKUP($A139,'Specs'!$A$2:$A$164,'Specs'!$Q$2:$Q$164,"")</x:f>
        <x:v>3</x:v>
      </x:c>
      <x:c r="R139" s="53" t="n">
        <x:f>XLOOKUP($A139,'Specs'!$A$2:$A$164,'Specs'!$R$2:$R$164,"")</x:f>
        <x:v>1</x:v>
      </x:c>
      <x:c r="S139" t="str">
        <x:f>'Vendor Options'!A139</x:f>
        <x:v>OFFER-71EC4D0EBCD3</x:v>
      </x:c>
      <x:c r="T139" t="str">
        <x:f>'Vendor Options'!C139</x:f>
        <x:v>ABH</x:v>
      </x:c>
      <x:c r="U139" t="str">
        <x:f>'Vendor Options'!D139</x:f>
        <x:v>CONTINUOUS</x:v>
      </x:c>
      <x:c r="V139" t="str">
        <x:f>'Vendor Options'!E139</x:f>
        <x:v>8'</x:v>
      </x:c>
      <x:c r="W139" t="n">
        <x:f>'Vendor Options'!F139</x:f>
        <x:v>0</x:v>
      </x:c>
      <x:c r="X139" t="n">
        <x:f>'Vendor Options'!G139</x:f>
        <x:v>0</x:v>
      </x:c>
      <x:c r="Y139" t="n">
        <x:f>'Vendor Options'!H139</x:f>
        <x:v>0</x:v>
      </x:c>
      <x:c r="Z139" t="n">
        <x:f>'Vendor Options'!I139</x:f>
        <x:v>0</x:v>
      </x:c>
      <x:c r="AA139" s="54" t="n">
        <x:f>'Vendor Options'!J139</x:f>
        <x:v>0</x:v>
      </x:c>
      <x:c r="AB139" t="n">
        <x:f>'Vendor Options'!K139</x:f>
        <x:v>0</x:v>
      </x:c>
      <x:c r="AC139" s="57" t="n">
        <x:f>'Vendor Options'!L139</x:f>
        <x:v>0</x:v>
      </x:c>
      <x:c r="AD139" s="57" t="n">
        <x:f>'Vendor Options'!M139</x:f>
        <x:v>0</x:v>
      </x:c>
      <x:c r="AE139" s="54" t="str">
        <x:f>'Vendor Options'!N139</x:f>
      </x:c>
      <x:c r="AF139" t="str">
        <x:f>'Vendor Options'!O139</x:f>
        <x:v>USD</x:v>
      </x:c>
      <x:c r="AG139" t="str">
        <x:f>'Vendor Options'!P139</x:f>
        <x:v>UNPRICED</x:v>
      </x:c>
      <x:c r="AH139" t="str">
        <x:f>'Vendor Options'!Q139</x:f>
        <x:v>REVIEW</x:v>
      </x:c>
      <x:c r="AI139" t="str">
        <x:f>'Vendor Options'!R139</x:f>
        <x:v>MISSING_PRICE; MISSING_PART_NUMBER</x:v>
      </x:c>
      <x:c r="AJ139" t="n">
        <x:f>'Vendor Options'!S139</x:f>
        <x:v>17</x:v>
      </x:c>
    </x:row>
    <x:row r="140" ht="15" hidden="0" customHeight="1">
      <x:c r="A140" t="str">
        <x:f>'Vendor Options'!B140</x:f>
        <x:v>SPEC-4A1D73AE37C6</x:v>
      </x:c>
      <x:c r="B140" t="str">
        <x:f>XLOOKUP($A140,'Specs'!$A$2:$A$164,'Specs'!$B$2:$B$164,"")</x:f>
        <x:v>HINGE</x:v>
      </x:c>
      <x:c r="C140" t="str">
        <x:f>XLOOKUP($A140,'Specs'!$A$2:$A$164,'Specs'!$C$2:$C$164,"")</x:f>
        <x:v>CONTINUOUS HINGE</x:v>
      </x:c>
      <x:c r="D140" t="str">
        <x:f>XLOOKUP($A140,'Specs'!$A$2:$A$164,'Specs'!$D$2:$D$164,"")</x:f>
      </x:c>
      <x:c r="E140" t="str">
        <x:f>XLOOKUP($A140,'Specs'!$A$2:$A$164,'Specs'!$E$2:$E$164,"")</x:f>
        <x:v>FULL SURFACE</x:v>
      </x:c>
      <x:c r="F140" t="str">
        <x:f>XLOOKUP($A140,'Specs'!$A$2:$A$164,'Specs'!$F$2:$F$164,"")</x:f>
        <x:v>NOT APPLICABLE</x:v>
      </x:c>
      <x:c r="G140" t="str">
        <x:f>XLOOKUP($A140,'Specs'!$A$2:$A$164,'Specs'!$G$2:$G$164,"")</x:f>
      </x:c>
      <x:c r="H140" t="str">
        <x:f>XLOOKUP($A140,'Specs'!$A$2:$A$164,'Specs'!$H$2:$H$164,"")</x:f>
      </x:c>
      <x:c r="I140" t="str">
        <x:f>XLOOKUP($A140,'Specs'!$A$2:$A$164,'Specs'!$I$2:$I$164,"")</x:f>
      </x:c>
      <x:c r="J140" t="str">
        <x:f>XLOOKUP($A140,'Specs'!$A$2:$A$164,'Specs'!$J$2:$J$164,"")</x:f>
        <x:v>FULL SURFACE</x:v>
      </x:c>
      <x:c r="K140" t="str">
        <x:f>XLOOKUP($A140,'Specs'!$A$2:$A$164,'Specs'!$K$2:$K$164,"")</x:f>
      </x:c>
      <x:c r="L140" t="str">
        <x:f>XLOOKUP($A140,'Specs'!$A$2:$A$164,'Specs'!$L$2:$L$164,"")</x:f>
      </x:c>
      <x:c r="M140" t="str">
        <x:f>XLOOKUP($A140,'Specs'!$A$2:$A$164,'Specs'!$M$2:$M$164,"")</x:f>
        <x:v>CLEAR ANODIZED</x:v>
      </x:c>
      <x:c r="N140" t="str">
        <x:f>XLOOKUP($A140,'Specs'!$A$2:$A$164,'Specs'!$N$2:$N$164,"")</x:f>
      </x:c>
      <x:c r="O140" t="str">
        <x:f>XLOOKUP($A140,'Specs'!$A$2:$A$164,'Specs'!$O$2:$O$164,"")</x:f>
      </x:c>
      <x:c r="P140" t="str">
        <x:f>XLOOKUP($A140,'Specs'!$A$2:$A$164,'Specs'!$P$2:$P$164,"")</x:f>
        <x:v>MEDIUM</x:v>
      </x:c>
      <x:c r="Q140" s="53" t="n">
        <x:f>XLOOKUP($A140,'Specs'!$A$2:$A$164,'Specs'!$Q$2:$Q$164,"")</x:f>
        <x:v>3</x:v>
      </x:c>
      <x:c r="R140" s="53" t="n">
        <x:f>XLOOKUP($A140,'Specs'!$A$2:$A$164,'Specs'!$R$2:$R$164,"")</x:f>
        <x:v>1</x:v>
      </x:c>
      <x:c r="S140" t="str">
        <x:f>'Vendor Options'!A140</x:f>
        <x:v>OFFER-914F68DB47B5</x:v>
      </x:c>
      <x:c r="T140" t="str">
        <x:f>'Vendor Options'!C140</x:f>
        <x:v>ABH</x:v>
      </x:c>
      <x:c r="U140" t="str">
        <x:f>'Vendor Options'!D140</x:f>
        <x:v>CONTINUOUS</x:v>
      </x:c>
      <x:c r="V140" t="str">
        <x:f>'Vendor Options'!E140</x:f>
        <x:v>7'</x:v>
      </x:c>
      <x:c r="W140" t="n">
        <x:f>'Vendor Options'!F140</x:f>
        <x:v>0</x:v>
      </x:c>
      <x:c r="X140" t="n">
        <x:f>'Vendor Options'!G140</x:f>
        <x:v>0</x:v>
      </x:c>
      <x:c r="Y140" t="n">
        <x:f>'Vendor Options'!H140</x:f>
        <x:v>0</x:v>
      </x:c>
      <x:c r="Z140" t="n">
        <x:f>'Vendor Options'!I140</x:f>
        <x:v>0</x:v>
      </x:c>
      <x:c r="AA140" s="54" t="n">
        <x:f>'Vendor Options'!J140</x:f>
        <x:v>0</x:v>
      </x:c>
      <x:c r="AB140" t="n">
        <x:f>'Vendor Options'!K140</x:f>
        <x:v>0</x:v>
      </x:c>
      <x:c r="AC140" s="57" t="n">
        <x:f>'Vendor Options'!L140</x:f>
        <x:v>0</x:v>
      </x:c>
      <x:c r="AD140" s="57" t="n">
        <x:f>'Vendor Options'!M140</x:f>
        <x:v>0</x:v>
      </x:c>
      <x:c r="AE140" s="54" t="str">
        <x:f>'Vendor Options'!N140</x:f>
      </x:c>
      <x:c r="AF140" t="str">
        <x:f>'Vendor Options'!O140</x:f>
        <x:v>USD</x:v>
      </x:c>
      <x:c r="AG140" t="str">
        <x:f>'Vendor Options'!P140</x:f>
        <x:v>UNPRICED</x:v>
      </x:c>
      <x:c r="AH140" t="str">
        <x:f>'Vendor Options'!Q140</x:f>
        <x:v>REVIEW</x:v>
      </x:c>
      <x:c r="AI140" t="str">
        <x:f>'Vendor Options'!R140</x:f>
        <x:v>MISSING_PRICE; MISSING_PART_NUMBER</x:v>
      </x:c>
      <x:c r="AJ140" t="n">
        <x:f>'Vendor Options'!S140</x:f>
        <x:v>18</x:v>
      </x:c>
    </x:row>
    <x:row r="141" ht="15" hidden="0" customHeight="1">
      <x:c r="A141" t="str">
        <x:f>'Vendor Options'!B141</x:f>
        <x:v>SPEC-4A1D73AE37C6</x:v>
      </x:c>
      <x:c r="B141" t="str">
        <x:f>XLOOKUP($A141,'Specs'!$A$2:$A$164,'Specs'!$B$2:$B$164,"")</x:f>
        <x:v>HINGE</x:v>
      </x:c>
      <x:c r="C141" t="str">
        <x:f>XLOOKUP($A141,'Specs'!$A$2:$A$164,'Specs'!$C$2:$C$164,"")</x:f>
        <x:v>CONTINUOUS HINGE</x:v>
      </x:c>
      <x:c r="D141" t="str">
        <x:f>XLOOKUP($A141,'Specs'!$A$2:$A$164,'Specs'!$D$2:$D$164,"")</x:f>
      </x:c>
      <x:c r="E141" t="str">
        <x:f>XLOOKUP($A141,'Specs'!$A$2:$A$164,'Specs'!$E$2:$E$164,"")</x:f>
        <x:v>FULL SURFACE</x:v>
      </x:c>
      <x:c r="F141" t="str">
        <x:f>XLOOKUP($A141,'Specs'!$A$2:$A$164,'Specs'!$F$2:$F$164,"")</x:f>
        <x:v>NOT APPLICABLE</x:v>
      </x:c>
      <x:c r="G141" t="str">
        <x:f>XLOOKUP($A141,'Specs'!$A$2:$A$164,'Specs'!$G$2:$G$164,"")</x:f>
      </x:c>
      <x:c r="H141" t="str">
        <x:f>XLOOKUP($A141,'Specs'!$A$2:$A$164,'Specs'!$H$2:$H$164,"")</x:f>
      </x:c>
      <x:c r="I141" t="str">
        <x:f>XLOOKUP($A141,'Specs'!$A$2:$A$164,'Specs'!$I$2:$I$164,"")</x:f>
      </x:c>
      <x:c r="J141" t="str">
        <x:f>XLOOKUP($A141,'Specs'!$A$2:$A$164,'Specs'!$J$2:$J$164,"")</x:f>
        <x:v>FULL SURFACE</x:v>
      </x:c>
      <x:c r="K141" t="str">
        <x:f>XLOOKUP($A141,'Specs'!$A$2:$A$164,'Specs'!$K$2:$K$164,"")</x:f>
      </x:c>
      <x:c r="L141" t="str">
        <x:f>XLOOKUP($A141,'Specs'!$A$2:$A$164,'Specs'!$L$2:$L$164,"")</x:f>
      </x:c>
      <x:c r="M141" t="str">
        <x:f>XLOOKUP($A141,'Specs'!$A$2:$A$164,'Specs'!$M$2:$M$164,"")</x:f>
        <x:v>CLEAR ANODIZED</x:v>
      </x:c>
      <x:c r="N141" t="str">
        <x:f>XLOOKUP($A141,'Specs'!$A$2:$A$164,'Specs'!$N$2:$N$164,"")</x:f>
      </x:c>
      <x:c r="O141" t="str">
        <x:f>XLOOKUP($A141,'Specs'!$A$2:$A$164,'Specs'!$O$2:$O$164,"")</x:f>
      </x:c>
      <x:c r="P141" t="str">
        <x:f>XLOOKUP($A141,'Specs'!$A$2:$A$164,'Specs'!$P$2:$P$164,"")</x:f>
        <x:v>MEDIUM</x:v>
      </x:c>
      <x:c r="Q141" s="53" t="n">
        <x:f>XLOOKUP($A141,'Specs'!$A$2:$A$164,'Specs'!$Q$2:$Q$164,"")</x:f>
        <x:v>3</x:v>
      </x:c>
      <x:c r="R141" s="53" t="n">
        <x:f>XLOOKUP($A141,'Specs'!$A$2:$A$164,'Specs'!$R$2:$R$164,"")</x:f>
        <x:v>1</x:v>
      </x:c>
      <x:c r="S141" t="str">
        <x:f>'Vendor Options'!A141</x:f>
        <x:v>OFFER-F1B38E8F678D</x:v>
      </x:c>
      <x:c r="T141" t="str">
        <x:f>'Vendor Options'!C141</x:f>
        <x:v>ABH</x:v>
      </x:c>
      <x:c r="U141" t="str">
        <x:f>'Vendor Options'!D141</x:f>
        <x:v>CONTINUOUS</x:v>
      </x:c>
      <x:c r="V141" t="str">
        <x:f>'Vendor Options'!E141</x:f>
        <x:v>FULL SURF</x:v>
      </x:c>
      <x:c r="W141" t="n">
        <x:f>'Vendor Options'!F141</x:f>
        <x:v>0</x:v>
      </x:c>
      <x:c r="X141" t="n">
        <x:f>'Vendor Options'!G141</x:f>
        <x:v>0</x:v>
      </x:c>
      <x:c r="Y141" t="n">
        <x:f>'Vendor Options'!H141</x:f>
        <x:v>0</x:v>
      </x:c>
      <x:c r="Z141" t="n">
        <x:f>'Vendor Options'!I141</x:f>
        <x:v>0</x:v>
      </x:c>
      <x:c r="AA141" s="54" t="n">
        <x:f>'Vendor Options'!J141</x:f>
        <x:v>0</x:v>
      </x:c>
      <x:c r="AB141" t="n">
        <x:f>'Vendor Options'!K141</x:f>
        <x:v>0</x:v>
      </x:c>
      <x:c r="AC141" s="57" t="n">
        <x:f>'Vendor Options'!L141</x:f>
        <x:v>0</x:v>
      </x:c>
      <x:c r="AD141" s="57" t="n">
        <x:f>'Vendor Options'!M141</x:f>
        <x:v>0</x:v>
      </x:c>
      <x:c r="AE141" s="54" t="str">
        <x:f>'Vendor Options'!N141</x:f>
      </x:c>
      <x:c r="AF141" t="str">
        <x:f>'Vendor Options'!O141</x:f>
        <x:v>USD</x:v>
      </x:c>
      <x:c r="AG141" t="str">
        <x:f>'Vendor Options'!P141</x:f>
        <x:v>UNPRICED</x:v>
      </x:c>
      <x:c r="AH141" t="str">
        <x:f>'Vendor Options'!Q141</x:f>
        <x:v>REVIEW</x:v>
      </x:c>
      <x:c r="AI141" t="str">
        <x:f>'Vendor Options'!R141</x:f>
        <x:v>MISSING_PRICE; MISSING_PART_NUMBER</x:v>
      </x:c>
      <x:c r="AJ141" t="n">
        <x:f>'Vendor Options'!S141</x:f>
        <x:v>21</x:v>
      </x:c>
    </x:row>
    <x:row r="142" ht="15" hidden="0" customHeight="1">
      <x:c r="A142" t="str">
        <x:f>'Vendor Options'!B142</x:f>
        <x:v>SPEC-297A925280A3</x:v>
      </x:c>
      <x:c r="B142" t="str">
        <x:f>XLOOKUP($A142,'Specs'!$A$2:$A$164,'Specs'!$B$2:$B$164,"")</x:f>
        <x:v>HINGE</x:v>
      </x:c>
      <x:c r="C142" t="str">
        <x:f>XLOOKUP($A142,'Specs'!$A$2:$A$164,'Specs'!$C$2:$C$164,"")</x:f>
        <x:v>CONTINUOUS HINGE</x:v>
      </x:c>
      <x:c r="D142" t="str">
        <x:f>XLOOKUP($A142,'Specs'!$A$2:$A$164,'Specs'!$D$2:$D$164,"")</x:f>
      </x:c>
      <x:c r="E142" t="str">
        <x:f>XLOOKUP($A142,'Specs'!$A$2:$A$164,'Specs'!$E$2:$E$164,"")</x:f>
        <x:v>FULL SURFACE</x:v>
      </x:c>
      <x:c r="F142" t="str">
        <x:f>XLOOKUP($A142,'Specs'!$A$2:$A$164,'Specs'!$F$2:$F$164,"")</x:f>
        <x:v>NOT APPLICABLE</x:v>
      </x:c>
      <x:c r="G142" t="str">
        <x:f>XLOOKUP($A142,'Specs'!$A$2:$A$164,'Specs'!$G$2:$G$164,"")</x:f>
        <x:v>6'8"</x:v>
      </x:c>
      <x:c r="H142" t="str">
        <x:f>XLOOKUP($A142,'Specs'!$A$2:$A$164,'Specs'!$H$2:$H$164,"")</x:f>
      </x:c>
      <x:c r="I142" t="str">
        <x:f>XLOOKUP($A142,'Specs'!$A$2:$A$164,'Specs'!$I$2:$I$164,"")</x:f>
      </x:c>
      <x:c r="J142" t="str">
        <x:f>XLOOKUP($A142,'Specs'!$A$2:$A$164,'Specs'!$J$2:$J$164,"")</x:f>
        <x:v>FULL SURFACE</x:v>
      </x:c>
      <x:c r="K142" t="str">
        <x:f>XLOOKUP($A142,'Specs'!$A$2:$A$164,'Specs'!$K$2:$K$164,"")</x:f>
      </x:c>
      <x:c r="L142" t="str">
        <x:f>XLOOKUP($A142,'Specs'!$A$2:$A$164,'Specs'!$L$2:$L$164,"")</x:f>
      </x:c>
      <x:c r="M142" t="str">
        <x:f>XLOOKUP($A142,'Specs'!$A$2:$A$164,'Specs'!$M$2:$M$164,"")</x:f>
        <x:v>CLEAR ANODIZED</x:v>
      </x:c>
      <x:c r="N142" t="str">
        <x:f>XLOOKUP($A142,'Specs'!$A$2:$A$164,'Specs'!$N$2:$N$164,"")</x:f>
      </x:c>
      <x:c r="O142" t="str">
        <x:f>XLOOKUP($A142,'Specs'!$A$2:$A$164,'Specs'!$O$2:$O$164,"")</x:f>
      </x:c>
      <x:c r="P142" t="str">
        <x:f>XLOOKUP($A142,'Specs'!$A$2:$A$164,'Specs'!$P$2:$P$164,"")</x:f>
        <x:v>HIGH</x:v>
      </x:c>
      <x:c r="Q142" s="53" t="n">
        <x:f>XLOOKUP($A142,'Specs'!$A$2:$A$164,'Specs'!$Q$2:$Q$164,"")</x:f>
        <x:v>1</x:v>
      </x:c>
      <x:c r="R142" s="53" t="n">
        <x:f>XLOOKUP($A142,'Specs'!$A$2:$A$164,'Specs'!$R$2:$R$164,"")</x:f>
        <x:v>1</x:v>
      </x:c>
      <x:c r="S142" t="str">
        <x:f>'Vendor Options'!A142</x:f>
        <x:v>OFFER-8BD47D058332</x:v>
      </x:c>
      <x:c r="T142" t="str">
        <x:f>'Vendor Options'!C142</x:f>
        <x:v>ABH</x:v>
      </x:c>
      <x:c r="U142" t="str">
        <x:f>'Vendor Options'!D142</x:f>
        <x:v>CONTINUOUS</x:v>
      </x:c>
      <x:c r="V142" t="str">
        <x:f>'Vendor Options'!E142</x:f>
        <x:v>6'8</x:v>
      </x:c>
      <x:c r="W142" t="str">
        <x:f>'Vendor Options'!F142</x:f>
      </x:c>
      <x:c r="X142" t="str">
        <x:f>'Vendor Options'!G142</x:f>
      </x:c>
      <x:c r="Y142" t="n">
        <x:f>'Vendor Options'!H142</x:f>
        <x:v>0</x:v>
      </x:c>
      <x:c r="Z142" t="n">
        <x:f>'Vendor Options'!I142</x:f>
        <x:v>0</x:v>
      </x:c>
      <x:c r="AA142" s="54" t="n">
        <x:f>'Vendor Options'!J142</x:f>
        <x:v>0</x:v>
      </x:c>
      <x:c r="AB142" t="n">
        <x:f>'Vendor Options'!K142</x:f>
        <x:v>0</x:v>
      </x:c>
      <x:c r="AC142" s="57" t="n">
        <x:f>'Vendor Options'!L142</x:f>
        <x:v>0</x:v>
      </x:c>
      <x:c r="AD142" s="57" t="n">
        <x:f>'Vendor Options'!M142</x:f>
        <x:v>0</x:v>
      </x:c>
      <x:c r="AE142" s="54" t="str">
        <x:f>'Vendor Options'!N142</x:f>
      </x:c>
      <x:c r="AF142" t="str">
        <x:f>'Vendor Options'!O142</x:f>
        <x:v>USD</x:v>
      </x:c>
      <x:c r="AG142" t="str">
        <x:f>'Vendor Options'!P142</x:f>
        <x:v>UNPRICED</x:v>
      </x:c>
      <x:c r="AH142" t="str">
        <x:f>'Vendor Options'!Q142</x:f>
        <x:v>REVIEW</x:v>
      </x:c>
      <x:c r="AI142" t="str">
        <x:f>'Vendor Options'!R142</x:f>
        <x:v>MISSING_PRICE; MISSING_PART_NUMBER</x:v>
      </x:c>
      <x:c r="AJ142" t="n">
        <x:f>'Vendor Options'!S142</x:f>
        <x:v>19</x:v>
      </x:c>
    </x:row>
    <x:row r="143" ht="15" hidden="0" customHeight="1">
      <x:c r="A143" t="str">
        <x:f>'Vendor Options'!B143</x:f>
        <x:v>SPEC-6525459ED4F5</x:v>
      </x:c>
      <x:c r="B143" t="str">
        <x:f>XLOOKUP($A143,'Specs'!$A$2:$A$164,'Specs'!$B$2:$B$164,"")</x:f>
        <x:v>HINGE</x:v>
      </x:c>
      <x:c r="C143" t="str">
        <x:f>XLOOKUP($A143,'Specs'!$A$2:$A$164,'Specs'!$C$2:$C$164,"")</x:f>
        <x:v>CONTINUOUS PIN HINGE</x:v>
      </x:c>
      <x:c r="D143" t="str">
        <x:f>XLOOKUP($A143,'Specs'!$A$2:$A$164,'Specs'!$D$2:$D$164,"")</x:f>
      </x:c>
      <x:c r="E143" t="str">
        <x:f>XLOOKUP($A143,'Specs'!$A$2:$A$164,'Specs'!$E$2:$E$164,"")</x:f>
        <x:v>FULL MORTISE</x:v>
      </x:c>
      <x:c r="F143" t="str">
        <x:f>XLOOKUP($A143,'Specs'!$A$2:$A$164,'Specs'!$F$2:$F$164,"")</x:f>
        <x:v>NOT APPLICABLE</x:v>
      </x:c>
      <x:c r="G143" t="str">
        <x:f>XLOOKUP($A143,'Specs'!$A$2:$A$164,'Specs'!$G$2:$G$164,"")</x:f>
      </x:c>
      <x:c r="H143" t="str">
        <x:f>XLOOKUP($A143,'Specs'!$A$2:$A$164,'Specs'!$H$2:$H$164,"")</x:f>
      </x:c>
      <x:c r="I143" t="str">
        <x:f>XLOOKUP($A143,'Specs'!$A$2:$A$164,'Specs'!$I$2:$I$164,"")</x:f>
      </x:c>
      <x:c r="J143" t="str">
        <x:f>XLOOKUP($A143,'Specs'!$A$2:$A$164,'Specs'!$J$2:$J$164,"")</x:f>
        <x:v>FULL MORTISE</x:v>
      </x:c>
      <x:c r="K143" t="str">
        <x:f>XLOOKUP($A143,'Specs'!$A$2:$A$164,'Specs'!$K$2:$K$164,"")</x:f>
        <x:v>12 GAUGE</x:v>
      </x:c>
      <x:c r="L143" t="str">
        <x:f>XLOOKUP($A143,'Specs'!$A$2:$A$164,'Specs'!$L$2:$L$164,"")</x:f>
        <x:v>304 STAINLESS STEEL</x:v>
      </x:c>
      <x:c r="M143" t="str">
        <x:f>XLOOKUP($A143,'Specs'!$A$2:$A$164,'Specs'!$M$2:$M$164,"")</x:f>
      </x:c>
      <x:c r="N143" t="str">
        <x:f>XLOOKUP($A143,'Specs'!$A$2:$A$164,'Specs'!$N$2:$N$164,"")</x:f>
      </x:c>
      <x:c r="O143" t="str">
        <x:f>XLOOKUP($A143,'Specs'!$A$2:$A$164,'Specs'!$O$2:$O$164,"")</x:f>
        <x:v>3 x 04 GA WIRE</x:v>
      </x:c>
      <x:c r="P143" t="str">
        <x:f>XLOOKUP($A143,'Specs'!$A$2:$A$164,'Specs'!$P$2:$P$164,"")</x:f>
        <x:v>MEDIUM</x:v>
      </x:c>
      <x:c r="Q143" s="53" t="n">
        <x:f>XLOOKUP($A143,'Specs'!$A$2:$A$164,'Specs'!$Q$2:$Q$164,"")</x:f>
        <x:v>2</x:v>
      </x:c>
      <x:c r="R143" s="53" t="n">
        <x:f>XLOOKUP($A143,'Specs'!$A$2:$A$164,'Specs'!$R$2:$R$164,"")</x:f>
        <x:v>1</x:v>
      </x:c>
      <x:c r="S143" t="str">
        <x:f>'Vendor Options'!A143</x:f>
        <x:v>OFFER-3F19711692CF</x:v>
      </x:c>
      <x:c r="T143" t="str">
        <x:f>'Vendor Options'!C143</x:f>
        <x:v>ABH</x:v>
      </x:c>
      <x:c r="U143" t="str">
        <x:f>'Vendor Options'!D143</x:f>
        <x:v>CONTINUOS PIN</x:v>
      </x:c>
      <x:c r="V143" t="str">
        <x:f>'Vendor Options'!E143</x:f>
        <x:v>7'</x:v>
      </x:c>
      <x:c r="W143" t="n">
        <x:f>'Vendor Options'!F143</x:f>
        <x:v>0</x:v>
      </x:c>
      <x:c r="X143" t="str">
        <x:f>'Vendor Options'!G143</x:f>
        <x:v>A5500</x:v>
      </x:c>
      <x:c r="Y143" t="str">
        <x:f>'Vendor Options'!H143</x:f>
        <x:v>A5500</x:v>
      </x:c>
      <x:c r="Z143" t="n">
        <x:f>'Vendor Options'!I143</x:f>
        <x:v>0</x:v>
      </x:c>
      <x:c r="AA143" s="54" t="n">
        <x:f>'Vendor Options'!J143</x:f>
        <x:v>0</x:v>
      </x:c>
      <x:c r="AB143" t="n">
        <x:f>'Vendor Options'!K143</x:f>
        <x:v>0</x:v>
      </x:c>
      <x:c r="AC143" s="57" t="n">
        <x:f>'Vendor Options'!L143</x:f>
        <x:v>0</x:v>
      </x:c>
      <x:c r="AD143" s="57" t="n">
        <x:f>'Vendor Options'!M143</x:f>
        <x:v>0</x:v>
      </x:c>
      <x:c r="AE143" s="54" t="str">
        <x:f>'Vendor Options'!N143</x:f>
      </x:c>
      <x:c r="AF143" t="str">
        <x:f>'Vendor Options'!O143</x:f>
        <x:v>USD</x:v>
      </x:c>
      <x:c r="AG143" t="str">
        <x:f>'Vendor Options'!P143</x:f>
        <x:v>UNPRICED</x:v>
      </x:c>
      <x:c r="AH143" t="str">
        <x:f>'Vendor Options'!Q143</x:f>
        <x:v>ACTIVE</x:v>
      </x:c>
      <x:c r="AI143" t="str">
        <x:f>'Vendor Options'!R143</x:f>
        <x:v>MISSING_PRICE</x:v>
      </x:c>
      <x:c r="AJ143" t="n">
        <x:f>'Vendor Options'!S143</x:f>
        <x:v>28</x:v>
      </x:c>
    </x:row>
    <x:row r="144" ht="15" hidden="0" customHeight="1">
      <x:c r="A144" t="str">
        <x:f>'Vendor Options'!B144</x:f>
        <x:v>SPEC-6525459ED4F5</x:v>
      </x:c>
      <x:c r="B144" t="str">
        <x:f>XLOOKUP($A144,'Specs'!$A$2:$A$164,'Specs'!$B$2:$B$164,"")</x:f>
        <x:v>HINGE</x:v>
      </x:c>
      <x:c r="C144" t="str">
        <x:f>XLOOKUP($A144,'Specs'!$A$2:$A$164,'Specs'!$C$2:$C$164,"")</x:f>
        <x:v>CONTINUOUS PIN HINGE</x:v>
      </x:c>
      <x:c r="D144" t="str">
        <x:f>XLOOKUP($A144,'Specs'!$A$2:$A$164,'Specs'!$D$2:$D$164,"")</x:f>
      </x:c>
      <x:c r="E144" t="str">
        <x:f>XLOOKUP($A144,'Specs'!$A$2:$A$164,'Specs'!$E$2:$E$164,"")</x:f>
        <x:v>FULL MORTISE</x:v>
      </x:c>
      <x:c r="F144" t="str">
        <x:f>XLOOKUP($A144,'Specs'!$A$2:$A$164,'Specs'!$F$2:$F$164,"")</x:f>
        <x:v>NOT APPLICABLE</x:v>
      </x:c>
      <x:c r="G144" t="str">
        <x:f>XLOOKUP($A144,'Specs'!$A$2:$A$164,'Specs'!$G$2:$G$164,"")</x:f>
      </x:c>
      <x:c r="H144" t="str">
        <x:f>XLOOKUP($A144,'Specs'!$A$2:$A$164,'Specs'!$H$2:$H$164,"")</x:f>
      </x:c>
      <x:c r="I144" t="str">
        <x:f>XLOOKUP($A144,'Specs'!$A$2:$A$164,'Specs'!$I$2:$I$164,"")</x:f>
      </x:c>
      <x:c r="J144" t="str">
        <x:f>XLOOKUP($A144,'Specs'!$A$2:$A$164,'Specs'!$J$2:$J$164,"")</x:f>
        <x:v>FULL MORTISE</x:v>
      </x:c>
      <x:c r="K144" t="str">
        <x:f>XLOOKUP($A144,'Specs'!$A$2:$A$164,'Specs'!$K$2:$K$164,"")</x:f>
        <x:v>12 GAUGE</x:v>
      </x:c>
      <x:c r="L144" t="str">
        <x:f>XLOOKUP($A144,'Specs'!$A$2:$A$164,'Specs'!$L$2:$L$164,"")</x:f>
        <x:v>304 STAINLESS STEEL</x:v>
      </x:c>
      <x:c r="M144" t="str">
        <x:f>XLOOKUP($A144,'Specs'!$A$2:$A$164,'Specs'!$M$2:$M$164,"")</x:f>
      </x:c>
      <x:c r="N144" t="str">
        <x:f>XLOOKUP($A144,'Specs'!$A$2:$A$164,'Specs'!$N$2:$N$164,"")</x:f>
      </x:c>
      <x:c r="O144" t="str">
        <x:f>XLOOKUP($A144,'Specs'!$A$2:$A$164,'Specs'!$O$2:$O$164,"")</x:f>
        <x:v>3 x 04 GA WIRE</x:v>
      </x:c>
      <x:c r="P144" t="str">
        <x:f>XLOOKUP($A144,'Specs'!$A$2:$A$164,'Specs'!$P$2:$P$164,"")</x:f>
        <x:v>MEDIUM</x:v>
      </x:c>
      <x:c r="Q144" s="53" t="n">
        <x:f>XLOOKUP($A144,'Specs'!$A$2:$A$164,'Specs'!$Q$2:$Q$164,"")</x:f>
        <x:v>2</x:v>
      </x:c>
      <x:c r="R144" s="53" t="n">
        <x:f>XLOOKUP($A144,'Specs'!$A$2:$A$164,'Specs'!$R$2:$R$164,"")</x:f>
        <x:v>1</x:v>
      </x:c>
      <x:c r="S144" t="str">
        <x:f>'Vendor Options'!A144</x:f>
        <x:v>OFFER-938E2254B25D</x:v>
      </x:c>
      <x:c r="T144" t="str">
        <x:f>'Vendor Options'!C144</x:f>
        <x:v>ABH</x:v>
      </x:c>
      <x:c r="U144" t="str">
        <x:f>'Vendor Options'!D144</x:f>
        <x:v>CONTINUOS PIN</x:v>
      </x:c>
      <x:c r="V144" t="str">
        <x:f>'Vendor Options'!E144</x:f>
        <x:v>8'</x:v>
      </x:c>
      <x:c r="W144" t="str">
        <x:f>'Vendor Options'!F144</x:f>
      </x:c>
      <x:c r="X144" t="str">
        <x:f>'Vendor Options'!G144</x:f>
      </x:c>
      <x:c r="Y144" t="str">
        <x:f>'Vendor Options'!H144</x:f>
      </x:c>
      <x:c r="Z144" t="n">
        <x:f>'Vendor Options'!I144</x:f>
        <x:v>0</x:v>
      </x:c>
      <x:c r="AA144" s="54" t="n">
        <x:f>'Vendor Options'!J144</x:f>
        <x:v>0</x:v>
      </x:c>
      <x:c r="AB144" t="n">
        <x:f>'Vendor Options'!K144</x:f>
        <x:v>0</x:v>
      </x:c>
      <x:c r="AC144" s="57" t="n">
        <x:f>'Vendor Options'!L144</x:f>
        <x:v>0</x:v>
      </x:c>
      <x:c r="AD144" s="57" t="n">
        <x:f>'Vendor Options'!M144</x:f>
        <x:v>0</x:v>
      </x:c>
      <x:c r="AE144" s="54" t="str">
        <x:f>'Vendor Options'!N144</x:f>
      </x:c>
      <x:c r="AF144" t="str">
        <x:f>'Vendor Options'!O144</x:f>
        <x:v>USD</x:v>
      </x:c>
      <x:c r="AG144" t="str">
        <x:f>'Vendor Options'!P144</x:f>
        <x:v>UNPRICED</x:v>
      </x:c>
      <x:c r="AH144" t="str">
        <x:f>'Vendor Options'!Q144</x:f>
        <x:v>REVIEW</x:v>
      </x:c>
      <x:c r="AI144" t="str">
        <x:f>'Vendor Options'!R144</x:f>
        <x:v>MISSING_PRICE; MISSING_PART_NUMBER</x:v>
      </x:c>
      <x:c r="AJ144" t="n">
        <x:f>'Vendor Options'!S144</x:f>
        <x:v>29</x:v>
      </x:c>
    </x:row>
    <x:row r="145" ht="15" hidden="0" customHeight="1">
      <x:c r="A145" t="str">
        <x:f>'Vendor Options'!B145</x:f>
        <x:v>SPEC-5580B38FF507</x:v>
      </x:c>
      <x:c r="B145" t="str">
        <x:f>XLOOKUP($A145,'Specs'!$A$2:$A$164,'Specs'!$B$2:$B$164,"")</x:f>
        <x:v>HINGE</x:v>
      </x:c>
      <x:c r="C145" t="str">
        <x:f>XLOOKUP($A145,'Specs'!$A$2:$A$164,'Specs'!$C$2:$C$164,"")</x:f>
        <x:v>HEAVY WEIGHT BUTT HINGE</x:v>
      </x:c>
      <x:c r="D145" t="str">
        <x:f>XLOOKUP($A145,'Specs'!$A$2:$A$164,'Specs'!$D$2:$D$164,"")</x:f>
      </x:c>
      <x:c r="E145" t="str">
        <x:f>XLOOKUP($A145,'Specs'!$A$2:$A$164,'Specs'!$E$2:$E$164,"")</x:f>
        <x:v>NON-REMOVABLE PIN</x:v>
      </x:c>
      <x:c r="F145" t="str">
        <x:f>XLOOKUP($A145,'Specs'!$A$2:$A$164,'Specs'!$F$2:$F$164,"")</x:f>
        <x:v>NOT APPLICABLE</x:v>
      </x:c>
      <x:c r="G145" t="str">
        <x:f>XLOOKUP($A145,'Specs'!$A$2:$A$164,'Specs'!$G$2:$G$164,"")</x:f>
        <x:v>4.5" x 4.5"</x:v>
      </x:c>
      <x:c r="H145" t="str">
        <x:f>XLOOKUP($A145,'Specs'!$A$2:$A$164,'Specs'!$H$2:$H$164,"")</x:f>
      </x:c>
      <x:c r="I145" t="str">
        <x:f>XLOOKUP($A145,'Specs'!$A$2:$A$164,'Specs'!$I$2:$I$164,"")</x:f>
      </x:c>
      <x:c r="J145" t="str">
        <x:f>XLOOKUP($A145,'Specs'!$A$2:$A$164,'Specs'!$J$2:$J$164,"")</x:f>
      </x:c>
      <x:c r="K145" t="str">
        <x:f>XLOOKUP($A145,'Specs'!$A$2:$A$164,'Specs'!$K$2:$K$164,"")</x:f>
        <x:v>0.180"</x:v>
      </x:c>
      <x:c r="L145" t="str">
        <x:f>XLOOKUP($A145,'Specs'!$A$2:$A$164,'Specs'!$L$2:$L$164,"")</x:f>
        <x:v>304 STAINLESS STEEL</x:v>
      </x:c>
      <x:c r="M145" t="str">
        <x:f>XLOOKUP($A145,'Specs'!$A$2:$A$164,'Specs'!$M$2:$M$164,"")</x:f>
      </x:c>
      <x:c r="N145" t="str">
        <x:f>XLOOKUP($A145,'Specs'!$A$2:$A$164,'Specs'!$N$2:$N$164,"")</x:f>
      </x:c>
      <x:c r="O145" t="str">
        <x:f>XLOOKUP($A145,'Specs'!$A$2:$A$164,'Specs'!$O$2:$O$164,"")</x:f>
        <x:v>NON-REMOVABLE PIN; 3 x 04 GA WIRE</x:v>
      </x:c>
      <x:c r="P145" t="str">
        <x:f>XLOOKUP($A145,'Specs'!$A$2:$A$164,'Specs'!$P$2:$P$164,"")</x:f>
        <x:v>HIGH</x:v>
      </x:c>
      <x:c r="Q145" s="53" t="n">
        <x:f>XLOOKUP($A145,'Specs'!$A$2:$A$164,'Specs'!$Q$2:$Q$164,"")</x:f>
        <x:v>1</x:v>
      </x:c>
      <x:c r="R145" s="53" t="n">
        <x:f>XLOOKUP($A145,'Specs'!$A$2:$A$164,'Specs'!$R$2:$R$164,"")</x:f>
        <x:v>1</x:v>
      </x:c>
      <x:c r="S145" t="str">
        <x:f>'Vendor Options'!A145</x:f>
        <x:v>OFFER-D5580AC26054</x:v>
      </x:c>
      <x:c r="T145" t="str">
        <x:f>'Vendor Options'!C145</x:f>
        <x:v>DH</x:v>
      </x:c>
      <x:c r="U145" t="str">
        <x:f>'Vendor Options'!D145</x:f>
        <x:v>BUTT HINGE HEAVY WT</x:v>
      </x:c>
      <x:c r="V145" t="str">
        <x:f>'Vendor Options'!E145</x:f>
        <x:v>4.5 * 4.5</x:v>
      </x:c>
      <x:c r="W145" t="str">
        <x:f>'Vendor Options'!F145</x:f>
      </x:c>
      <x:c r="X145" t="str">
        <x:f>'Vendor Options'!G145</x:f>
        <x:v>78000505</x:v>
      </x:c>
      <x:c r="Y145" t="str">
        <x:f>'Vendor Options'!H145</x:f>
        <x:v>78000505 - BB5-HW NRP 4.5 x 4.5</x:v>
      </x:c>
      <x:c r="Z145" t="str">
        <x:f>'Vendor Options'!I145</x:f>
        <x:v>847-******</x:v>
      </x:c>
      <x:c r="AA145" s="54" t="n">
        <x:f>'Vendor Options'!J145</x:f>
        <x:v>0</x:v>
      </x:c>
      <x:c r="AB145" t="n">
        <x:f>'Vendor Options'!K145</x:f>
        <x:v>0</x:v>
      </x:c>
      <x:c r="AC145" s="57" t="n">
        <x:f>'Vendor Options'!L145</x:f>
        <x:v>0</x:v>
      </x:c>
      <x:c r="AD145" s="57" t="n">
        <x:f>'Vendor Options'!M145</x:f>
        <x:v>0</x:v>
      </x:c>
      <x:c r="AE145" s="54" t="str">
        <x:f>'Vendor Options'!N145</x:f>
      </x:c>
      <x:c r="AF145" t="str">
        <x:f>'Vendor Options'!O145</x:f>
        <x:v>USD</x:v>
      </x:c>
      <x:c r="AG145" t="str">
        <x:f>'Vendor Options'!P145</x:f>
        <x:v>UNPRICED</x:v>
      </x:c>
      <x:c r="AH145" t="str">
        <x:f>'Vendor Options'!Q145</x:f>
        <x:v>ACTIVE</x:v>
      </x:c>
      <x:c r="AI145" t="str">
        <x:f>'Vendor Options'!R145</x:f>
        <x:v>MISSING_PRICE</x:v>
      </x:c>
      <x:c r="AJ145" t="n">
        <x:f>'Vendor Options'!S145</x:f>
        <x:v>3</x:v>
      </x:c>
    </x:row>
    <x:row r="146" ht="15" hidden="0" customHeight="1">
      <x:c r="A146" t="str">
        <x:f>'Vendor Options'!B146</x:f>
        <x:v>SPEC-46668F499153</x:v>
      </x:c>
      <x:c r="B146" t="str">
        <x:f>XLOOKUP($A146,'Specs'!$A$2:$A$164,'Specs'!$B$2:$B$164,"")</x:f>
        <x:v>HINGE</x:v>
      </x:c>
      <x:c r="C146" t="str">
        <x:f>XLOOKUP($A146,'Specs'!$A$2:$A$164,'Specs'!$C$2:$C$164,"")</x:f>
        <x:v>HEAVY WEIGHT BUTT HINGE</x:v>
      </x:c>
      <x:c r="D146" t="str">
        <x:f>XLOOKUP($A146,'Specs'!$A$2:$A$164,'Specs'!$D$2:$D$164,"")</x:f>
      </x:c>
      <x:c r="E146" t="str">
        <x:f>XLOOKUP($A146,'Specs'!$A$2:$A$164,'Specs'!$E$2:$E$164,"")</x:f>
        <x:v>NON-REMOVABLE PIN</x:v>
      </x:c>
      <x:c r="F146" t="str">
        <x:f>XLOOKUP($A146,'Specs'!$A$2:$A$164,'Specs'!$F$2:$F$164,"")</x:f>
        <x:v>NOT APPLICABLE</x:v>
      </x:c>
      <x:c r="G146" t="str">
        <x:f>XLOOKUP($A146,'Specs'!$A$2:$A$164,'Specs'!$G$2:$G$164,"")</x:f>
        <x:v>4.5" x 4.5"</x:v>
      </x:c>
      <x:c r="H146" t="str">
        <x:f>XLOOKUP($A146,'Specs'!$A$2:$A$164,'Specs'!$H$2:$H$164,"")</x:f>
      </x:c>
      <x:c r="I146" t="str">
        <x:f>XLOOKUP($A146,'Specs'!$A$2:$A$164,'Specs'!$I$2:$I$164,"")</x:f>
      </x:c>
      <x:c r="J146" t="str">
        <x:f>XLOOKUP($A146,'Specs'!$A$2:$A$164,'Specs'!$J$2:$J$164,"")</x:f>
      </x:c>
      <x:c r="K146" t="str">
        <x:f>XLOOKUP($A146,'Specs'!$A$2:$A$164,'Specs'!$K$2:$K$164,"")</x:f>
        <x:v>0.180"</x:v>
      </x:c>
      <x:c r="L146" t="str">
        <x:f>XLOOKUP($A146,'Specs'!$A$2:$A$164,'Specs'!$L$2:$L$164,"")</x:f>
        <x:v>316 STAINLESS STEEL</x:v>
      </x:c>
      <x:c r="M146" t="str">
        <x:f>XLOOKUP($A146,'Specs'!$A$2:$A$164,'Specs'!$M$2:$M$164,"")</x:f>
      </x:c>
      <x:c r="N146" t="str">
        <x:f>XLOOKUP($A146,'Specs'!$A$2:$A$164,'Specs'!$N$2:$N$164,"")</x:f>
      </x:c>
      <x:c r="O146" t="str">
        <x:f>XLOOKUP($A146,'Specs'!$A$2:$A$164,'Specs'!$O$2:$O$164,"")</x:f>
        <x:v>NON-REMOVABLE PIN; 3 x 16 GA WIRE</x:v>
      </x:c>
      <x:c r="P146" t="str">
        <x:f>XLOOKUP($A146,'Specs'!$A$2:$A$164,'Specs'!$P$2:$P$164,"")</x:f>
        <x:v>HIGH</x:v>
      </x:c>
      <x:c r="Q146" s="53" t="n">
        <x:f>XLOOKUP($A146,'Specs'!$A$2:$A$164,'Specs'!$Q$2:$Q$164,"")</x:f>
        <x:v>1</x:v>
      </x:c>
      <x:c r="R146" s="53" t="n">
        <x:f>XLOOKUP($A146,'Specs'!$A$2:$A$164,'Specs'!$R$2:$R$164,"")</x:f>
        <x:v>1</x:v>
      </x:c>
      <x:c r="S146" t="str">
        <x:f>'Vendor Options'!A146</x:f>
        <x:v>OFFER-FA185C57E7B9</x:v>
      </x:c>
      <x:c r="T146" t="str">
        <x:f>'Vendor Options'!C146</x:f>
        <x:v>DH</x:v>
      </x:c>
      <x:c r="U146" t="str">
        <x:f>'Vendor Options'!D146</x:f>
        <x:v>BUTT HINGE HEAVY WT</x:v>
      </x:c>
      <x:c r="V146" t="str">
        <x:f>'Vendor Options'!E146</x:f>
        <x:v>4.5 * 4.5</x:v>
      </x:c>
      <x:c r="W146" t="str">
        <x:f>'Vendor Options'!F146</x:f>
      </x:c>
      <x:c r="X146" t="str">
        <x:f>'Vendor Options'!G146</x:f>
        <x:v>78000519</x:v>
      </x:c>
      <x:c r="Y146" t="str">
        <x:f>'Vendor Options'!H146</x:f>
        <x:v>78000519 - BB5 NRP 4.5 x 4.5</x:v>
      </x:c>
      <x:c r="Z146" t="n">
        <x:f>'Vendor Options'!I146</x:f>
        <x:v>0</x:v>
      </x:c>
      <x:c r="AA146" s="54" t="n">
        <x:f>'Vendor Options'!J146</x:f>
        <x:v>0</x:v>
      </x:c>
      <x:c r="AB146" t="n">
        <x:f>'Vendor Options'!K146</x:f>
        <x:v>0</x:v>
      </x:c>
      <x:c r="AC146" s="57" t="n">
        <x:f>'Vendor Options'!L146</x:f>
        <x:v>0</x:v>
      </x:c>
      <x:c r="AD146" s="57" t="n">
        <x:f>'Vendor Options'!M146</x:f>
        <x:v>0</x:v>
      </x:c>
      <x:c r="AE146" s="54" t="str">
        <x:f>'Vendor Options'!N146</x:f>
      </x:c>
      <x:c r="AF146" t="str">
        <x:f>'Vendor Options'!O146</x:f>
        <x:v>USD</x:v>
      </x:c>
      <x:c r="AG146" t="str">
        <x:f>'Vendor Options'!P146</x:f>
        <x:v>UNPRICED</x:v>
      </x:c>
      <x:c r="AH146" t="str">
        <x:f>'Vendor Options'!Q146</x:f>
        <x:v>REVIEW</x:v>
      </x:c>
      <x:c r="AI146" t="str">
        <x:f>'Vendor Options'!R146</x:f>
        <x:v>MISSING_PRICE; PART_NUMBER_CONFLICT</x:v>
      </x:c>
      <x:c r="AJ146" t="n">
        <x:f>'Vendor Options'!S146</x:f>
        <x:v>4</x:v>
      </x:c>
    </x:row>
    <x:row r="147" ht="15" hidden="0" customHeight="1">
      <x:c r="A147" t="str">
        <x:f>'Vendor Options'!B147</x:f>
        <x:v>SPEC-73112C7FD382</x:v>
      </x:c>
      <x:c r="B147" t="str">
        <x:f>XLOOKUP($A147,'Specs'!$A$2:$A$164,'Specs'!$B$2:$B$164,"")</x:f>
        <x:v>HINGE</x:v>
      </x:c>
      <x:c r="C147" t="str">
        <x:f>XLOOKUP($A147,'Specs'!$A$2:$A$164,'Specs'!$C$2:$C$164,"")</x:f>
        <x:v>POWER TRANSFER HINGE</x:v>
      </x:c>
      <x:c r="D147" t="str">
        <x:f>XLOOKUP($A147,'Specs'!$A$2:$A$164,'Specs'!$D$2:$D$164,"")</x:f>
      </x:c>
      <x:c r="E147" t="str">
        <x:f>XLOOKUP($A147,'Specs'!$A$2:$A$164,'Specs'!$E$2:$E$164,"")</x:f>
        <x:v>ELECTRIFIED POWER TRANSFER</x:v>
      </x:c>
      <x:c r="F147" t="str">
        <x:f>XLOOKUP($A147,'Specs'!$A$2:$A$164,'Specs'!$F$2:$F$164,"")</x:f>
        <x:v>NOT APPLICABLE</x:v>
      </x:c>
      <x:c r="G147" t="str">
        <x:f>XLOOKUP($A147,'Specs'!$A$2:$A$164,'Specs'!$G$2:$G$164,"")</x:f>
        <x:v>4.5" x 4.5"</x:v>
      </x:c>
      <x:c r="H147" t="str">
        <x:f>XLOOKUP($A147,'Specs'!$A$2:$A$164,'Specs'!$H$2:$H$164,"")</x:f>
      </x:c>
      <x:c r="I147" t="str">
        <x:f>XLOOKUP($A147,'Specs'!$A$2:$A$164,'Specs'!$I$2:$I$164,"")</x:f>
      </x:c>
      <x:c r="J147" t="str">
        <x:f>XLOOKUP($A147,'Specs'!$A$2:$A$164,'Specs'!$J$2:$J$164,"")</x:f>
      </x:c>
      <x:c r="K147" t="str">
        <x:f>XLOOKUP($A147,'Specs'!$A$2:$A$164,'Specs'!$K$2:$K$164,"")</x:f>
        <x:v>0.134"</x:v>
      </x:c>
      <x:c r="L147" t="str">
        <x:f>XLOOKUP($A147,'Specs'!$A$2:$A$164,'Specs'!$L$2:$L$164,"")</x:f>
        <x:v>304 STAINLESS STEEL</x:v>
      </x:c>
      <x:c r="M147" t="str">
        <x:f>XLOOKUP($A147,'Specs'!$A$2:$A$164,'Specs'!$M$2:$M$164,"")</x:f>
      </x:c>
      <x:c r="N147" t="str">
        <x:f>XLOOKUP($A147,'Specs'!$A$2:$A$164,'Specs'!$N$2:$N$164,"")</x:f>
      </x:c>
      <x:c r="O147" t="str">
        <x:f>XLOOKUP($A147,'Specs'!$A$2:$A$164,'Specs'!$O$2:$O$164,"")</x:f>
        <x:v>4 x 28 GA WIRE</x:v>
      </x:c>
      <x:c r="P147" t="str">
        <x:f>XLOOKUP($A147,'Specs'!$A$2:$A$164,'Specs'!$P$2:$P$164,"")</x:f>
        <x:v>HIGH</x:v>
      </x:c>
      <x:c r="Q147" s="53" t="n">
        <x:f>XLOOKUP($A147,'Specs'!$A$2:$A$164,'Specs'!$Q$2:$Q$164,"")</x:f>
        <x:v>1</x:v>
      </x:c>
      <x:c r="R147" s="53" t="n">
        <x:f>XLOOKUP($A147,'Specs'!$A$2:$A$164,'Specs'!$R$2:$R$164,"")</x:f>
        <x:v>1</x:v>
      </x:c>
      <x:c r="S147" t="str">
        <x:f>'Vendor Options'!A147</x:f>
        <x:v>OFFER-C73B3E06763A</x:v>
      </x:c>
      <x:c r="T147" t="str">
        <x:f>'Vendor Options'!C147</x:f>
        <x:v>DH</x:v>
      </x:c>
      <x:c r="U147" t="str">
        <x:f>'Vendor Options'!D147</x:f>
        <x:v>POWER TRSFR</x:v>
      </x:c>
      <x:c r="V147" t="str">
        <x:f>'Vendor Options'!E147</x:f>
        <x:v>4.5 * 4.5</x:v>
      </x:c>
      <x:c r="W147" t="str">
        <x:f>'Vendor Options'!F147</x:f>
      </x:c>
      <x:c r="X147" t="str">
        <x:f>'Vendor Options'!G147</x:f>
        <x:v>78094088</x:v>
      </x:c>
      <x:c r="Y147" t="str">
        <x:f>'Vendor Options'!H147</x:f>
        <x:v>78094088 - ETW4-BB5 4.5 x 4.5 (4 - 28 Ga. wires)</x:v>
      </x:c>
      <x:c r="Z147" t="n">
        <x:f>'Vendor Options'!I147</x:f>
        <x:v>0</x:v>
      </x:c>
      <x:c r="AA147" s="54" t="n">
        <x:f>'Vendor Options'!J147</x:f>
        <x:v>0</x:v>
      </x:c>
      <x:c r="AB147" t="n">
        <x:f>'Vendor Options'!K147</x:f>
        <x:v>0</x:v>
      </x:c>
      <x:c r="AC147" s="57" t="n">
        <x:f>'Vendor Options'!L147</x:f>
        <x:v>0</x:v>
      </x:c>
      <x:c r="AD147" s="57" t="n">
        <x:f>'Vendor Options'!M147</x:f>
        <x:v>0</x:v>
      </x:c>
      <x:c r="AE147" s="54" t="str">
        <x:f>'Vendor Options'!N147</x:f>
      </x:c>
      <x:c r="AF147" t="str">
        <x:f>'Vendor Options'!O147</x:f>
        <x:v>USD</x:v>
      </x:c>
      <x:c r="AG147" t="str">
        <x:f>'Vendor Options'!P147</x:f>
        <x:v>UNPRICED</x:v>
      </x:c>
      <x:c r="AH147" t="str">
        <x:f>'Vendor Options'!Q147</x:f>
        <x:v>ACTIVE</x:v>
      </x:c>
      <x:c r="AI147" t="str">
        <x:f>'Vendor Options'!R147</x:f>
        <x:v>MISSING_PRICE</x:v>
      </x:c>
      <x:c r="AJ147" t="n">
        <x:f>'Vendor Options'!S147</x:f>
        <x:v>31</x:v>
      </x:c>
    </x:row>
    <x:row r="148" ht="15" hidden="0" customHeight="1">
      <x:c r="A148" t="str">
        <x:f>'Vendor Options'!B148</x:f>
        <x:v>SPEC-430A2DA8C9BC</x:v>
      </x:c>
      <x:c r="B148" t="str">
        <x:f>XLOOKUP($A148,'Specs'!$A$2:$A$164,'Specs'!$B$2:$B$164,"")</x:f>
        <x:v>HINGE</x:v>
      </x:c>
      <x:c r="C148" t="str">
        <x:f>XLOOKUP($A148,'Specs'!$A$2:$A$164,'Specs'!$C$2:$C$164,"")</x:f>
        <x:v>POWER TRANSFER HINGE</x:v>
      </x:c>
      <x:c r="D148" t="str">
        <x:f>XLOOKUP($A148,'Specs'!$A$2:$A$164,'Specs'!$D$2:$D$164,"")</x:f>
      </x:c>
      <x:c r="E148" t="str">
        <x:f>XLOOKUP($A148,'Specs'!$A$2:$A$164,'Specs'!$E$2:$E$164,"")</x:f>
        <x:v>ELECTRIFIED POWER TRANSFER</x:v>
      </x:c>
      <x:c r="F148" t="str">
        <x:f>XLOOKUP($A148,'Specs'!$A$2:$A$164,'Specs'!$F$2:$F$164,"")</x:f>
        <x:v>NOT APPLICABLE</x:v>
      </x:c>
      <x:c r="G148" t="str">
        <x:f>XLOOKUP($A148,'Specs'!$A$2:$A$164,'Specs'!$G$2:$G$164,"")</x:f>
        <x:v>4.5" x 4.5"</x:v>
      </x:c>
      <x:c r="H148" t="str">
        <x:f>XLOOKUP($A148,'Specs'!$A$2:$A$164,'Specs'!$H$2:$H$164,"")</x:f>
      </x:c>
      <x:c r="I148" t="str">
        <x:f>XLOOKUP($A148,'Specs'!$A$2:$A$164,'Specs'!$I$2:$I$164,"")</x:f>
      </x:c>
      <x:c r="J148" t="str">
        <x:f>XLOOKUP($A148,'Specs'!$A$2:$A$164,'Specs'!$J$2:$J$164,"")</x:f>
      </x:c>
      <x:c r="K148" t="str">
        <x:f>XLOOKUP($A148,'Specs'!$A$2:$A$164,'Specs'!$K$2:$K$164,"")</x:f>
        <x:v>0.134"</x:v>
      </x:c>
      <x:c r="L148" t="str">
        <x:f>XLOOKUP($A148,'Specs'!$A$2:$A$164,'Specs'!$L$2:$L$164,"")</x:f>
        <x:v>316 STAINLESS STEEL</x:v>
      </x:c>
      <x:c r="M148" t="str">
        <x:f>XLOOKUP($A148,'Specs'!$A$2:$A$164,'Specs'!$M$2:$M$164,"")</x:f>
      </x:c>
      <x:c r="N148" t="str">
        <x:f>XLOOKUP($A148,'Specs'!$A$2:$A$164,'Specs'!$N$2:$N$164,"")</x:f>
      </x:c>
      <x:c r="O148" t="str">
        <x:f>XLOOKUP($A148,'Specs'!$A$2:$A$164,'Specs'!$O$2:$O$164,"")</x:f>
        <x:v>4 x 28 GA WIRE</x:v>
      </x:c>
      <x:c r="P148" t="str">
        <x:f>XLOOKUP($A148,'Specs'!$A$2:$A$164,'Specs'!$P$2:$P$164,"")</x:f>
        <x:v>HIGH</x:v>
      </x:c>
      <x:c r="Q148" s="53" t="n">
        <x:f>XLOOKUP($A148,'Specs'!$A$2:$A$164,'Specs'!$Q$2:$Q$164,"")</x:f>
        <x:v>1</x:v>
      </x:c>
      <x:c r="R148" s="53" t="n">
        <x:f>XLOOKUP($A148,'Specs'!$A$2:$A$164,'Specs'!$R$2:$R$164,"")</x:f>
        <x:v>1</x:v>
      </x:c>
      <x:c r="S148" t="str">
        <x:f>'Vendor Options'!A148</x:f>
        <x:v>OFFER-35083A9738EB</x:v>
      </x:c>
      <x:c r="T148" t="str">
        <x:f>'Vendor Options'!C148</x:f>
        <x:v>DH</x:v>
      </x:c>
      <x:c r="U148" t="str">
        <x:f>'Vendor Options'!D148</x:f>
        <x:v>POWER TRSFR</x:v>
      </x:c>
      <x:c r="V148" t="str">
        <x:f>'Vendor Options'!E148</x:f>
        <x:v>4.5 * 4.5</x:v>
      </x:c>
      <x:c r="W148" t="str">
        <x:f>'Vendor Options'!F148</x:f>
      </x:c>
      <x:c r="X148" t="str">
        <x:f>'Vendor Options'!G148</x:f>
        <x:v>78004502</x:v>
      </x:c>
      <x:c r="Y148" t="str">
        <x:f>'Vendor Options'!H148</x:f>
        <x:v>78004502 - ETW4-BB5 4.5 x 4.5 (4 - 28 Ga. wires)</x:v>
      </x:c>
      <x:c r="Z148" t="n">
        <x:f>'Vendor Options'!I148</x:f>
        <x:v>0</x:v>
      </x:c>
      <x:c r="AA148" s="54" t="n">
        <x:f>'Vendor Options'!J148</x:f>
        <x:v>0</x:v>
      </x:c>
      <x:c r="AB148" t="n">
        <x:f>'Vendor Options'!K148</x:f>
        <x:v>0</x:v>
      </x:c>
      <x:c r="AC148" s="57" t="n">
        <x:f>'Vendor Options'!L148</x:f>
        <x:v>0</x:v>
      </x:c>
      <x:c r="AD148" s="57" t="n">
        <x:f>'Vendor Options'!M148</x:f>
        <x:v>0</x:v>
      </x:c>
      <x:c r="AE148" s="54" t="str">
        <x:f>'Vendor Options'!N148</x:f>
      </x:c>
      <x:c r="AF148" t="str">
        <x:f>'Vendor Options'!O148</x:f>
        <x:v>USD</x:v>
      </x:c>
      <x:c r="AG148" t="str">
        <x:f>'Vendor Options'!P148</x:f>
        <x:v>UNPRICED</x:v>
      </x:c>
      <x:c r="AH148" t="str">
        <x:f>'Vendor Options'!Q148</x:f>
        <x:v>ACTIVE</x:v>
      </x:c>
      <x:c r="AI148" t="str">
        <x:f>'Vendor Options'!R148</x:f>
        <x:v>MISSING_PRICE</x:v>
      </x:c>
      <x:c r="AJ148" t="n">
        <x:f>'Vendor Options'!S148</x:f>
        <x:v>32</x:v>
      </x:c>
    </x:row>
    <x:row r="149" ht="15" hidden="0" customHeight="1">
      <x:c r="A149" t="str">
        <x:f>'Vendor Options'!B149</x:f>
        <x:v>SPEC-B2224CB4D0BB</x:v>
      </x:c>
      <x:c r="B149" t="str">
        <x:f>XLOOKUP($A149,'Specs'!$A$2:$A$164,'Specs'!$B$2:$B$164,"")</x:f>
        <x:v>HINGE</x:v>
      </x:c>
      <x:c r="C149" t="str">
        <x:f>XLOOKUP($A149,'Specs'!$A$2:$A$164,'Specs'!$C$2:$C$164,"")</x:f>
        <x:v>POWER TRANSFER HINGE</x:v>
      </x:c>
      <x:c r="D149" t="str">
        <x:f>XLOOKUP($A149,'Specs'!$A$2:$A$164,'Specs'!$D$2:$D$164,"")</x:f>
      </x:c>
      <x:c r="E149" t="str">
        <x:f>XLOOKUP($A149,'Specs'!$A$2:$A$164,'Specs'!$E$2:$E$164,"")</x:f>
        <x:v>ELECTRIFIED POWER TRANSFER</x:v>
      </x:c>
      <x:c r="F149" t="str">
        <x:f>XLOOKUP($A149,'Specs'!$A$2:$A$164,'Specs'!$F$2:$F$164,"")</x:f>
        <x:v>NOT APPLICABLE</x:v>
      </x:c>
      <x:c r="G149" t="str">
        <x:f>XLOOKUP($A149,'Specs'!$A$2:$A$164,'Specs'!$G$2:$G$164,"")</x:f>
        <x:v>4.5" x 4.5"</x:v>
      </x:c>
      <x:c r="H149" t="str">
        <x:f>XLOOKUP($A149,'Specs'!$A$2:$A$164,'Specs'!$H$2:$H$164,"")</x:f>
      </x:c>
      <x:c r="I149" t="str">
        <x:f>XLOOKUP($A149,'Specs'!$A$2:$A$164,'Specs'!$I$2:$I$164,"")</x:f>
      </x:c>
      <x:c r="J149" t="str">
        <x:f>XLOOKUP($A149,'Specs'!$A$2:$A$164,'Specs'!$J$2:$J$164,"")</x:f>
      </x:c>
      <x:c r="K149" t="str">
        <x:f>XLOOKUP($A149,'Specs'!$A$2:$A$164,'Specs'!$K$2:$K$164,"")</x:f>
        <x:v>0.134"</x:v>
      </x:c>
      <x:c r="L149" t="str">
        <x:f>XLOOKUP($A149,'Specs'!$A$2:$A$164,'Specs'!$L$2:$L$164,"")</x:f>
        <x:v>304 STAINLESS STEEL</x:v>
      </x:c>
      <x:c r="M149" t="str">
        <x:f>XLOOKUP($A149,'Specs'!$A$2:$A$164,'Specs'!$M$2:$M$164,"")</x:f>
      </x:c>
      <x:c r="N149" t="str">
        <x:f>XLOOKUP($A149,'Specs'!$A$2:$A$164,'Specs'!$N$2:$N$164,"")</x:f>
      </x:c>
      <x:c r="O149" t="str">
        <x:f>XLOOKUP($A149,'Specs'!$A$2:$A$164,'Specs'!$O$2:$O$164,"")</x:f>
        <x:v>8 x 28 GA WIRE</x:v>
      </x:c>
      <x:c r="P149" t="str">
        <x:f>XLOOKUP($A149,'Specs'!$A$2:$A$164,'Specs'!$P$2:$P$164,"")</x:f>
        <x:v>HIGH</x:v>
      </x:c>
      <x:c r="Q149" s="53" t="n">
        <x:f>XLOOKUP($A149,'Specs'!$A$2:$A$164,'Specs'!$Q$2:$Q$164,"")</x:f>
        <x:v>1</x:v>
      </x:c>
      <x:c r="R149" s="53" t="n">
        <x:f>XLOOKUP($A149,'Specs'!$A$2:$A$164,'Specs'!$R$2:$R$164,"")</x:f>
        <x:v>1</x:v>
      </x:c>
      <x:c r="S149" t="str">
        <x:f>'Vendor Options'!A149</x:f>
        <x:v>OFFER-D0B41710DFA6</x:v>
      </x:c>
      <x:c r="T149" t="str">
        <x:f>'Vendor Options'!C149</x:f>
        <x:v>DH</x:v>
      </x:c>
      <x:c r="U149" t="str">
        <x:f>'Vendor Options'!D149</x:f>
        <x:v>POWER TRSFR</x:v>
      </x:c>
      <x:c r="V149" t="str">
        <x:f>'Vendor Options'!E149</x:f>
        <x:v>4.5 * 4.5</x:v>
      </x:c>
      <x:c r="W149" t="str">
        <x:f>'Vendor Options'!F149</x:f>
      </x:c>
      <x:c r="X149" t="str">
        <x:f>'Vendor Options'!G149</x:f>
        <x:v>78000280</x:v>
      </x:c>
      <x:c r="Y149" t="str">
        <x:f>'Vendor Options'!H149</x:f>
        <x:v>78000280 - ETW8-BB5 4.5 x 4.5 (8 - 28 Ga. wires)</x:v>
      </x:c>
      <x:c r="Z149" t="n">
        <x:f>'Vendor Options'!I149</x:f>
        <x:v>0</x:v>
      </x:c>
      <x:c r="AA149" s="54" t="n">
        <x:f>'Vendor Options'!J149</x:f>
        <x:v>0</x:v>
      </x:c>
      <x:c r="AB149" t="n">
        <x:f>'Vendor Options'!K149</x:f>
        <x:v>0</x:v>
      </x:c>
      <x:c r="AC149" s="57" t="n">
        <x:f>'Vendor Options'!L149</x:f>
        <x:v>0</x:v>
      </x:c>
      <x:c r="AD149" s="57" t="n">
        <x:f>'Vendor Options'!M149</x:f>
        <x:v>0</x:v>
      </x:c>
      <x:c r="AE149" s="54" t="str">
        <x:f>'Vendor Options'!N149</x:f>
      </x:c>
      <x:c r="AF149" t="str">
        <x:f>'Vendor Options'!O149</x:f>
        <x:v>USD</x:v>
      </x:c>
      <x:c r="AG149" t="str">
        <x:f>'Vendor Options'!P149</x:f>
        <x:v>UNPRICED</x:v>
      </x:c>
      <x:c r="AH149" t="str">
        <x:f>'Vendor Options'!Q149</x:f>
        <x:v>ACTIVE</x:v>
      </x:c>
      <x:c r="AI149" t="str">
        <x:f>'Vendor Options'!R149</x:f>
        <x:v>MISSING_PRICE</x:v>
      </x:c>
      <x:c r="AJ149" t="n">
        <x:f>'Vendor Options'!S149</x:f>
        <x:v>33</x:v>
      </x:c>
    </x:row>
    <x:row r="150" ht="15" hidden="0" customHeight="1">
      <x:c r="A150" t="str">
        <x:f>'Vendor Options'!B150</x:f>
        <x:v>SPEC-C7431F5B45E4</x:v>
      </x:c>
      <x:c r="B150" t="str">
        <x:f>XLOOKUP($A150,'Specs'!$A$2:$A$164,'Specs'!$B$2:$B$164,"")</x:f>
        <x:v>HINGE</x:v>
      </x:c>
      <x:c r="C150" t="str">
        <x:f>XLOOKUP($A150,'Specs'!$A$2:$A$164,'Specs'!$C$2:$C$164,"")</x:f>
        <x:v>POWER TRANSFER HINGE</x:v>
      </x:c>
      <x:c r="D150" t="str">
        <x:f>XLOOKUP($A150,'Specs'!$A$2:$A$164,'Specs'!$D$2:$D$164,"")</x:f>
      </x:c>
      <x:c r="E150" t="str">
        <x:f>XLOOKUP($A150,'Specs'!$A$2:$A$164,'Specs'!$E$2:$E$164,"")</x:f>
        <x:v>ELECTRIFIED POWER TRANSFER</x:v>
      </x:c>
      <x:c r="F150" t="str">
        <x:f>XLOOKUP($A150,'Specs'!$A$2:$A$164,'Specs'!$F$2:$F$164,"")</x:f>
        <x:v>NOT APPLICABLE</x:v>
      </x:c>
      <x:c r="G150" t="str">
        <x:f>XLOOKUP($A150,'Specs'!$A$2:$A$164,'Specs'!$G$2:$G$164,"")</x:f>
        <x:v>4.5" x 4.5"</x:v>
      </x:c>
      <x:c r="H150" t="str">
        <x:f>XLOOKUP($A150,'Specs'!$A$2:$A$164,'Specs'!$H$2:$H$164,"")</x:f>
      </x:c>
      <x:c r="I150" t="str">
        <x:f>XLOOKUP($A150,'Specs'!$A$2:$A$164,'Specs'!$I$2:$I$164,"")</x:f>
      </x:c>
      <x:c r="J150" t="str">
        <x:f>XLOOKUP($A150,'Specs'!$A$2:$A$164,'Specs'!$J$2:$J$164,"")</x:f>
      </x:c>
      <x:c r="K150" t="str">
        <x:f>XLOOKUP($A150,'Specs'!$A$2:$A$164,'Specs'!$K$2:$K$164,"")</x:f>
        <x:v>0.134"</x:v>
      </x:c>
      <x:c r="L150" t="str">
        <x:f>XLOOKUP($A150,'Specs'!$A$2:$A$164,'Specs'!$L$2:$L$164,"")</x:f>
        <x:v>316 STAINLESS STEEL</x:v>
      </x:c>
      <x:c r="M150" t="str">
        <x:f>XLOOKUP($A150,'Specs'!$A$2:$A$164,'Specs'!$M$2:$M$164,"")</x:f>
      </x:c>
      <x:c r="N150" t="str">
        <x:f>XLOOKUP($A150,'Specs'!$A$2:$A$164,'Specs'!$N$2:$N$164,"")</x:f>
      </x:c>
      <x:c r="O150" t="str">
        <x:f>XLOOKUP($A150,'Specs'!$A$2:$A$164,'Specs'!$O$2:$O$164,"")</x:f>
        <x:v>8 x 28 GA WIRE</x:v>
      </x:c>
      <x:c r="P150" t="str">
        <x:f>XLOOKUP($A150,'Specs'!$A$2:$A$164,'Specs'!$P$2:$P$164,"")</x:f>
        <x:v>HIGH</x:v>
      </x:c>
      <x:c r="Q150" s="53" t="n">
        <x:f>XLOOKUP($A150,'Specs'!$A$2:$A$164,'Specs'!$Q$2:$Q$164,"")</x:f>
        <x:v>1</x:v>
      </x:c>
      <x:c r="R150" s="53" t="n">
        <x:f>XLOOKUP($A150,'Specs'!$A$2:$A$164,'Specs'!$R$2:$R$164,"")</x:f>
        <x:v>1</x:v>
      </x:c>
      <x:c r="S150" t="str">
        <x:f>'Vendor Options'!A150</x:f>
        <x:v>OFFER-A01737356EFB</x:v>
      </x:c>
      <x:c r="T150" t="str">
        <x:f>'Vendor Options'!C150</x:f>
        <x:v>DH</x:v>
      </x:c>
      <x:c r="U150" t="str">
        <x:f>'Vendor Options'!D150</x:f>
        <x:v>POWER TRSFR</x:v>
      </x:c>
      <x:c r="V150" t="str">
        <x:f>'Vendor Options'!E150</x:f>
        <x:v>4.5 * 4.5</x:v>
      </x:c>
      <x:c r="W150" t="str">
        <x:f>'Vendor Options'!F150</x:f>
      </x:c>
      <x:c r="X150" t="str">
        <x:f>'Vendor Options'!G150</x:f>
        <x:v>78094099</x:v>
      </x:c>
      <x:c r="Y150" t="str">
        <x:f>'Vendor Options'!H150</x:f>
        <x:v>78094099 - ETW8-BB5 4.5 x 4.5 (8 - 28 Ga. wires)</x:v>
      </x:c>
      <x:c r="Z150" t="n">
        <x:f>'Vendor Options'!I150</x:f>
        <x:v>0</x:v>
      </x:c>
      <x:c r="AA150" s="54" t="n">
        <x:f>'Vendor Options'!J150</x:f>
        <x:v>0</x:v>
      </x:c>
      <x:c r="AB150" t="n">
        <x:f>'Vendor Options'!K150</x:f>
        <x:v>0</x:v>
      </x:c>
      <x:c r="AC150" s="57" t="n">
        <x:f>'Vendor Options'!L150</x:f>
        <x:v>0</x:v>
      </x:c>
      <x:c r="AD150" s="57" t="n">
        <x:f>'Vendor Options'!M150</x:f>
        <x:v>0</x:v>
      </x:c>
      <x:c r="AE150" s="54" t="str">
        <x:f>'Vendor Options'!N150</x:f>
      </x:c>
      <x:c r="AF150" t="str">
        <x:f>'Vendor Options'!O150</x:f>
        <x:v>USD</x:v>
      </x:c>
      <x:c r="AG150" t="str">
        <x:f>'Vendor Options'!P150</x:f>
        <x:v>UNPRICED</x:v>
      </x:c>
      <x:c r="AH150" t="str">
        <x:f>'Vendor Options'!Q150</x:f>
        <x:v>ACTIVE</x:v>
      </x:c>
      <x:c r="AI150" t="str">
        <x:f>'Vendor Options'!R150</x:f>
        <x:v>MISSING_PRICE</x:v>
      </x:c>
      <x:c r="AJ150" t="n">
        <x:f>'Vendor Options'!S150</x:f>
        <x:v>34</x:v>
      </x:c>
    </x:row>
    <x:row r="151" ht="15" hidden="0" customHeight="1">
      <x:c r="A151" t="str">
        <x:f>'Vendor Options'!B151</x:f>
        <x:v>SPEC-6F764A8CF8EF</x:v>
      </x:c>
      <x:c r="B151" t="str">
        <x:f>XLOOKUP($A151,'Specs'!$A$2:$A$164,'Specs'!$B$2:$B$164,"")</x:f>
        <x:v>HINGE</x:v>
      </x:c>
      <x:c r="C151" t="str">
        <x:f>XLOOKUP($A151,'Specs'!$A$2:$A$164,'Specs'!$C$2:$C$164,"")</x:f>
        <x:v>POWER TRANSFER HINGE</x:v>
      </x:c>
      <x:c r="D151" t="str">
        <x:f>XLOOKUP($A151,'Specs'!$A$2:$A$164,'Specs'!$D$2:$D$164,"")</x:f>
      </x:c>
      <x:c r="E151" t="str">
        <x:f>XLOOKUP($A151,'Specs'!$A$2:$A$164,'Specs'!$E$2:$E$164,"")</x:f>
        <x:v>ELECTRIFIED POWER TRANSFER</x:v>
      </x:c>
      <x:c r="F151" t="str">
        <x:f>XLOOKUP($A151,'Specs'!$A$2:$A$164,'Specs'!$F$2:$F$164,"")</x:f>
        <x:v>NOT APPLICABLE</x:v>
      </x:c>
      <x:c r="G151" t="str">
        <x:f>XLOOKUP($A151,'Specs'!$A$2:$A$164,'Specs'!$G$2:$G$164,"")</x:f>
        <x:v>4.5" x 4.5"</x:v>
      </x:c>
      <x:c r="H151" t="str">
        <x:f>XLOOKUP($A151,'Specs'!$A$2:$A$164,'Specs'!$H$2:$H$164,"")</x:f>
      </x:c>
      <x:c r="I151" t="str">
        <x:f>XLOOKUP($A151,'Specs'!$A$2:$A$164,'Specs'!$I$2:$I$164,"")</x:f>
      </x:c>
      <x:c r="J151" t="str">
        <x:f>XLOOKUP($A151,'Specs'!$A$2:$A$164,'Specs'!$J$2:$J$164,"")</x:f>
      </x:c>
      <x:c r="K151" t="str">
        <x:f>XLOOKUP($A151,'Specs'!$A$2:$A$164,'Specs'!$K$2:$K$164,"")</x:f>
        <x:v>0.180"</x:v>
      </x:c>
      <x:c r="L151" t="str">
        <x:f>XLOOKUP($A151,'Specs'!$A$2:$A$164,'Specs'!$L$2:$L$164,"")</x:f>
        <x:v>304 STAINLESS STEEL</x:v>
      </x:c>
      <x:c r="M151" t="str">
        <x:f>XLOOKUP($A151,'Specs'!$A$2:$A$164,'Specs'!$M$2:$M$164,"")</x:f>
      </x:c>
      <x:c r="N151" t="str">
        <x:f>XLOOKUP($A151,'Specs'!$A$2:$A$164,'Specs'!$N$2:$N$164,"")</x:f>
      </x:c>
      <x:c r="O151" t="str">
        <x:f>XLOOKUP($A151,'Specs'!$A$2:$A$164,'Specs'!$O$2:$O$164,"")</x:f>
        <x:v>4 x 28 GA WIRE</x:v>
      </x:c>
      <x:c r="P151" t="str">
        <x:f>XLOOKUP($A151,'Specs'!$A$2:$A$164,'Specs'!$P$2:$P$164,"")</x:f>
        <x:v>HIGH</x:v>
      </x:c>
      <x:c r="Q151" s="53" t="n">
        <x:f>XLOOKUP($A151,'Specs'!$A$2:$A$164,'Specs'!$Q$2:$Q$164,"")</x:f>
        <x:v>1</x:v>
      </x:c>
      <x:c r="R151" s="53" t="n">
        <x:f>XLOOKUP($A151,'Specs'!$A$2:$A$164,'Specs'!$R$2:$R$164,"")</x:f>
        <x:v>1</x:v>
      </x:c>
      <x:c r="S151" t="str">
        <x:f>'Vendor Options'!A151</x:f>
        <x:v>OFFER-642F3EAA487D</x:v>
      </x:c>
      <x:c r="T151" t="str">
        <x:f>'Vendor Options'!C151</x:f>
        <x:v>DH</x:v>
      </x:c>
      <x:c r="U151" t="str">
        <x:f>'Vendor Options'!D151</x:f>
        <x:v>POWER TRSFR</x:v>
      </x:c>
      <x:c r="V151" t="str">
        <x:f>'Vendor Options'!E151</x:f>
        <x:v>4.5 * 4.5</x:v>
      </x:c>
      <x:c r="W151" t="str">
        <x:f>'Vendor Options'!F151</x:f>
      </x:c>
      <x:c r="X151" t="str">
        <x:f>'Vendor Options'!G151</x:f>
        <x:v>78094093</x:v>
      </x:c>
      <x:c r="Y151" t="str">
        <x:f>'Vendor Options'!H151</x:f>
        <x:v>78094093 - ETW4-BB5-HW 4.5 x 4.5 (4 - 28 Ga. wires)</x:v>
      </x:c>
      <x:c r="Z151" t="str">
        <x:f>'Vendor Options'!I151</x:f>
        <x:v>847-00649</x:v>
      </x:c>
      <x:c r="AA151" s="54" t="n">
        <x:f>'Vendor Options'!J151</x:f>
        <x:v>0</x:v>
      </x:c>
      <x:c r="AB151" t="n">
        <x:f>'Vendor Options'!K151</x:f>
        <x:v>0</x:v>
      </x:c>
      <x:c r="AC151" s="57" t="n">
        <x:f>'Vendor Options'!L151</x:f>
        <x:v>0</x:v>
      </x:c>
      <x:c r="AD151" s="57" t="n">
        <x:f>'Vendor Options'!M151</x:f>
        <x:v>0</x:v>
      </x:c>
      <x:c r="AE151" s="54" t="str">
        <x:f>'Vendor Options'!N151</x:f>
      </x:c>
      <x:c r="AF151" t="str">
        <x:f>'Vendor Options'!O151</x:f>
        <x:v>USD</x:v>
      </x:c>
      <x:c r="AG151" t="str">
        <x:f>'Vendor Options'!P151</x:f>
        <x:v>UNPRICED</x:v>
      </x:c>
      <x:c r="AH151" t="str">
        <x:f>'Vendor Options'!Q151</x:f>
        <x:v>ACTIVE</x:v>
      </x:c>
      <x:c r="AI151" t="str">
        <x:f>'Vendor Options'!R151</x:f>
        <x:v>MISSING_PRICE</x:v>
      </x:c>
      <x:c r="AJ151" t="n">
        <x:f>'Vendor Options'!S151</x:f>
        <x:v>35</x:v>
      </x:c>
    </x:row>
    <x:row r="152" ht="15" hidden="0" customHeight="1">
      <x:c r="A152" t="str">
        <x:f>'Vendor Options'!B152</x:f>
        <x:v>SPEC-AA846527D5AE</x:v>
      </x:c>
      <x:c r="B152" t="str">
        <x:f>XLOOKUP($A152,'Specs'!$A$2:$A$164,'Specs'!$B$2:$B$164,"")</x:f>
        <x:v>HINGE</x:v>
      </x:c>
      <x:c r="C152" t="str">
        <x:f>XLOOKUP($A152,'Specs'!$A$2:$A$164,'Specs'!$C$2:$C$164,"")</x:f>
        <x:v>POWER TRANSFER HINGE</x:v>
      </x:c>
      <x:c r="D152" t="str">
        <x:f>XLOOKUP($A152,'Specs'!$A$2:$A$164,'Specs'!$D$2:$D$164,"")</x:f>
      </x:c>
      <x:c r="E152" t="str">
        <x:f>XLOOKUP($A152,'Specs'!$A$2:$A$164,'Specs'!$E$2:$E$164,"")</x:f>
        <x:v>ELECTRIFIED POWER TRANSFER</x:v>
      </x:c>
      <x:c r="F152" t="str">
        <x:f>XLOOKUP($A152,'Specs'!$A$2:$A$164,'Specs'!$F$2:$F$164,"")</x:f>
        <x:v>NOT APPLICABLE</x:v>
      </x:c>
      <x:c r="G152" t="str">
        <x:f>XLOOKUP($A152,'Specs'!$A$2:$A$164,'Specs'!$G$2:$G$164,"")</x:f>
        <x:v>4.5" x 4.5"</x:v>
      </x:c>
      <x:c r="H152" t="str">
        <x:f>XLOOKUP($A152,'Specs'!$A$2:$A$164,'Specs'!$H$2:$H$164,"")</x:f>
      </x:c>
      <x:c r="I152" t="str">
        <x:f>XLOOKUP($A152,'Specs'!$A$2:$A$164,'Specs'!$I$2:$I$164,"")</x:f>
      </x:c>
      <x:c r="J152" t="str">
        <x:f>XLOOKUP($A152,'Specs'!$A$2:$A$164,'Specs'!$J$2:$J$164,"")</x:f>
      </x:c>
      <x:c r="K152" t="str">
        <x:f>XLOOKUP($A152,'Specs'!$A$2:$A$164,'Specs'!$K$2:$K$164,"")</x:f>
        <x:v>0.180"</x:v>
      </x:c>
      <x:c r="L152" t="str">
        <x:f>XLOOKUP($A152,'Specs'!$A$2:$A$164,'Specs'!$L$2:$L$164,"")</x:f>
        <x:v>316 STAINLESS STEEL</x:v>
      </x:c>
      <x:c r="M152" t="str">
        <x:f>XLOOKUP($A152,'Specs'!$A$2:$A$164,'Specs'!$M$2:$M$164,"")</x:f>
      </x:c>
      <x:c r="N152" t="str">
        <x:f>XLOOKUP($A152,'Specs'!$A$2:$A$164,'Specs'!$N$2:$N$164,"")</x:f>
      </x:c>
      <x:c r="O152" t="str">
        <x:f>XLOOKUP($A152,'Specs'!$A$2:$A$164,'Specs'!$O$2:$O$164,"")</x:f>
        <x:v>4 x 28 GA WIRE</x:v>
      </x:c>
      <x:c r="P152" t="str">
        <x:f>XLOOKUP($A152,'Specs'!$A$2:$A$164,'Specs'!$P$2:$P$164,"")</x:f>
        <x:v>HIGH</x:v>
      </x:c>
      <x:c r="Q152" s="53" t="n">
        <x:f>XLOOKUP($A152,'Specs'!$A$2:$A$164,'Specs'!$Q$2:$Q$164,"")</x:f>
        <x:v>1</x:v>
      </x:c>
      <x:c r="R152" s="53" t="n">
        <x:f>XLOOKUP($A152,'Specs'!$A$2:$A$164,'Specs'!$R$2:$R$164,"")</x:f>
        <x:v>1</x:v>
      </x:c>
      <x:c r="S152" t="str">
        <x:f>'Vendor Options'!A152</x:f>
        <x:v>OFFER-CECC89A719E7</x:v>
      </x:c>
      <x:c r="T152" t="str">
        <x:f>'Vendor Options'!C152</x:f>
        <x:v>DH</x:v>
      </x:c>
      <x:c r="U152" t="str">
        <x:f>'Vendor Options'!D152</x:f>
        <x:v>POWER TRSFR</x:v>
      </x:c>
      <x:c r="V152" t="str">
        <x:f>'Vendor Options'!E152</x:f>
        <x:v>4.5 * 4.5</x:v>
      </x:c>
      <x:c r="W152" t="str">
        <x:f>'Vendor Options'!F152</x:f>
      </x:c>
      <x:c r="X152" t="str">
        <x:f>'Vendor Options'!G152</x:f>
        <x:v>78094094</x:v>
      </x:c>
      <x:c r="Y152" t="str">
        <x:f>'Vendor Options'!H152</x:f>
        <x:v>78094094 - ETW4-BB5-HW 4.5 x 4.5 (4 - 28 Ga. wires)</x:v>
      </x:c>
      <x:c r="Z152" t="n">
        <x:f>'Vendor Options'!I152</x:f>
        <x:v>0</x:v>
      </x:c>
      <x:c r="AA152" s="54" t="n">
        <x:f>'Vendor Options'!J152</x:f>
        <x:v>0</x:v>
      </x:c>
      <x:c r="AB152" t="n">
        <x:f>'Vendor Options'!K152</x:f>
        <x:v>0</x:v>
      </x:c>
      <x:c r="AC152" s="57" t="n">
        <x:f>'Vendor Options'!L152</x:f>
        <x:v>0</x:v>
      </x:c>
      <x:c r="AD152" s="57" t="n">
        <x:f>'Vendor Options'!M152</x:f>
        <x:v>0</x:v>
      </x:c>
      <x:c r="AE152" s="54" t="str">
        <x:f>'Vendor Options'!N152</x:f>
      </x:c>
      <x:c r="AF152" t="str">
        <x:f>'Vendor Options'!O152</x:f>
        <x:v>USD</x:v>
      </x:c>
      <x:c r="AG152" t="str">
        <x:f>'Vendor Options'!P152</x:f>
        <x:v>UNPRICED</x:v>
      </x:c>
      <x:c r="AH152" t="str">
        <x:f>'Vendor Options'!Q152</x:f>
        <x:v>ACTIVE</x:v>
      </x:c>
      <x:c r="AI152" t="str">
        <x:f>'Vendor Options'!R152</x:f>
        <x:v>MISSING_PRICE</x:v>
      </x:c>
      <x:c r="AJ152" t="n">
        <x:f>'Vendor Options'!S152</x:f>
        <x:v>36</x:v>
      </x:c>
    </x:row>
    <x:row r="153" ht="15" hidden="0" customHeight="1">
      <x:c r="A153" t="str">
        <x:f>'Vendor Options'!B153</x:f>
        <x:v>SPEC-BE8831B937F5</x:v>
      </x:c>
      <x:c r="B153" t="str">
        <x:f>XLOOKUP($A153,'Specs'!$A$2:$A$164,'Specs'!$B$2:$B$164,"")</x:f>
        <x:v>HINGE</x:v>
      </x:c>
      <x:c r="C153" t="str">
        <x:f>XLOOKUP($A153,'Specs'!$A$2:$A$164,'Specs'!$C$2:$C$164,"")</x:f>
        <x:v>POWER TRANSFER HINGE</x:v>
      </x:c>
      <x:c r="D153" t="str">
        <x:f>XLOOKUP($A153,'Specs'!$A$2:$A$164,'Specs'!$D$2:$D$164,"")</x:f>
      </x:c>
      <x:c r="E153" t="str">
        <x:f>XLOOKUP($A153,'Specs'!$A$2:$A$164,'Specs'!$E$2:$E$164,"")</x:f>
        <x:v>ELECTRIFIED POWER TRANSFER</x:v>
      </x:c>
      <x:c r="F153" t="str">
        <x:f>XLOOKUP($A153,'Specs'!$A$2:$A$164,'Specs'!$F$2:$F$164,"")</x:f>
        <x:v>NOT APPLICABLE</x:v>
      </x:c>
      <x:c r="G153" t="str">
        <x:f>XLOOKUP($A153,'Specs'!$A$2:$A$164,'Specs'!$G$2:$G$164,"")</x:f>
        <x:v>4.5" x 4.5"</x:v>
      </x:c>
      <x:c r="H153" t="str">
        <x:f>XLOOKUP($A153,'Specs'!$A$2:$A$164,'Specs'!$H$2:$H$164,"")</x:f>
      </x:c>
      <x:c r="I153" t="str">
        <x:f>XLOOKUP($A153,'Specs'!$A$2:$A$164,'Specs'!$I$2:$I$164,"")</x:f>
      </x:c>
      <x:c r="J153" t="str">
        <x:f>XLOOKUP($A153,'Specs'!$A$2:$A$164,'Specs'!$J$2:$J$164,"")</x:f>
      </x:c>
      <x:c r="K153" t="str">
        <x:f>XLOOKUP($A153,'Specs'!$A$2:$A$164,'Specs'!$K$2:$K$164,"")</x:f>
        <x:v>0.180"</x:v>
      </x:c>
      <x:c r="L153" t="str">
        <x:f>XLOOKUP($A153,'Specs'!$A$2:$A$164,'Specs'!$L$2:$L$164,"")</x:f>
        <x:v>304 STAINLESS STEEL</x:v>
      </x:c>
      <x:c r="M153" t="str">
        <x:f>XLOOKUP($A153,'Specs'!$A$2:$A$164,'Specs'!$M$2:$M$164,"")</x:f>
      </x:c>
      <x:c r="N153" t="str">
        <x:f>XLOOKUP($A153,'Specs'!$A$2:$A$164,'Specs'!$N$2:$N$164,"")</x:f>
      </x:c>
      <x:c r="O153" t="str">
        <x:f>XLOOKUP($A153,'Specs'!$A$2:$A$164,'Specs'!$O$2:$O$164,"")</x:f>
        <x:v>8 x 28 GA WIRE</x:v>
      </x:c>
      <x:c r="P153" t="str">
        <x:f>XLOOKUP($A153,'Specs'!$A$2:$A$164,'Specs'!$P$2:$P$164,"")</x:f>
        <x:v>HIGH</x:v>
      </x:c>
      <x:c r="Q153" s="53" t="n">
        <x:f>XLOOKUP($A153,'Specs'!$A$2:$A$164,'Specs'!$Q$2:$Q$164,"")</x:f>
        <x:v>1</x:v>
      </x:c>
      <x:c r="R153" s="53" t="n">
        <x:f>XLOOKUP($A153,'Specs'!$A$2:$A$164,'Specs'!$R$2:$R$164,"")</x:f>
        <x:v>1</x:v>
      </x:c>
      <x:c r="S153" t="str">
        <x:f>'Vendor Options'!A153</x:f>
        <x:v>OFFER-1026524A314D</x:v>
      </x:c>
      <x:c r="T153" t="str">
        <x:f>'Vendor Options'!C153</x:f>
        <x:v>DH</x:v>
      </x:c>
      <x:c r="U153" t="str">
        <x:f>'Vendor Options'!D153</x:f>
        <x:v>POWER TRSFR</x:v>
      </x:c>
      <x:c r="V153" t="str">
        <x:f>'Vendor Options'!E153</x:f>
        <x:v>4.5 * 4.5</x:v>
      </x:c>
      <x:c r="W153" t="str">
        <x:f>'Vendor Options'!F153</x:f>
      </x:c>
      <x:c r="X153" t="str">
        <x:f>'Vendor Options'!G153</x:f>
        <x:v>78000279</x:v>
      </x:c>
      <x:c r="Y153" t="str">
        <x:f>'Vendor Options'!H153</x:f>
        <x:v>78000279 - ETW8-BB5-HW 4.5 x 4.5 (8 - 28 Ga. wires)</x:v>
      </x:c>
      <x:c r="Z153" t="n">
        <x:f>'Vendor Options'!I153</x:f>
        <x:v>0</x:v>
      </x:c>
      <x:c r="AA153" s="54" t="n">
        <x:f>'Vendor Options'!J153</x:f>
        <x:v>0</x:v>
      </x:c>
      <x:c r="AB153" t="n">
        <x:f>'Vendor Options'!K153</x:f>
        <x:v>0</x:v>
      </x:c>
      <x:c r="AC153" s="57" t="n">
        <x:f>'Vendor Options'!L153</x:f>
        <x:v>0</x:v>
      </x:c>
      <x:c r="AD153" s="57" t="n">
        <x:f>'Vendor Options'!M153</x:f>
        <x:v>0</x:v>
      </x:c>
      <x:c r="AE153" s="54" t="str">
        <x:f>'Vendor Options'!N153</x:f>
      </x:c>
      <x:c r="AF153" t="str">
        <x:f>'Vendor Options'!O153</x:f>
        <x:v>USD</x:v>
      </x:c>
      <x:c r="AG153" t="str">
        <x:f>'Vendor Options'!P153</x:f>
        <x:v>UNPRICED</x:v>
      </x:c>
      <x:c r="AH153" t="str">
        <x:f>'Vendor Options'!Q153</x:f>
        <x:v>ACTIVE</x:v>
      </x:c>
      <x:c r="AI153" t="str">
        <x:f>'Vendor Options'!R153</x:f>
        <x:v>MISSING_PRICE</x:v>
      </x:c>
      <x:c r="AJ153" t="n">
        <x:f>'Vendor Options'!S153</x:f>
        <x:v>37</x:v>
      </x:c>
    </x:row>
    <x:row r="154" ht="15" hidden="0" customHeight="1">
      <x:c r="A154" t="str">
        <x:f>'Vendor Options'!B154</x:f>
        <x:v>SPEC-6148A16A1DC5</x:v>
      </x:c>
      <x:c r="B154" t="str">
        <x:f>XLOOKUP($A154,'Specs'!$A$2:$A$164,'Specs'!$B$2:$B$164,"")</x:f>
        <x:v>HINGE</x:v>
      </x:c>
      <x:c r="C154" t="str">
        <x:f>XLOOKUP($A154,'Specs'!$A$2:$A$164,'Specs'!$C$2:$C$164,"")</x:f>
        <x:v>POWER TRANSFER HINGE</x:v>
      </x:c>
      <x:c r="D154" t="str">
        <x:f>XLOOKUP($A154,'Specs'!$A$2:$A$164,'Specs'!$D$2:$D$164,"")</x:f>
      </x:c>
      <x:c r="E154" t="str">
        <x:f>XLOOKUP($A154,'Specs'!$A$2:$A$164,'Specs'!$E$2:$E$164,"")</x:f>
        <x:v>ELECTRIFIED POWER TRANSFER</x:v>
      </x:c>
      <x:c r="F154" t="str">
        <x:f>XLOOKUP($A154,'Specs'!$A$2:$A$164,'Specs'!$F$2:$F$164,"")</x:f>
        <x:v>NOT APPLICABLE</x:v>
      </x:c>
      <x:c r="G154" t="str">
        <x:f>XLOOKUP($A154,'Specs'!$A$2:$A$164,'Specs'!$G$2:$G$164,"")</x:f>
        <x:v>4.5" x 4.5"</x:v>
      </x:c>
      <x:c r="H154" t="str">
        <x:f>XLOOKUP($A154,'Specs'!$A$2:$A$164,'Specs'!$H$2:$H$164,"")</x:f>
      </x:c>
      <x:c r="I154" t="str">
        <x:f>XLOOKUP($A154,'Specs'!$A$2:$A$164,'Specs'!$I$2:$I$164,"")</x:f>
      </x:c>
      <x:c r="J154" t="str">
        <x:f>XLOOKUP($A154,'Specs'!$A$2:$A$164,'Specs'!$J$2:$J$164,"")</x:f>
      </x:c>
      <x:c r="K154" t="str">
        <x:f>XLOOKUP($A154,'Specs'!$A$2:$A$164,'Specs'!$K$2:$K$164,"")</x:f>
        <x:v>0.180"</x:v>
      </x:c>
      <x:c r="L154" t="str">
        <x:f>XLOOKUP($A154,'Specs'!$A$2:$A$164,'Specs'!$L$2:$L$164,"")</x:f>
        <x:v>316 STAINLESS STEEL</x:v>
      </x:c>
      <x:c r="M154" t="str">
        <x:f>XLOOKUP($A154,'Specs'!$A$2:$A$164,'Specs'!$M$2:$M$164,"")</x:f>
      </x:c>
      <x:c r="N154" t="str">
        <x:f>XLOOKUP($A154,'Specs'!$A$2:$A$164,'Specs'!$N$2:$N$164,"")</x:f>
      </x:c>
      <x:c r="O154" t="str">
        <x:f>XLOOKUP($A154,'Specs'!$A$2:$A$164,'Specs'!$O$2:$O$164,"")</x:f>
        <x:v>8 x 28 GA WIRE</x:v>
      </x:c>
      <x:c r="P154" t="str">
        <x:f>XLOOKUP($A154,'Specs'!$A$2:$A$164,'Specs'!$P$2:$P$164,"")</x:f>
        <x:v>HIGH</x:v>
      </x:c>
      <x:c r="Q154" s="53" t="n">
        <x:f>XLOOKUP($A154,'Specs'!$A$2:$A$164,'Specs'!$Q$2:$Q$164,"")</x:f>
        <x:v>1</x:v>
      </x:c>
      <x:c r="R154" s="53" t="n">
        <x:f>XLOOKUP($A154,'Specs'!$A$2:$A$164,'Specs'!$R$2:$R$164,"")</x:f>
        <x:v>1</x:v>
      </x:c>
      <x:c r="S154" t="str">
        <x:f>'Vendor Options'!A154</x:f>
        <x:v>OFFER-05DCDA4E628E</x:v>
      </x:c>
      <x:c r="T154" t="str">
        <x:f>'Vendor Options'!C154</x:f>
        <x:v>DH</x:v>
      </x:c>
      <x:c r="U154" t="str">
        <x:f>'Vendor Options'!D154</x:f>
        <x:v>POWER TRSFR</x:v>
      </x:c>
      <x:c r="V154" t="str">
        <x:f>'Vendor Options'!E154</x:f>
        <x:v>4.5 * 4.5</x:v>
      </x:c>
      <x:c r="W154" t="str">
        <x:f>'Vendor Options'!F154</x:f>
      </x:c>
      <x:c r="X154" t="str">
        <x:f>'Vendor Options'!G154</x:f>
        <x:v>78094104</x:v>
      </x:c>
      <x:c r="Y154" t="str">
        <x:f>'Vendor Options'!H154</x:f>
        <x:v>78094104 - ETW8-BB5-HW 4.5 x 4.5 (8 - 28 Ga. wires)</x:v>
      </x:c>
      <x:c r="Z154" t="str">
        <x:f>'Vendor Options'!I154</x:f>
      </x:c>
      <x:c r="AA154" s="54" t="n">
        <x:f>'Vendor Options'!J154</x:f>
        <x:v>0</x:v>
      </x:c>
      <x:c r="AB154" t="n">
        <x:f>'Vendor Options'!K154</x:f>
        <x:v>0</x:v>
      </x:c>
      <x:c r="AC154" s="57" t="n">
        <x:f>'Vendor Options'!L154</x:f>
        <x:v>0</x:v>
      </x:c>
      <x:c r="AD154" s="57" t="n">
        <x:f>'Vendor Options'!M154</x:f>
        <x:v>0</x:v>
      </x:c>
      <x:c r="AE154" s="54" t="str">
        <x:f>'Vendor Options'!N154</x:f>
      </x:c>
      <x:c r="AF154" t="str">
        <x:f>'Vendor Options'!O154</x:f>
        <x:v>USD</x:v>
      </x:c>
      <x:c r="AG154" t="str">
        <x:f>'Vendor Options'!P154</x:f>
        <x:v>UNPRICED</x:v>
      </x:c>
      <x:c r="AH154" t="str">
        <x:f>'Vendor Options'!Q154</x:f>
        <x:v>ACTIVE</x:v>
      </x:c>
      <x:c r="AI154" t="str">
        <x:f>'Vendor Options'!R154</x:f>
        <x:v>MISSING_PRICE</x:v>
      </x:c>
      <x:c r="AJ154" t="n">
        <x:f>'Vendor Options'!S154</x:f>
        <x:v>38</x:v>
      </x:c>
    </x:row>
    <x:row r="155" ht="15" hidden="0" customHeight="1">
      <x:c r="A155" t="str">
        <x:f>'Vendor Options'!B155</x:f>
        <x:v>SPEC-3D0B6F726096</x:v>
      </x:c>
      <x:c r="B155" t="str">
        <x:f>XLOOKUP($A155,'Specs'!$A$2:$A$164,'Specs'!$B$2:$B$164,"")</x:f>
        <x:v>HINGE</x:v>
      </x:c>
      <x:c r="C155" t="str">
        <x:f>XLOOKUP($A155,'Specs'!$A$2:$A$164,'Specs'!$C$2:$C$164,"")</x:f>
        <x:v>POWER TRANSFER HINGE</x:v>
      </x:c>
      <x:c r="D155" t="str">
        <x:f>XLOOKUP($A155,'Specs'!$A$2:$A$164,'Specs'!$D$2:$D$164,"")</x:f>
      </x:c>
      <x:c r="E155" t="str">
        <x:f>XLOOKUP($A155,'Specs'!$A$2:$A$164,'Specs'!$E$2:$E$164,"")</x:f>
        <x:v>ELECTRIFIED POWER TRANSFER</x:v>
      </x:c>
      <x:c r="F155" t="str">
        <x:f>XLOOKUP($A155,'Specs'!$A$2:$A$164,'Specs'!$F$2:$F$164,"")</x:f>
        <x:v>NOT APPLICABLE</x:v>
      </x:c>
      <x:c r="G155" t="str">
        <x:f>XLOOKUP($A155,'Specs'!$A$2:$A$164,'Specs'!$G$2:$G$164,"")</x:f>
        <x:v>4.5" x 4.5"</x:v>
      </x:c>
      <x:c r="H155" t="str">
        <x:f>XLOOKUP($A155,'Specs'!$A$2:$A$164,'Specs'!$H$2:$H$164,"")</x:f>
      </x:c>
      <x:c r="I155" t="str">
        <x:f>XLOOKUP($A155,'Specs'!$A$2:$A$164,'Specs'!$I$2:$I$164,"")</x:f>
      </x:c>
      <x:c r="J155" t="str">
        <x:f>XLOOKUP($A155,'Specs'!$A$2:$A$164,'Specs'!$J$2:$J$164,"")</x:f>
      </x:c>
      <x:c r="K155" t="str">
        <x:f>XLOOKUP($A155,'Specs'!$A$2:$A$164,'Specs'!$K$2:$K$164,"")</x:f>
        <x:v>0.180"</x:v>
      </x:c>
      <x:c r="L155" t="str">
        <x:f>XLOOKUP($A155,'Specs'!$A$2:$A$164,'Specs'!$L$2:$L$164,"")</x:f>
        <x:v>304 STAINLESS STEEL</x:v>
      </x:c>
      <x:c r="M155" t="str">
        <x:f>XLOOKUP($A155,'Specs'!$A$2:$A$164,'Specs'!$M$2:$M$164,"")</x:f>
      </x:c>
      <x:c r="N155" t="str">
        <x:f>XLOOKUP($A155,'Specs'!$A$2:$A$164,'Specs'!$N$2:$N$164,"")</x:f>
      </x:c>
      <x:c r="O155" t="str">
        <x:f>XLOOKUP($A155,'Specs'!$A$2:$A$164,'Specs'!$O$2:$O$164,"")</x:f>
        <x:v>8 WIRE</x:v>
      </x:c>
      <x:c r="P155" t="str">
        <x:f>XLOOKUP($A155,'Specs'!$A$2:$A$164,'Specs'!$P$2:$P$164,"")</x:f>
        <x:v>HIGH</x:v>
      </x:c>
      <x:c r="Q155" s="53" t="n">
        <x:f>XLOOKUP($A155,'Specs'!$A$2:$A$164,'Specs'!$Q$2:$Q$164,"")</x:f>
        <x:v>2</x:v>
      </x:c>
      <x:c r="R155" s="53" t="n">
        <x:f>XLOOKUP($A155,'Specs'!$A$2:$A$164,'Specs'!$R$2:$R$164,"")</x:f>
        <x:v>1</x:v>
      </x:c>
      <x:c r="S155" t="str">
        <x:f>'Vendor Options'!A155</x:f>
        <x:v>OFFER-1B610C4D1DE7</x:v>
      </x:c>
      <x:c r="T155" t="str">
        <x:f>'Vendor Options'!C155</x:f>
        <x:v>IVES</x:v>
      </x:c>
      <x:c r="U155" t="str">
        <x:f>'Vendor Options'!D155</x:f>
        <x:v>POWER TRSFR</x:v>
      </x:c>
      <x:c r="V155" t="str">
        <x:f>'Vendor Options'!E155</x:f>
        <x:v>4.5 * 4.5</x:v>
      </x:c>
      <x:c r="W155" t="n">
        <x:f>'Vendor Options'!F155</x:f>
        <x:v>0</x:v>
      </x:c>
      <x:c r="X155" t="str">
        <x:f>'Vendor Options'!G155</x:f>
        <x:v>5BB1HW</x:v>
      </x:c>
      <x:c r="Y155" t="str">
        <x:f>'Vendor Options'!H155</x:f>
        <x:v>5BB1HW 4.5X4.5 630 TW8 CON</x:v>
      </x:c>
      <x:c r="Z155" t="str">
        <x:f>'Vendor Options'!I155</x:f>
      </x:c>
      <x:c r="AA155" s="54" t="n">
        <x:f>'Vendor Options'!J155</x:f>
        <x:v>556.5</x:v>
      </x:c>
      <x:c r="AB155" t="n">
        <x:f>'Vendor Options'!K155</x:f>
        <x:v>0</x:v>
      </x:c>
      <x:c r="AC155" s="57" t="n">
        <x:f>'Vendor Options'!L155</x:f>
        <x:v>0</x:v>
      </x:c>
      <x:c r="AD155" s="57" t="n">
        <x:f>'Vendor Options'!M155</x:f>
        <x:v>0</x:v>
      </x:c>
      <x:c r="AE155" s="54" t="n">
        <x:f>'Vendor Options'!N155</x:f>
        <x:v>556.5</x:v>
      </x:c>
      <x:c r="AF155" t="str">
        <x:f>'Vendor Options'!O155</x:f>
        <x:v>USD</x:v>
      </x:c>
      <x:c r="AG155" t="str">
        <x:f>'Vendor Options'!P155</x:f>
        <x:v>PRICED</x:v>
      </x:c>
      <x:c r="AH155" t="str">
        <x:f>'Vendor Options'!Q155</x:f>
        <x:v>ACTIVE</x:v>
      </x:c>
      <x:c r="AI155" t="str">
        <x:f>'Vendor Options'!R155</x:f>
      </x:c>
      <x:c r="AJ155" t="n">
        <x:f>'Vendor Options'!S155</x:f>
        <x:v>40</x:v>
      </x:c>
    </x:row>
    <x:row r="156" ht="15" hidden="0" customHeight="1">
      <x:c r="A156" t="str">
        <x:f>'Vendor Options'!B156</x:f>
        <x:v>SPEC-3D0B6F726096</x:v>
      </x:c>
      <x:c r="B156" t="str">
        <x:f>XLOOKUP($A156,'Specs'!$A$2:$A$164,'Specs'!$B$2:$B$164,"")</x:f>
        <x:v>HINGE</x:v>
      </x:c>
      <x:c r="C156" t="str">
        <x:f>XLOOKUP($A156,'Specs'!$A$2:$A$164,'Specs'!$C$2:$C$164,"")</x:f>
        <x:v>POWER TRANSFER HINGE</x:v>
      </x:c>
      <x:c r="D156" t="str">
        <x:f>XLOOKUP($A156,'Specs'!$A$2:$A$164,'Specs'!$D$2:$D$164,"")</x:f>
      </x:c>
      <x:c r="E156" t="str">
        <x:f>XLOOKUP($A156,'Specs'!$A$2:$A$164,'Specs'!$E$2:$E$164,"")</x:f>
        <x:v>ELECTRIFIED POWER TRANSFER</x:v>
      </x:c>
      <x:c r="F156" t="str">
        <x:f>XLOOKUP($A156,'Specs'!$A$2:$A$164,'Specs'!$F$2:$F$164,"")</x:f>
        <x:v>NOT APPLICABLE</x:v>
      </x:c>
      <x:c r="G156" t="str">
        <x:f>XLOOKUP($A156,'Specs'!$A$2:$A$164,'Specs'!$G$2:$G$164,"")</x:f>
        <x:v>4.5" x 4.5"</x:v>
      </x:c>
      <x:c r="H156" t="str">
        <x:f>XLOOKUP($A156,'Specs'!$A$2:$A$164,'Specs'!$H$2:$H$164,"")</x:f>
      </x:c>
      <x:c r="I156" t="str">
        <x:f>XLOOKUP($A156,'Specs'!$A$2:$A$164,'Specs'!$I$2:$I$164,"")</x:f>
      </x:c>
      <x:c r="J156" t="str">
        <x:f>XLOOKUP($A156,'Specs'!$A$2:$A$164,'Specs'!$J$2:$J$164,"")</x:f>
      </x:c>
      <x:c r="K156" t="str">
        <x:f>XLOOKUP($A156,'Specs'!$A$2:$A$164,'Specs'!$K$2:$K$164,"")</x:f>
        <x:v>0.180"</x:v>
      </x:c>
      <x:c r="L156" t="str">
        <x:f>XLOOKUP($A156,'Specs'!$A$2:$A$164,'Specs'!$L$2:$L$164,"")</x:f>
        <x:v>304 STAINLESS STEEL</x:v>
      </x:c>
      <x:c r="M156" t="str">
        <x:f>XLOOKUP($A156,'Specs'!$A$2:$A$164,'Specs'!$M$2:$M$164,"")</x:f>
      </x:c>
      <x:c r="N156" t="str">
        <x:f>XLOOKUP($A156,'Specs'!$A$2:$A$164,'Specs'!$N$2:$N$164,"")</x:f>
      </x:c>
      <x:c r="O156" t="str">
        <x:f>XLOOKUP($A156,'Specs'!$A$2:$A$164,'Specs'!$O$2:$O$164,"")</x:f>
        <x:v>8 WIRE</x:v>
      </x:c>
      <x:c r="P156" t="str">
        <x:f>XLOOKUP($A156,'Specs'!$A$2:$A$164,'Specs'!$P$2:$P$164,"")</x:f>
        <x:v>HIGH</x:v>
      </x:c>
      <x:c r="Q156" s="53" t="n">
        <x:f>XLOOKUP($A156,'Specs'!$A$2:$A$164,'Specs'!$Q$2:$Q$164,"")</x:f>
        <x:v>2</x:v>
      </x:c>
      <x:c r="R156" s="53" t="n">
        <x:f>XLOOKUP($A156,'Specs'!$A$2:$A$164,'Specs'!$R$2:$R$164,"")</x:f>
        <x:v>1</x:v>
      </x:c>
      <x:c r="S156" t="str">
        <x:f>'Vendor Options'!A156</x:f>
        <x:v>OFFER-77EE191595D7</x:v>
      </x:c>
      <x:c r="T156" t="str">
        <x:f>'Vendor Options'!C156</x:f>
        <x:v>IVES</x:v>
      </x:c>
      <x:c r="U156" t="str">
        <x:f>'Vendor Options'!D156</x:f>
        <x:v>POWER TRSFR</x:v>
      </x:c>
      <x:c r="V156" t="str">
        <x:f>'Vendor Options'!E156</x:f>
        <x:v>4.5 * 4.5</x:v>
      </x:c>
      <x:c r="W156" t="str">
        <x:f>'Vendor Options'!F156</x:f>
      </x:c>
      <x:c r="X156" t="str">
        <x:f>'Vendor Options'!G156</x:f>
      </x:c>
      <x:c r="Y156" t="n">
        <x:f>'Vendor Options'!H156</x:f>
        <x:v>0</x:v>
      </x:c>
      <x:c r="Z156" t="str">
        <x:f>'Vendor Options'!I156</x:f>
        <x:v>847-01799</x:v>
      </x:c>
      <x:c r="AA156" s="54" t="n">
        <x:f>'Vendor Options'!J156</x:f>
        <x:v>235</x:v>
      </x:c>
      <x:c r="AB156" t="n">
        <x:f>'Vendor Options'!K156</x:f>
        <x:v>0</x:v>
      </x:c>
      <x:c r="AC156" s="57" t="n">
        <x:f>'Vendor Options'!L156</x:f>
        <x:v>0</x:v>
      </x:c>
      <x:c r="AD156" s="57" t="n">
        <x:f>'Vendor Options'!M156</x:f>
        <x:v>0</x:v>
      </x:c>
      <x:c r="AE156" s="54" t="n">
        <x:f>'Vendor Options'!N156</x:f>
        <x:v>235</x:v>
      </x:c>
      <x:c r="AF156" t="str">
        <x:f>'Vendor Options'!O156</x:f>
        <x:v>USD</x:v>
      </x:c>
      <x:c r="AG156" t="str">
        <x:f>'Vendor Options'!P156</x:f>
        <x:v>PRICED</x:v>
      </x:c>
      <x:c r="AH156" t="str">
        <x:f>'Vendor Options'!Q156</x:f>
        <x:v>REVIEW</x:v>
      </x:c>
      <x:c r="AI156" t="str">
        <x:f>'Vendor Options'!R156</x:f>
        <x:v>MISSING_PART_NUMBER</x:v>
      </x:c>
      <x:c r="AJ156" t="n">
        <x:f>'Vendor Options'!S156</x:f>
        <x:v>41</x:v>
      </x:c>
    </x:row>
    <x:row r="157" ht="15" hidden="0" customHeight="1">
      <x:c r="A157" t="str">
        <x:f>'Vendor Options'!B157</x:f>
        <x:v>SPEC-670C4978BBE2</x:v>
      </x:c>
      <x:c r="B157" t="str">
        <x:f>XLOOKUP($A157,'Specs'!$A$2:$A$164,'Specs'!$B$2:$B$164,"")</x:f>
        <x:v>HINGE</x:v>
      </x:c>
      <x:c r="C157" t="str">
        <x:f>XLOOKUP($A157,'Specs'!$A$2:$A$164,'Specs'!$C$2:$C$164,"")</x:f>
        <x:v>POWER TRANSFER HINGE</x:v>
      </x:c>
      <x:c r="D157" t="str">
        <x:f>XLOOKUP($A157,'Specs'!$A$2:$A$164,'Specs'!$D$2:$D$164,"")</x:f>
      </x:c>
      <x:c r="E157" t="str">
        <x:f>XLOOKUP($A157,'Specs'!$A$2:$A$164,'Specs'!$E$2:$E$164,"")</x:f>
        <x:v>ELECTRIFIED POWER TRANSFER</x:v>
      </x:c>
      <x:c r="F157" t="str">
        <x:f>XLOOKUP($A157,'Specs'!$A$2:$A$164,'Specs'!$F$2:$F$164,"")</x:f>
        <x:v>NOT APPLICABLE</x:v>
      </x:c>
      <x:c r="G157" t="str">
        <x:f>XLOOKUP($A157,'Specs'!$A$2:$A$164,'Specs'!$G$2:$G$164,"")</x:f>
        <x:v>4.5" x 4.5"</x:v>
      </x:c>
      <x:c r="H157" t="str">
        <x:f>XLOOKUP($A157,'Specs'!$A$2:$A$164,'Specs'!$H$2:$H$164,"")</x:f>
      </x:c>
      <x:c r="I157" t="str">
        <x:f>XLOOKUP($A157,'Specs'!$A$2:$A$164,'Specs'!$I$2:$I$164,"")</x:f>
      </x:c>
      <x:c r="J157" t="str">
        <x:f>XLOOKUP($A157,'Specs'!$A$2:$A$164,'Specs'!$J$2:$J$164,"")</x:f>
      </x:c>
      <x:c r="K157" t="str">
        <x:f>XLOOKUP($A157,'Specs'!$A$2:$A$164,'Specs'!$K$2:$K$164,"")</x:f>
        <x:v>0.180"</x:v>
      </x:c>
      <x:c r="L157" t="str">
        <x:f>XLOOKUP($A157,'Specs'!$A$2:$A$164,'Specs'!$L$2:$L$164,"")</x:f>
        <x:v>304 STAINLESS STEEL</x:v>
      </x:c>
      <x:c r="M157" t="str">
        <x:f>XLOOKUP($A157,'Specs'!$A$2:$A$164,'Specs'!$M$2:$M$164,"")</x:f>
      </x:c>
      <x:c r="N157" t="str">
        <x:f>XLOOKUP($A157,'Specs'!$A$2:$A$164,'Specs'!$N$2:$N$164,"")</x:f>
      </x:c>
      <x:c r="O157" t="str">
        <x:f>XLOOKUP($A157,'Specs'!$A$2:$A$164,'Specs'!$O$2:$O$164,"")</x:f>
        <x:v>3 x 04 GA WIRE</x:v>
      </x:c>
      <x:c r="P157" t="str">
        <x:f>XLOOKUP($A157,'Specs'!$A$2:$A$164,'Specs'!$P$2:$P$164,"")</x:f>
        <x:v>HIGH</x:v>
      </x:c>
      <x:c r="Q157" s="53" t="n">
        <x:f>XLOOKUP($A157,'Specs'!$A$2:$A$164,'Specs'!$Q$2:$Q$164,"")</x:f>
        <x:v>1</x:v>
      </x:c>
      <x:c r="R157" s="53" t="n">
        <x:f>XLOOKUP($A157,'Specs'!$A$2:$A$164,'Specs'!$R$2:$R$164,"")</x:f>
        <x:v>1</x:v>
      </x:c>
      <x:c r="S157" t="str">
        <x:f>'Vendor Options'!A157</x:f>
        <x:v>OFFER-EE4737AD53DC</x:v>
      </x:c>
      <x:c r="T157" t="str">
        <x:f>'Vendor Options'!C157</x:f>
        <x:v>PHG</x:v>
      </x:c>
      <x:c r="U157" t="str">
        <x:f>'Vendor Options'!D157</x:f>
        <x:v>POWER TRSFR</x:v>
      </x:c>
      <x:c r="V157" t="str">
        <x:f>'Vendor Options'!E157</x:f>
        <x:v>4.5 * 4.5</x:v>
      </x:c>
      <x:c r="W157" t="str">
        <x:f>'Vendor Options'!F157</x:f>
      </x:c>
      <x:c r="X157" t="str">
        <x:f>'Vendor Options'!G157</x:f>
        <x:v>CH4632E</x:v>
      </x:c>
      <x:c r="Y157" t="str">
        <x:f>'Vendor Options'!H157</x:f>
        <x:v>CH4632E 4H ELR</x:v>
      </x:c>
      <x:c r="Z157" t="n">
        <x:f>'Vendor Options'!I157</x:f>
        <x:v>0</x:v>
      </x:c>
      <x:c r="AA157" s="54" t="n">
        <x:f>'Vendor Options'!J157</x:f>
        <x:v>0</x:v>
      </x:c>
      <x:c r="AB157" t="n">
        <x:f>'Vendor Options'!K157</x:f>
        <x:v>0</x:v>
      </x:c>
      <x:c r="AC157" s="57" t="n">
        <x:f>'Vendor Options'!L157</x:f>
        <x:v>0</x:v>
      </x:c>
      <x:c r="AD157" s="57" t="n">
        <x:f>'Vendor Options'!M157</x:f>
        <x:v>0</x:v>
      </x:c>
      <x:c r="AE157" s="54" t="str">
        <x:f>'Vendor Options'!N157</x:f>
      </x:c>
      <x:c r="AF157" t="str">
        <x:f>'Vendor Options'!O157</x:f>
        <x:v>USD</x:v>
      </x:c>
      <x:c r="AG157" t="str">
        <x:f>'Vendor Options'!P157</x:f>
        <x:v>UNPRICED</x:v>
      </x:c>
      <x:c r="AH157" t="str">
        <x:f>'Vendor Options'!Q157</x:f>
        <x:v>ACTIVE</x:v>
      </x:c>
      <x:c r="AI157" t="str">
        <x:f>'Vendor Options'!R157</x:f>
        <x:v>MISSING_PRICE</x:v>
      </x:c>
      <x:c r="AJ157" t="n">
        <x:f>'Vendor Options'!S157</x:f>
        <x:v>39</x:v>
      </x:c>
    </x:row>
    <x:row r="158" ht="15" hidden="0" customHeight="1">
      <x:c r="A158" t="str">
        <x:f>'Vendor Options'!B158</x:f>
        <x:v>SPEC-F4CEDBA6C85C</x:v>
      </x:c>
      <x:c r="B158" t="str">
        <x:f>XLOOKUP($A158,'Specs'!$A$2:$A$164,'Specs'!$B$2:$B$164,"")</x:f>
        <x:v>HINGE</x:v>
      </x:c>
      <x:c r="C158" t="str">
        <x:f>XLOOKUP($A158,'Specs'!$A$2:$A$164,'Specs'!$C$2:$C$164,"")</x:f>
        <x:v>SPECIAL BUTT HINGE</x:v>
      </x:c>
      <x:c r="D158" t="str">
        <x:f>XLOOKUP($A158,'Specs'!$A$2:$A$164,'Specs'!$D$2:$D$164,"")</x:f>
      </x:c>
      <x:c r="E158" t="str">
        <x:f>XLOOKUP($A158,'Specs'!$A$2:$A$164,'Specs'!$E$2:$E$164,"")</x:f>
        <x:v>NON-REMOVABLE PIN</x:v>
      </x:c>
      <x:c r="F158" t="str">
        <x:f>XLOOKUP($A158,'Specs'!$A$2:$A$164,'Specs'!$F$2:$F$164,"")</x:f>
        <x:v>NOT APPLICABLE</x:v>
      </x:c>
      <x:c r="G158" t="str">
        <x:f>XLOOKUP($A158,'Specs'!$A$2:$A$164,'Specs'!$G$2:$G$164,"")</x:f>
        <x:v>5.0" x 4.5"</x:v>
      </x:c>
      <x:c r="H158" t="str">
        <x:f>XLOOKUP($A158,'Specs'!$A$2:$A$164,'Specs'!$H$2:$H$164,"")</x:f>
      </x:c>
      <x:c r="I158" t="str">
        <x:f>XLOOKUP($A158,'Specs'!$A$2:$A$164,'Specs'!$I$2:$I$164,"")</x:f>
      </x:c>
      <x:c r="J158" t="str">
        <x:f>XLOOKUP($A158,'Specs'!$A$2:$A$164,'Specs'!$J$2:$J$164,"")</x:f>
      </x:c>
      <x:c r="K158" t="str">
        <x:f>XLOOKUP($A158,'Specs'!$A$2:$A$164,'Specs'!$K$2:$K$164,"")</x:f>
        <x:v>0.180"</x:v>
      </x:c>
      <x:c r="L158" t="str">
        <x:f>XLOOKUP($A158,'Specs'!$A$2:$A$164,'Specs'!$L$2:$L$164,"")</x:f>
        <x:v>304 STAINLESS STEEL</x:v>
      </x:c>
      <x:c r="M158" t="str">
        <x:f>XLOOKUP($A158,'Specs'!$A$2:$A$164,'Specs'!$M$2:$M$164,"")</x:f>
      </x:c>
      <x:c r="N158" t="str">
        <x:f>XLOOKUP($A158,'Specs'!$A$2:$A$164,'Specs'!$N$2:$N$164,"")</x:f>
      </x:c>
      <x:c r="O158" t="str">
        <x:f>XLOOKUP($A158,'Specs'!$A$2:$A$164,'Specs'!$O$2:$O$164,"")</x:f>
        <x:v>NON-REMOVABLE PIN; 3 x 04 GA WIRE</x:v>
      </x:c>
      <x:c r="P158" t="str">
        <x:f>XLOOKUP($A158,'Specs'!$A$2:$A$164,'Specs'!$P$2:$P$164,"")</x:f>
        <x:v>HIGH</x:v>
      </x:c>
      <x:c r="Q158" s="53" t="n">
        <x:f>XLOOKUP($A158,'Specs'!$A$2:$A$164,'Specs'!$Q$2:$Q$164,"")</x:f>
        <x:v>1</x:v>
      </x:c>
      <x:c r="R158" s="53" t="n">
        <x:f>XLOOKUP($A158,'Specs'!$A$2:$A$164,'Specs'!$R$2:$R$164,"")</x:f>
        <x:v>1</x:v>
      </x:c>
      <x:c r="S158" t="str">
        <x:f>'Vendor Options'!A158</x:f>
        <x:v>OFFER-804837E01F90</x:v>
      </x:c>
      <x:c r="T158" t="str">
        <x:f>'Vendor Options'!C158</x:f>
        <x:v>DH</x:v>
      </x:c>
      <x:c r="U158" t="str">
        <x:f>'Vendor Options'!D158</x:f>
        <x:v>BUTT HINGE SPECIAL</x:v>
      </x:c>
      <x:c r="V158" t="str">
        <x:f>'Vendor Options'!E158</x:f>
        <x:v>5.0 * 4.5</x:v>
      </x:c>
      <x:c r="W158" t="n">
        <x:f>'Vendor Options'!F158</x:f>
        <x:v>0</x:v>
      </x:c>
      <x:c r="X158" t="str">
        <x:f>'Vendor Options'!G158</x:f>
        <x:v>78000531</x:v>
      </x:c>
      <x:c r="Y158" t="str">
        <x:f>'Vendor Options'!H158</x:f>
        <x:v>78000531 - BB5 NRP 5 x 4.5</x:v>
      </x:c>
      <x:c r="Z158" t="n">
        <x:f>'Vendor Options'!I158</x:f>
        <x:v>0</x:v>
      </x:c>
      <x:c r="AA158" s="54" t="n">
        <x:f>'Vendor Options'!J158</x:f>
        <x:v>0</x:v>
      </x:c>
      <x:c r="AB158" t="n">
        <x:f>'Vendor Options'!K158</x:f>
        <x:v>0</x:v>
      </x:c>
      <x:c r="AC158" s="57" t="n">
        <x:f>'Vendor Options'!L158</x:f>
        <x:v>0</x:v>
      </x:c>
      <x:c r="AD158" s="57" t="n">
        <x:f>'Vendor Options'!M158</x:f>
        <x:v>0</x:v>
      </x:c>
      <x:c r="AE158" s="54" t="str">
        <x:f>'Vendor Options'!N158</x:f>
      </x:c>
      <x:c r="AF158" t="str">
        <x:f>'Vendor Options'!O158</x:f>
        <x:v>USD</x:v>
      </x:c>
      <x:c r="AG158" t="str">
        <x:f>'Vendor Options'!P158</x:f>
        <x:v>UNPRICED</x:v>
      </x:c>
      <x:c r="AH158" t="str">
        <x:f>'Vendor Options'!Q158</x:f>
        <x:v>ACTIVE</x:v>
      </x:c>
      <x:c r="AI158" t="str">
        <x:f>'Vendor Options'!R158</x:f>
        <x:v>MISSING_PRICE</x:v>
      </x:c>
      <x:c r="AJ158" t="n">
        <x:f>'Vendor Options'!S158</x:f>
        <x:v>7</x:v>
      </x:c>
    </x:row>
    <x:row r="159" ht="15" hidden="0" customHeight="1">
      <x:c r="A159" t="str">
        <x:f>'Vendor Options'!B159</x:f>
        <x:v>SPEC-E60B40B45B93</x:v>
      </x:c>
      <x:c r="B159" t="str">
        <x:f>XLOOKUP($A159,'Specs'!$A$2:$A$164,'Specs'!$B$2:$B$164,"")</x:f>
        <x:v>HINGE</x:v>
      </x:c>
      <x:c r="C159" t="str">
        <x:f>XLOOKUP($A159,'Specs'!$A$2:$A$164,'Specs'!$C$2:$C$164,"")</x:f>
        <x:v>SPECIAL BUTT HINGE</x:v>
      </x:c>
      <x:c r="D159" t="str">
        <x:f>XLOOKUP($A159,'Specs'!$A$2:$A$164,'Specs'!$D$2:$D$164,"")</x:f>
      </x:c>
      <x:c r="E159" t="str">
        <x:f>XLOOKUP($A159,'Specs'!$A$2:$A$164,'Specs'!$E$2:$E$164,"")</x:f>
        <x:v>NON-REMOVABLE PIN</x:v>
      </x:c>
      <x:c r="F159" t="str">
        <x:f>XLOOKUP($A159,'Specs'!$A$2:$A$164,'Specs'!$F$2:$F$164,"")</x:f>
        <x:v>NOT APPLICABLE</x:v>
      </x:c>
      <x:c r="G159" t="str">
        <x:f>XLOOKUP($A159,'Specs'!$A$2:$A$164,'Specs'!$G$2:$G$164,"")</x:f>
        <x:v>5.0" x 5.0"</x:v>
      </x:c>
      <x:c r="H159" t="str">
        <x:f>XLOOKUP($A159,'Specs'!$A$2:$A$164,'Specs'!$H$2:$H$164,"")</x:f>
      </x:c>
      <x:c r="I159" t="str">
        <x:f>XLOOKUP($A159,'Specs'!$A$2:$A$164,'Specs'!$I$2:$I$164,"")</x:f>
      </x:c>
      <x:c r="J159" t="str">
        <x:f>XLOOKUP($A159,'Specs'!$A$2:$A$164,'Specs'!$J$2:$J$164,"")</x:f>
      </x:c>
      <x:c r="K159" t="str">
        <x:f>XLOOKUP($A159,'Specs'!$A$2:$A$164,'Specs'!$K$2:$K$164,"")</x:f>
        <x:v>0.180"</x:v>
      </x:c>
      <x:c r="L159" t="str">
        <x:f>XLOOKUP($A159,'Specs'!$A$2:$A$164,'Specs'!$L$2:$L$164,"")</x:f>
        <x:v>304 STAINLESS STEEL</x:v>
      </x:c>
      <x:c r="M159" t="str">
        <x:f>XLOOKUP($A159,'Specs'!$A$2:$A$164,'Specs'!$M$2:$M$164,"")</x:f>
      </x:c>
      <x:c r="N159" t="str">
        <x:f>XLOOKUP($A159,'Specs'!$A$2:$A$164,'Specs'!$N$2:$N$164,"")</x:f>
      </x:c>
      <x:c r="O159" t="str">
        <x:f>XLOOKUP($A159,'Specs'!$A$2:$A$164,'Specs'!$O$2:$O$164,"")</x:f>
        <x:v>NON-REMOVABLE PIN; 3 x 04 GA WIRE</x:v>
      </x:c>
      <x:c r="P159" t="str">
        <x:f>XLOOKUP($A159,'Specs'!$A$2:$A$164,'Specs'!$P$2:$P$164,"")</x:f>
        <x:v>HIGH</x:v>
      </x:c>
      <x:c r="Q159" s="53" t="n">
        <x:f>XLOOKUP($A159,'Specs'!$A$2:$A$164,'Specs'!$Q$2:$Q$164,"")</x:f>
        <x:v>1</x:v>
      </x:c>
      <x:c r="R159" s="53" t="n">
        <x:f>XLOOKUP($A159,'Specs'!$A$2:$A$164,'Specs'!$R$2:$R$164,"")</x:f>
        <x:v>1</x:v>
      </x:c>
      <x:c r="S159" t="str">
        <x:f>'Vendor Options'!A159</x:f>
        <x:v>OFFER-EB397929ED5E</x:v>
      </x:c>
      <x:c r="T159" t="str">
        <x:f>'Vendor Options'!C159</x:f>
      </x:c>
      <x:c r="U159" t="str">
        <x:f>'Vendor Options'!D159</x:f>
        <x:v>BUTT HINGE SPECIAL</x:v>
      </x:c>
      <x:c r="V159" t="str">
        <x:f>'Vendor Options'!E159</x:f>
        <x:v>5.0 * 5.0</x:v>
      </x:c>
      <x:c r="W159" t="str">
        <x:f>'Vendor Options'!F159</x:f>
      </x:c>
      <x:c r="X159" t="str">
        <x:f>'Vendor Options'!G159</x:f>
      </x:c>
      <x:c r="Y159" t="n">
        <x:f>'Vendor Options'!H159</x:f>
        <x:v>0</x:v>
      </x:c>
      <x:c r="Z159" t="str">
        <x:f>'Vendor Options'!I159</x:f>
      </x:c>
      <x:c r="AA159" s="54" t="n">
        <x:f>'Vendor Options'!J159</x:f>
        <x:v>0</x:v>
      </x:c>
      <x:c r="AB159" t="n">
        <x:f>'Vendor Options'!K159</x:f>
        <x:v>0</x:v>
      </x:c>
      <x:c r="AC159" s="57" t="n">
        <x:f>'Vendor Options'!L159</x:f>
        <x:v>0</x:v>
      </x:c>
      <x:c r="AD159" s="57" t="n">
        <x:f>'Vendor Options'!M159</x:f>
        <x:v>0</x:v>
      </x:c>
      <x:c r="AE159" s="54" t="str">
        <x:f>'Vendor Options'!N159</x:f>
      </x:c>
      <x:c r="AF159" t="str">
        <x:f>'Vendor Options'!O159</x:f>
        <x:v>USD</x:v>
      </x:c>
      <x:c r="AG159" t="str">
        <x:f>'Vendor Options'!P159</x:f>
        <x:v>UNPRICED</x:v>
      </x:c>
      <x:c r="AH159" t="str">
        <x:f>'Vendor Options'!Q159</x:f>
        <x:v>REVIEW</x:v>
      </x:c>
      <x:c r="AI159" t="str">
        <x:f>'Vendor Options'!R159</x:f>
        <x:v>MISSING_VENDOR; MISSING_PRICE; MISSING_PART_NUMBER</x:v>
      </x:c>
      <x:c r="AJ159" t="n">
        <x:f>'Vendor Options'!S159</x:f>
        <x:v>8</x:v>
      </x:c>
    </x:row>
    <x:row r="160" ht="15" hidden="0" customHeight="1">
      <x:c r="A160" t="str">
        <x:f>'Vendor Options'!B160</x:f>
        <x:v>SPEC-DE59CAC94BBD</x:v>
      </x:c>
      <x:c r="B160" t="str">
        <x:f>XLOOKUP($A160,'Specs'!$A$2:$A$164,'Specs'!$B$2:$B$164,"")</x:f>
        <x:v>HINGE</x:v>
      </x:c>
      <x:c r="C160" t="str">
        <x:f>XLOOKUP($A160,'Specs'!$A$2:$A$164,'Specs'!$C$2:$C$164,"")</x:f>
        <x:v>SPRING BUTT HINGE</x:v>
      </x:c>
      <x:c r="D160" t="str">
        <x:f>XLOOKUP($A160,'Specs'!$A$2:$A$164,'Specs'!$D$2:$D$164,"")</x:f>
      </x:c>
      <x:c r="E160" t="str">
        <x:f>XLOOKUP($A160,'Specs'!$A$2:$A$164,'Specs'!$E$2:$E$164,"")</x:f>
      </x:c>
      <x:c r="F160" t="str">
        <x:f>XLOOKUP($A160,'Specs'!$A$2:$A$164,'Specs'!$F$2:$F$164,"")</x:f>
        <x:v>NOT APPLICABLE</x:v>
      </x:c>
      <x:c r="G160" t="str">
        <x:f>XLOOKUP($A160,'Specs'!$A$2:$A$164,'Specs'!$G$2:$G$164,"")</x:f>
        <x:v>4.5" x 4.5"</x:v>
      </x:c>
      <x:c r="H160" t="str">
        <x:f>XLOOKUP($A160,'Specs'!$A$2:$A$164,'Specs'!$H$2:$H$164,"")</x:f>
      </x:c>
      <x:c r="I160" t="str">
        <x:f>XLOOKUP($A160,'Specs'!$A$2:$A$164,'Specs'!$I$2:$I$164,"")</x:f>
      </x:c>
      <x:c r="J160" t="str">
        <x:f>XLOOKUP($A160,'Specs'!$A$2:$A$164,'Specs'!$J$2:$J$164,"")</x:f>
      </x:c>
      <x:c r="K160" t="str">
        <x:f>XLOOKUP($A160,'Specs'!$A$2:$A$164,'Specs'!$K$2:$K$164,"")</x:f>
        <x:v>0.180"</x:v>
      </x:c>
      <x:c r="L160" t="str">
        <x:f>XLOOKUP($A160,'Specs'!$A$2:$A$164,'Specs'!$L$2:$L$164,"")</x:f>
        <x:v>304 STAINLESS STEEL</x:v>
      </x:c>
      <x:c r="M160" t="str">
        <x:f>XLOOKUP($A160,'Specs'!$A$2:$A$164,'Specs'!$M$2:$M$164,"")</x:f>
      </x:c>
      <x:c r="N160" t="str">
        <x:f>XLOOKUP($A160,'Specs'!$A$2:$A$164,'Specs'!$N$2:$N$164,"")</x:f>
      </x:c>
      <x:c r="O160" t="str">
        <x:f>XLOOKUP($A160,'Specs'!$A$2:$A$164,'Specs'!$O$2:$O$164,"")</x:f>
        <x:v>3 x 04 GA WIRE</x:v>
      </x:c>
      <x:c r="P160" t="str">
        <x:f>XLOOKUP($A160,'Specs'!$A$2:$A$164,'Specs'!$P$2:$P$164,"")</x:f>
        <x:v>HIGH</x:v>
      </x:c>
      <x:c r="Q160" s="53" t="n">
        <x:f>XLOOKUP($A160,'Specs'!$A$2:$A$164,'Specs'!$Q$2:$Q$164,"")</x:f>
        <x:v>1</x:v>
      </x:c>
      <x:c r="R160" s="53" t="n">
        <x:f>XLOOKUP($A160,'Specs'!$A$2:$A$164,'Specs'!$R$2:$R$164,"")</x:f>
        <x:v>1</x:v>
      </x:c>
      <x:c r="S160" t="str">
        <x:f>'Vendor Options'!A160</x:f>
        <x:v>OFFER-FB649CFDCADA</x:v>
      </x:c>
      <x:c r="T160" t="str">
        <x:f>'Vendor Options'!C160</x:f>
      </x:c>
      <x:c r="U160" t="str">
        <x:f>'Vendor Options'!D160</x:f>
        <x:v>BUTT HINGE W SPRING</x:v>
      </x:c>
      <x:c r="V160" t="str">
        <x:f>'Vendor Options'!E160</x:f>
        <x:v>4.5 * 4.5</x:v>
      </x:c>
      <x:c r="W160" t="str">
        <x:f>'Vendor Options'!F160</x:f>
      </x:c>
      <x:c r="X160" t="str">
        <x:f>'Vendor Options'!G160</x:f>
        <x:v>SPRING</x:v>
      </x:c>
      <x:c r="Y160" t="str">
        <x:f>'Vendor Options'!H160</x:f>
        <x:v>SPRING HW</x:v>
      </x:c>
      <x:c r="Z160" t="n">
        <x:f>'Vendor Options'!I160</x:f>
        <x:v>0</x:v>
      </x:c>
      <x:c r="AA160" s="54" t="n">
        <x:f>'Vendor Options'!J160</x:f>
        <x:v>96.25</x:v>
      </x:c>
      <x:c r="AB160" t="n">
        <x:f>'Vendor Options'!K160</x:f>
        <x:v>0</x:v>
      </x:c>
      <x:c r="AC160" s="57" t="n">
        <x:f>'Vendor Options'!L160</x:f>
        <x:v>0</x:v>
      </x:c>
      <x:c r="AD160" s="57" t="n">
        <x:f>'Vendor Options'!M160</x:f>
        <x:v>0</x:v>
      </x:c>
      <x:c r="AE160" s="54" t="n">
        <x:f>'Vendor Options'!N160</x:f>
        <x:v>96.25</x:v>
      </x:c>
      <x:c r="AF160" t="str">
        <x:f>'Vendor Options'!O160</x:f>
        <x:v>USD</x:v>
      </x:c>
      <x:c r="AG160" t="str">
        <x:f>'Vendor Options'!P160</x:f>
        <x:v>PRICED</x:v>
      </x:c>
      <x:c r="AH160" t="str">
        <x:f>'Vendor Options'!Q160</x:f>
        <x:v>REVIEW</x:v>
      </x:c>
      <x:c r="AI160" t="str">
        <x:f>'Vendor Options'!R160</x:f>
        <x:v>MISSING_VENDOR</x:v>
      </x:c>
      <x:c r="AJ160" t="n">
        <x:f>'Vendor Options'!S160</x:f>
        <x:v>6</x:v>
      </x:c>
    </x:row>
    <x:row r="161" ht="15" hidden="0" customHeight="1">
      <x:c r="A161" t="str">
        <x:f>'Vendor Options'!B161</x:f>
        <x:v>SPEC-86E6996563AA</x:v>
      </x:c>
      <x:c r="B161" t="str">
        <x:f>XLOOKUP($A161,'Specs'!$A$2:$A$164,'Specs'!$B$2:$B$164,"")</x:f>
        <x:v>HINGE</x:v>
      </x:c>
      <x:c r="C161" t="str">
        <x:f>XLOOKUP($A161,'Specs'!$A$2:$A$164,'Specs'!$C$2:$C$164,"")</x:f>
        <x:v>SPRING BUTT HINGE</x:v>
      </x:c>
      <x:c r="D161" t="str">
        <x:f>XLOOKUP($A161,'Specs'!$A$2:$A$164,'Specs'!$D$2:$D$164,"")</x:f>
      </x:c>
      <x:c r="E161" t="str">
        <x:f>XLOOKUP($A161,'Specs'!$A$2:$A$164,'Specs'!$E$2:$E$164,"")</x:f>
      </x:c>
      <x:c r="F161" t="str">
        <x:f>XLOOKUP($A161,'Specs'!$A$2:$A$164,'Specs'!$F$2:$F$164,"")</x:f>
        <x:v>NOT APPLICABLE</x:v>
      </x:c>
      <x:c r="G161" t="str">
        <x:f>XLOOKUP($A161,'Specs'!$A$2:$A$164,'Specs'!$G$2:$G$164,"")</x:f>
        <x:v>4.5" x 4.5"</x:v>
      </x:c>
      <x:c r="H161" t="str">
        <x:f>XLOOKUP($A161,'Specs'!$A$2:$A$164,'Specs'!$H$2:$H$164,"")</x:f>
      </x:c>
      <x:c r="I161" t="str">
        <x:f>XLOOKUP($A161,'Specs'!$A$2:$A$164,'Specs'!$I$2:$I$164,"")</x:f>
      </x:c>
      <x:c r="J161" t="str">
        <x:f>XLOOKUP($A161,'Specs'!$A$2:$A$164,'Specs'!$J$2:$J$164,"")</x:f>
      </x:c>
      <x:c r="K161" t="str">
        <x:f>XLOOKUP($A161,'Specs'!$A$2:$A$164,'Specs'!$K$2:$K$164,"")</x:f>
        <x:v>0.134"</x:v>
      </x:c>
      <x:c r="L161" t="str">
        <x:f>XLOOKUP($A161,'Specs'!$A$2:$A$164,'Specs'!$L$2:$L$164,"")</x:f>
        <x:v>304 STAINLESS STEEL</x:v>
      </x:c>
      <x:c r="M161" t="str">
        <x:f>XLOOKUP($A161,'Specs'!$A$2:$A$164,'Specs'!$M$2:$M$164,"")</x:f>
      </x:c>
      <x:c r="N161" t="str">
        <x:f>XLOOKUP($A161,'Specs'!$A$2:$A$164,'Specs'!$N$2:$N$164,"")</x:f>
      </x:c>
      <x:c r="O161" t="str">
        <x:f>XLOOKUP($A161,'Specs'!$A$2:$A$164,'Specs'!$O$2:$O$164,"")</x:f>
        <x:v>3 x 04 GA WIRE</x:v>
      </x:c>
      <x:c r="P161" t="str">
        <x:f>XLOOKUP($A161,'Specs'!$A$2:$A$164,'Specs'!$P$2:$P$164,"")</x:f>
        <x:v>HIGH</x:v>
      </x:c>
      <x:c r="Q161" s="53" t="n">
        <x:f>XLOOKUP($A161,'Specs'!$A$2:$A$164,'Specs'!$Q$2:$Q$164,"")</x:f>
        <x:v>1</x:v>
      </x:c>
      <x:c r="R161" s="53" t="n">
        <x:f>XLOOKUP($A161,'Specs'!$A$2:$A$164,'Specs'!$R$2:$R$164,"")</x:f>
        <x:v>1</x:v>
      </x:c>
      <x:c r="S161" t="str">
        <x:f>'Vendor Options'!A161</x:f>
        <x:v>OFFER-D2A39767A064</x:v>
      </x:c>
      <x:c r="T161" t="str">
        <x:f>'Vendor Options'!C161</x:f>
        <x:v>DH</x:v>
      </x:c>
      <x:c r="U161" t="str">
        <x:f>'Vendor Options'!D161</x:f>
        <x:v>BUTT HINGE W SPRING</x:v>
      </x:c>
      <x:c r="V161" t="str">
        <x:f>'Vendor Options'!E161</x:f>
        <x:v>4.5 * 4.5</x:v>
      </x:c>
      <x:c r="W161" t="n">
        <x:f>'Vendor Options'!F161</x:f>
        <x:v>0</x:v>
      </x:c>
      <x:c r="X161" t="str">
        <x:f>'Vendor Options'!G161</x:f>
        <x:v>78000541</x:v>
      </x:c>
      <x:c r="Y161" t="str">
        <x:f>'Vendor Options'!H161</x:f>
        <x:v>78000541 - Spring Hinge 4.5 x 4.5</x:v>
      </x:c>
      <x:c r="Z161" t="str">
        <x:f>'Vendor Options'!I161</x:f>
        <x:v>847-01985</x:v>
      </x:c>
      <x:c r="AA161" s="54" t="n">
        <x:f>'Vendor Options'!J161</x:f>
        <x:v>0</x:v>
      </x:c>
      <x:c r="AB161" t="n">
        <x:f>'Vendor Options'!K161</x:f>
        <x:v>0</x:v>
      </x:c>
      <x:c r="AC161" s="57" t="n">
        <x:f>'Vendor Options'!L161</x:f>
        <x:v>0</x:v>
      </x:c>
      <x:c r="AD161" s="57" t="n">
        <x:f>'Vendor Options'!M161</x:f>
        <x:v>0</x:v>
      </x:c>
      <x:c r="AE161" s="54" t="str">
        <x:f>'Vendor Options'!N161</x:f>
      </x:c>
      <x:c r="AF161" t="str">
        <x:f>'Vendor Options'!O161</x:f>
        <x:v>USD</x:v>
      </x:c>
      <x:c r="AG161" t="str">
        <x:f>'Vendor Options'!P161</x:f>
        <x:v>UNPRICED</x:v>
      </x:c>
      <x:c r="AH161" t="str">
        <x:f>'Vendor Options'!Q161</x:f>
        <x:v>ACTIVE</x:v>
      </x:c>
      <x:c r="AI161" t="str">
        <x:f>'Vendor Options'!R161</x:f>
        <x:v>MISSING_PRICE</x:v>
      </x:c>
      <x:c r="AJ161" t="n">
        <x:f>'Vendor Options'!S161</x:f>
        <x:v>5</x:v>
      </x:c>
    </x:row>
    <x:row r="162" ht="15" hidden="0" customHeight="1">
      <x:c r="A162" t="str">
        <x:f>'Vendor Options'!B162</x:f>
        <x:v>SPEC-244285DE4CEC</x:v>
      </x:c>
      <x:c r="B162" t="str">
        <x:f>XLOOKUP($A162,'Specs'!$A$2:$A$164,'Specs'!$B$2:$B$164,"")</x:f>
        <x:v>HINGE</x:v>
      </x:c>
      <x:c r="C162" t="str">
        <x:f>XLOOKUP($A162,'Specs'!$A$2:$A$164,'Specs'!$C$2:$C$164,"")</x:f>
        <x:v>STANDARD WEIGHT BUTT HINGE</x:v>
      </x:c>
      <x:c r="D162" t="str">
        <x:f>XLOOKUP($A162,'Specs'!$A$2:$A$164,'Specs'!$D$2:$D$164,"")</x:f>
      </x:c>
      <x:c r="E162" t="str">
        <x:f>XLOOKUP($A162,'Specs'!$A$2:$A$164,'Specs'!$E$2:$E$164,"")</x:f>
      </x:c>
      <x:c r="F162" t="str">
        <x:f>XLOOKUP($A162,'Specs'!$A$2:$A$164,'Specs'!$F$2:$F$164,"")</x:f>
        <x:v>NOT APPLICABLE</x:v>
      </x:c>
      <x:c r="G162" t="str">
        <x:f>XLOOKUP($A162,'Specs'!$A$2:$A$164,'Specs'!$G$2:$G$164,"")</x:f>
      </x:c>
      <x:c r="H162" t="str">
        <x:f>XLOOKUP($A162,'Specs'!$A$2:$A$164,'Specs'!$H$2:$H$164,"")</x:f>
      </x:c>
      <x:c r="I162" t="str">
        <x:f>XLOOKUP($A162,'Specs'!$A$2:$A$164,'Specs'!$I$2:$I$164,"")</x:f>
      </x:c>
      <x:c r="J162" t="str">
        <x:f>XLOOKUP($A162,'Specs'!$A$2:$A$164,'Specs'!$J$2:$J$164,"")</x:f>
      </x:c>
      <x:c r="K162" t="str">
        <x:f>XLOOKUP($A162,'Specs'!$A$2:$A$164,'Specs'!$K$2:$K$164,"")</x:f>
        <x:v>0.134"</x:v>
      </x:c>
      <x:c r="L162" t="str">
        <x:f>XLOOKUP($A162,'Specs'!$A$2:$A$164,'Specs'!$L$2:$L$164,"")</x:f>
        <x:v>304 STAINLESS STEEL</x:v>
      </x:c>
      <x:c r="M162" t="str">
        <x:f>XLOOKUP($A162,'Specs'!$A$2:$A$164,'Specs'!$M$2:$M$164,"")</x:f>
      </x:c>
      <x:c r="N162" t="str">
        <x:f>XLOOKUP($A162,'Specs'!$A$2:$A$164,'Specs'!$N$2:$N$164,"")</x:f>
      </x:c>
      <x:c r="O162" t="str">
        <x:f>XLOOKUP($A162,'Specs'!$A$2:$A$164,'Specs'!$O$2:$O$164,"")</x:f>
        <x:v>3 x 04 GA WIRE</x:v>
      </x:c>
      <x:c r="P162" t="str">
        <x:f>XLOOKUP($A162,'Specs'!$A$2:$A$164,'Specs'!$P$2:$P$164,"")</x:f>
        <x:v>MEDIUM</x:v>
      </x:c>
      <x:c r="Q162" s="53" t="n">
        <x:f>XLOOKUP($A162,'Specs'!$A$2:$A$164,'Specs'!$Q$2:$Q$164,"")</x:f>
        <x:v>1</x:v>
      </x:c>
      <x:c r="R162" s="53" t="n">
        <x:f>XLOOKUP($A162,'Specs'!$A$2:$A$164,'Specs'!$R$2:$R$164,"")</x:f>
        <x:v>1</x:v>
      </x:c>
      <x:c r="S162" t="str">
        <x:f>'Vendor Options'!A162</x:f>
        <x:v>OFFER-38A27EC2BD55</x:v>
      </x:c>
      <x:c r="T162" t="str">
        <x:f>'Vendor Options'!C162</x:f>
        <x:v>DH</x:v>
      </x:c>
      <x:c r="U162" t="str">
        <x:f>'Vendor Options'!D162</x:f>
        <x:v>BUTT HINGE STANDARD WT</x:v>
      </x:c>
      <x:c r="V162" t="n">
        <x:f>'Vendor Options'!E162</x:f>
        <x:v>0</x:v>
      </x:c>
      <x:c r="W162" t="str">
        <x:f>'Vendor Options'!F162</x:f>
      </x:c>
      <x:c r="X162" t="str">
        <x:f>'Vendor Options'!G162</x:f>
      </x:c>
      <x:c r="Y162" t="n">
        <x:f>'Vendor Options'!H162</x:f>
        <x:v>0</x:v>
      </x:c>
      <x:c r="Z162" t="n">
        <x:f>'Vendor Options'!I162</x:f>
        <x:v>0</x:v>
      </x:c>
      <x:c r="AA162" s="54" t="n">
        <x:f>'Vendor Options'!J162</x:f>
        <x:v>0</x:v>
      </x:c>
      <x:c r="AB162" t="n">
        <x:f>'Vendor Options'!K162</x:f>
        <x:v>0</x:v>
      </x:c>
      <x:c r="AC162" s="57" t="n">
        <x:f>'Vendor Options'!L162</x:f>
        <x:v>0</x:v>
      </x:c>
      <x:c r="AD162" s="57" t="n">
        <x:f>'Vendor Options'!M162</x:f>
        <x:v>0</x:v>
      </x:c>
      <x:c r="AE162" s="54" t="str">
        <x:f>'Vendor Options'!N162</x:f>
      </x:c>
      <x:c r="AF162" t="str">
        <x:f>'Vendor Options'!O162</x:f>
        <x:v>USD</x:v>
      </x:c>
      <x:c r="AG162" t="str">
        <x:f>'Vendor Options'!P162</x:f>
        <x:v>UNPRICED</x:v>
      </x:c>
      <x:c r="AH162" t="str">
        <x:f>'Vendor Options'!Q162</x:f>
        <x:v>REVIEW</x:v>
      </x:c>
      <x:c r="AI162" t="str">
        <x:f>'Vendor Options'!R162</x:f>
        <x:v>MISSING_PRICE; MISSING_PART_NUMBER</x:v>
      </x:c>
      <x:c r="AJ162" t="n">
        <x:f>'Vendor Options'!S162</x:f>
        <x:v>12</x:v>
      </x:c>
    </x:row>
    <x:row r="163" ht="15" hidden="0" customHeight="1">
      <x:c r="A163" t="str">
        <x:f>'Vendor Options'!B163</x:f>
        <x:v>SPEC-0475607E1A90</x:v>
      </x:c>
      <x:c r="B163" t="str">
        <x:f>XLOOKUP($A163,'Specs'!$A$2:$A$164,'Specs'!$B$2:$B$164,"")</x:f>
        <x:v>HINGE</x:v>
      </x:c>
      <x:c r="C163" t="str">
        <x:f>XLOOKUP($A163,'Specs'!$A$2:$A$164,'Specs'!$C$2:$C$164,"")</x:f>
        <x:v>STANDARD WEIGHT BUTT HINGE</x:v>
      </x:c>
      <x:c r="D163" t="str">
        <x:f>XLOOKUP($A163,'Specs'!$A$2:$A$164,'Specs'!$D$2:$D$164,"")</x:f>
      </x:c>
      <x:c r="E163" t="str">
        <x:f>XLOOKUP($A163,'Specs'!$A$2:$A$164,'Specs'!$E$2:$E$164,"")</x:f>
        <x:v>NON-REMOVABLE PIN</x:v>
      </x:c>
      <x:c r="F163" t="str">
        <x:f>XLOOKUP($A163,'Specs'!$A$2:$A$164,'Specs'!$F$2:$F$164,"")</x:f>
        <x:v>NOT APPLICABLE</x:v>
      </x:c>
      <x:c r="G163" t="str">
        <x:f>XLOOKUP($A163,'Specs'!$A$2:$A$164,'Specs'!$G$2:$G$164,"")</x:f>
        <x:v>4.5" x 4.5"</x:v>
      </x:c>
      <x:c r="H163" t="str">
        <x:f>XLOOKUP($A163,'Specs'!$A$2:$A$164,'Specs'!$H$2:$H$164,"")</x:f>
      </x:c>
      <x:c r="I163" t="str">
        <x:f>XLOOKUP($A163,'Specs'!$A$2:$A$164,'Specs'!$I$2:$I$164,"")</x:f>
      </x:c>
      <x:c r="J163" t="str">
        <x:f>XLOOKUP($A163,'Specs'!$A$2:$A$164,'Specs'!$J$2:$J$164,"")</x:f>
      </x:c>
      <x:c r="K163" t="str">
        <x:f>XLOOKUP($A163,'Specs'!$A$2:$A$164,'Specs'!$K$2:$K$164,"")</x:f>
        <x:v>0.134"</x:v>
      </x:c>
      <x:c r="L163" t="str">
        <x:f>XLOOKUP($A163,'Specs'!$A$2:$A$164,'Specs'!$L$2:$L$164,"")</x:f>
        <x:v>304 STAINLESS STEEL</x:v>
      </x:c>
      <x:c r="M163" t="str">
        <x:f>XLOOKUP($A163,'Specs'!$A$2:$A$164,'Specs'!$M$2:$M$164,"")</x:f>
      </x:c>
      <x:c r="N163" t="str">
        <x:f>XLOOKUP($A163,'Specs'!$A$2:$A$164,'Specs'!$N$2:$N$164,"")</x:f>
      </x:c>
      <x:c r="O163" t="str">
        <x:f>XLOOKUP($A163,'Specs'!$A$2:$A$164,'Specs'!$O$2:$O$164,"")</x:f>
        <x:v>NON-REMOVABLE PIN; 3 x 04 GA WIRE</x:v>
      </x:c>
      <x:c r="P163" t="str">
        <x:f>XLOOKUP($A163,'Specs'!$A$2:$A$164,'Specs'!$P$2:$P$164,"")</x:f>
        <x:v>HIGH</x:v>
      </x:c>
      <x:c r="Q163" s="53" t="n">
        <x:f>XLOOKUP($A163,'Specs'!$A$2:$A$164,'Specs'!$Q$2:$Q$164,"")</x:f>
        <x:v>1</x:v>
      </x:c>
      <x:c r="R163" s="53" t="n">
        <x:f>XLOOKUP($A163,'Specs'!$A$2:$A$164,'Specs'!$R$2:$R$164,"")</x:f>
        <x:v>1</x:v>
      </x:c>
      <x:c r="S163" t="str">
        <x:f>'Vendor Options'!A163</x:f>
        <x:v>OFFER-464F8F721986</x:v>
      </x:c>
      <x:c r="T163" t="str">
        <x:f>'Vendor Options'!C163</x:f>
        <x:v>DH</x:v>
      </x:c>
      <x:c r="U163" t="str">
        <x:f>'Vendor Options'!D163</x:f>
        <x:v>BUTT HINGE STANDARD WT</x:v>
      </x:c>
      <x:c r="V163" t="str">
        <x:f>'Vendor Options'!E163</x:f>
        <x:v>4.5 * 4.5</x:v>
      </x:c>
      <x:c r="W163" t="str">
        <x:f>'Vendor Options'!F163</x:f>
      </x:c>
      <x:c r="X163" t="str">
        <x:f>'Vendor Options'!G163</x:f>
        <x:v>78000519</x:v>
      </x:c>
      <x:c r="Y163" t="str">
        <x:f>'Vendor Options'!H163</x:f>
        <x:v>78000519 - BB5 NRP 4.5 x 4.5</x:v>
      </x:c>
      <x:c r="Z163" t="str">
        <x:f>'Vendor Options'!I163</x:f>
      </x:c>
      <x:c r="AA163" s="54" t="n">
        <x:f>'Vendor Options'!J163</x:f>
        <x:v>0</x:v>
      </x:c>
      <x:c r="AB163" t="str">
        <x:f>'Vendor Options'!K163</x:f>
      </x:c>
      <x:c r="AC163" s="57" t="n">
        <x:f>'Vendor Options'!L163</x:f>
        <x:v>0</x:v>
      </x:c>
      <x:c r="AD163" s="57" t="n">
        <x:f>'Vendor Options'!M163</x:f>
        <x:v>0</x:v>
      </x:c>
      <x:c r="AE163" s="54" t="str">
        <x:f>'Vendor Options'!N163</x:f>
      </x:c>
      <x:c r="AF163" t="str">
        <x:f>'Vendor Options'!O163</x:f>
        <x:v>USD</x:v>
      </x:c>
      <x:c r="AG163" t="str">
        <x:f>'Vendor Options'!P163</x:f>
        <x:v>UNPRICED</x:v>
      </x:c>
      <x:c r="AH163" t="str">
        <x:f>'Vendor Options'!Q163</x:f>
        <x:v>REVIEW</x:v>
      </x:c>
      <x:c r="AI163" t="str">
        <x:f>'Vendor Options'!R163</x:f>
        <x:v>MISSING_PRICE; PART_NUMBER_CONFLICT</x:v>
      </x:c>
      <x:c r="AJ163" t="n">
        <x:f>'Vendor Options'!S163</x:f>
        <x:v>11</x:v>
      </x:c>
    </x:row>
    <x:row r="164" ht="15" hidden="0" customHeight="1">
      <x:c r="A164" t="str">
        <x:f>'Vendor Options'!B164</x:f>
        <x:v>SPEC-286A187D72D2</x:v>
      </x:c>
      <x:c r="B164" t="str">
        <x:f>XLOOKUP($A164,'Specs'!$A$2:$A$164,'Specs'!$B$2:$B$164,"")</x:f>
        <x:v>LOCK</x:v>
      </x:c>
      <x:c r="C164" t="str">
        <x:f>XLOOKUP($A164,'Specs'!$A$2:$A$164,'Specs'!$C$2:$C$164,"")</x:f>
        <x:v>CYLINDRICAL LOCK</x:v>
      </x:c>
      <x:c r="D164" t="str">
        <x:f>XLOOKUP($A164,'Specs'!$A$2:$A$164,'Specs'!$D$2:$D$164,"")</x:f>
        <x:v>CYLINDRICAL</x:v>
      </x:c>
      <x:c r="E164" t="str">
        <x:f>XLOOKUP($A164,'Specs'!$A$2:$A$164,'Specs'!$E$2:$E$164,"")</x:f>
        <x:v>CLASSROOM</x:v>
      </x:c>
      <x:c r="F164" t="str">
        <x:f>XLOOKUP($A164,'Specs'!$A$2:$A$164,'Specs'!$F$2:$F$164,"")</x:f>
        <x:v>LFIC</x:v>
      </x:c>
      <x:c r="G164" t="str">
        <x:f>XLOOKUP($A164,'Specs'!$A$2:$A$164,'Specs'!$G$2:$G$164,"")</x:f>
      </x:c>
      <x:c r="H164" t="str">
        <x:f>XLOOKUP($A164,'Specs'!$A$2:$A$164,'Specs'!$H$2:$H$164,"")</x:f>
      </x:c>
      <x:c r="I164" t="str">
        <x:f>XLOOKUP($A164,'Specs'!$A$2:$A$164,'Specs'!$I$2:$I$164,"")</x:f>
      </x:c>
      <x:c r="J164" t="str">
        <x:f>XLOOKUP($A164,'Specs'!$A$2:$A$164,'Specs'!$J$2:$J$164,"")</x:f>
      </x:c>
      <x:c r="K164" t="str">
        <x:f>XLOOKUP($A164,'Specs'!$A$2:$A$164,'Specs'!$K$2:$K$164,"")</x:f>
      </x:c>
      <x:c r="L164" t="str">
        <x:f>XLOOKUP($A164,'Specs'!$A$2:$A$164,'Specs'!$L$2:$L$164,"")</x:f>
      </x:c>
      <x:c r="M164" t="n">
        <x:f>XLOOKUP($A164,'Specs'!$A$2:$A$164,'Specs'!$M$2:$M$164,"")</x:f>
        <x:v>626</x:v>
      </x:c>
      <x:c r="N164" t="str">
        <x:f>XLOOKUP($A164,'Specs'!$A$2:$A$164,'Specs'!$N$2:$N$164,"")</x:f>
      </x:c>
      <x:c r="O164" t="str">
        <x:f>XLOOKUP($A164,'Specs'!$A$2:$A$164,'Specs'!$O$2:$O$164,"")</x:f>
      </x:c>
      <x:c r="P164" t="str">
        <x:f>XLOOKUP($A164,'Specs'!$A$2:$A$164,'Specs'!$P$2:$P$164,"")</x:f>
        <x:v>HIGH</x:v>
      </x:c>
      <x:c r="Q164" s="53" t="n">
        <x:f>XLOOKUP($A164,'Specs'!$A$2:$A$164,'Specs'!$Q$2:$Q$164,"")</x:f>
        <x:v>2</x:v>
      </x:c>
      <x:c r="R164" s="53" t="n">
        <x:f>XLOOKUP($A164,'Specs'!$A$2:$A$164,'Specs'!$R$2:$R$164,"")</x:f>
        <x:v>2</x:v>
      </x:c>
      <x:c r="S164" t="str">
        <x:f>'Vendor Options'!A164</x:f>
        <x:v>OFFER-C42072D34509</x:v>
      </x:c>
      <x:c r="T164" t="str">
        <x:f>'Vendor Options'!C164</x:f>
        <x:v>BST</x:v>
      </x:c>
      <x:c r="U164" t="str">
        <x:f>'Vendor Options'!D164</x:f>
        <x:v>9K</x:v>
      </x:c>
      <x:c r="V164" t="str">
        <x:f>'Vendor Options'!E164</x:f>
        <x:v>R</x:v>
      </x:c>
      <x:c r="W164" t="str">
        <x:f>'Vendor Options'!F164</x:f>
        <x:v>R</x:v>
      </x:c>
      <x:c r="X164" t="str">
        <x:f>'Vendor Options'!G164</x:f>
        <x:v>9K-3-7-R-15-C3-STK-626 LFIC</x:v>
      </x:c>
      <x:c r="Y164" t="str">
        <x:f>'Vendor Options'!H164</x:f>
        <x:v>9K-3-7-R-15-C3-STK-626 LFIC</x:v>
      </x:c>
      <x:c r="Z164" t="str">
        <x:f>'Vendor Options'!I164</x:f>
      </x:c>
      <x:c r="AA164" s="54" t="n">
        <x:f>'Vendor Options'!J164</x:f>
        <x:v>1097</x:v>
      </x:c>
      <x:c r="AB164" t="str">
        <x:f>'Vendor Options'!K164</x:f>
        <x:v>0.24</x:v>
      </x:c>
      <x:c r="AC164" s="57" t="n">
        <x:f>'Vendor Options'!L164</x:f>
        <x:v>0.24</x:v>
      </x:c>
      <x:c r="AD164" s="57" t="n">
        <x:f>'Vendor Options'!M164</x:f>
        <x:v>0</x:v>
      </x:c>
      <x:c r="AE164" s="54" t="n">
        <x:f>'Vendor Options'!N164</x:f>
        <x:v>833.72</x:v>
      </x:c>
      <x:c r="AF164" t="str">
        <x:f>'Vendor Options'!O164</x:f>
        <x:v>USD</x:v>
      </x:c>
      <x:c r="AG164" t="str">
        <x:f>'Vendor Options'!P164</x:f>
        <x:v>PRICED</x:v>
      </x:c>
      <x:c r="AH164" t="str">
        <x:f>'Vendor Options'!Q164</x:f>
        <x:v>ACTIVE</x:v>
      </x:c>
      <x:c r="AI164" t="str">
        <x:f>'Vendor Options'!R164</x:f>
      </x:c>
      <x:c r="AJ164" t="n">
        <x:f>'Vendor Options'!S164</x:f>
        <x:v>114</x:v>
      </x:c>
    </x:row>
    <x:row r="165" ht="15" hidden="0" customHeight="1">
      <x:c r="A165" t="str">
        <x:f>'Vendor Options'!B165</x:f>
        <x:v>SPEC-286A187D72D2</x:v>
      </x:c>
      <x:c r="B165" t="str">
        <x:f>XLOOKUP($A165,'Specs'!$A$2:$A$164,'Specs'!$B$2:$B$164,"")</x:f>
        <x:v>LOCK</x:v>
      </x:c>
      <x:c r="C165" t="str">
        <x:f>XLOOKUP($A165,'Specs'!$A$2:$A$164,'Specs'!$C$2:$C$164,"")</x:f>
        <x:v>CYLINDRICAL LOCK</x:v>
      </x:c>
      <x:c r="D165" t="str">
        <x:f>XLOOKUP($A165,'Specs'!$A$2:$A$164,'Specs'!$D$2:$D$164,"")</x:f>
        <x:v>CYLINDRICAL</x:v>
      </x:c>
      <x:c r="E165" t="str">
        <x:f>XLOOKUP($A165,'Specs'!$A$2:$A$164,'Specs'!$E$2:$E$164,"")</x:f>
        <x:v>CLASSROOM</x:v>
      </x:c>
      <x:c r="F165" t="str">
        <x:f>XLOOKUP($A165,'Specs'!$A$2:$A$164,'Specs'!$F$2:$F$164,"")</x:f>
        <x:v>LFIC</x:v>
      </x:c>
      <x:c r="G165" t="str">
        <x:f>XLOOKUP($A165,'Specs'!$A$2:$A$164,'Specs'!$G$2:$G$164,"")</x:f>
      </x:c>
      <x:c r="H165" t="str">
        <x:f>XLOOKUP($A165,'Specs'!$A$2:$A$164,'Specs'!$H$2:$H$164,"")</x:f>
      </x:c>
      <x:c r="I165" t="str">
        <x:f>XLOOKUP($A165,'Specs'!$A$2:$A$164,'Specs'!$I$2:$I$164,"")</x:f>
      </x:c>
      <x:c r="J165" t="str">
        <x:f>XLOOKUP($A165,'Specs'!$A$2:$A$164,'Specs'!$J$2:$J$164,"")</x:f>
      </x:c>
      <x:c r="K165" t="str">
        <x:f>XLOOKUP($A165,'Specs'!$A$2:$A$164,'Specs'!$K$2:$K$164,"")</x:f>
      </x:c>
      <x:c r="L165" t="str">
        <x:f>XLOOKUP($A165,'Specs'!$A$2:$A$164,'Specs'!$L$2:$L$164,"")</x:f>
      </x:c>
      <x:c r="M165" t="n">
        <x:f>XLOOKUP($A165,'Specs'!$A$2:$A$164,'Specs'!$M$2:$M$164,"")</x:f>
        <x:v>626</x:v>
      </x:c>
      <x:c r="N165" t="str">
        <x:f>XLOOKUP($A165,'Specs'!$A$2:$A$164,'Specs'!$N$2:$N$164,"")</x:f>
      </x:c>
      <x:c r="O165" t="str">
        <x:f>XLOOKUP($A165,'Specs'!$A$2:$A$164,'Specs'!$O$2:$O$164,"")</x:f>
      </x:c>
      <x:c r="P165" t="str">
        <x:f>XLOOKUP($A165,'Specs'!$A$2:$A$164,'Specs'!$P$2:$P$164,"")</x:f>
        <x:v>HIGH</x:v>
      </x:c>
      <x:c r="Q165" s="53" t="n">
        <x:f>XLOOKUP($A165,'Specs'!$A$2:$A$164,'Specs'!$Q$2:$Q$164,"")</x:f>
        <x:v>2</x:v>
      </x:c>
      <x:c r="R165" s="53" t="n">
        <x:f>XLOOKUP($A165,'Specs'!$A$2:$A$164,'Specs'!$R$2:$R$164,"")</x:f>
        <x:v>2</x:v>
      </x:c>
      <x:c r="S165" t="str">
        <x:f>'Vendor Options'!A165</x:f>
        <x:v>OFFER-CEFD08067C4E</x:v>
      </x:c>
      <x:c r="T165" t="str">
        <x:f>'Vendor Options'!C165</x:f>
        <x:v>PHG</x:v>
      </x:c>
      <x:c r="U165" t="str">
        <x:f>'Vendor Options'!D165</x:f>
        <x:v>FC-ICS</x:v>
      </x:c>
      <x:c r="V165" t="str">
        <x:f>'Vendor Options'!E165</x:f>
        <x:v>F84</x:v>
      </x:c>
      <x:c r="W165" t="str">
        <x:f>'Vendor Options'!F165</x:f>
        <x:v>F84</x:v>
      </x:c>
      <x:c r="X165" t="str">
        <x:f>'Vendor Options'!G165</x:f>
        <x:v>FC509CT26DICS</x:v>
      </x:c>
      <x:c r="Y165" t="str">
        <x:f>'Vendor Options'!H165</x:f>
        <x:v>FC509CT26DICS FC-CT509 - Classroom (F84) - ICS</x:v>
      </x:c>
      <x:c r="Z165" t="str">
        <x:f>'Vendor Options'!I165</x:f>
      </x:c>
      <x:c r="AA165" s="54" t="n">
        <x:f>'Vendor Options'!J165</x:f>
        <x:v>227.48</x:v>
      </x:c>
      <x:c r="AB165" t="str">
        <x:f>'Vendor Options'!K165</x:f>
      </x:c>
      <x:c r="AC165" s="57" t="n">
        <x:f>'Vendor Options'!L165</x:f>
        <x:v>0</x:v>
      </x:c>
      <x:c r="AD165" s="57" t="n">
        <x:f>'Vendor Options'!M165</x:f>
        <x:v>0</x:v>
      </x:c>
      <x:c r="AE165" s="54" t="n">
        <x:f>'Vendor Options'!N165</x:f>
        <x:v>227.48</x:v>
      </x:c>
      <x:c r="AF165" t="str">
        <x:f>'Vendor Options'!O165</x:f>
        <x:v>USD</x:v>
      </x:c>
      <x:c r="AG165" t="str">
        <x:f>'Vendor Options'!P165</x:f>
        <x:v>PRICED</x:v>
      </x:c>
      <x:c r="AH165" t="str">
        <x:f>'Vendor Options'!Q165</x:f>
        <x:v>ACTIVE</x:v>
      </x:c>
      <x:c r="AI165" t="str">
        <x:f>'Vendor Options'!R165</x:f>
      </x:c>
      <x:c r="AJ165" t="n">
        <x:f>'Vendor Options'!S165</x:f>
        <x:v>163</x:v>
      </x:c>
    </x:row>
    <x:row r="166" ht="15" hidden="0" customHeight="1">
      <x:c r="A166" t="str">
        <x:f>'Vendor Options'!B166</x:f>
        <x:v>SPEC-5C4DA25D107E</x:v>
      </x:c>
      <x:c r="B166" t="str">
        <x:f>XLOOKUP($A166,'Specs'!$A$2:$A$164,'Specs'!$B$2:$B$164,"")</x:f>
        <x:v>LOCK</x:v>
      </x:c>
      <x:c r="C166" t="str">
        <x:f>XLOOKUP($A166,'Specs'!$A$2:$A$164,'Specs'!$C$2:$C$164,"")</x:f>
        <x:v>CYLINDRICAL LOCK</x:v>
      </x:c>
      <x:c r="D166" t="str">
        <x:f>XLOOKUP($A166,'Specs'!$A$2:$A$164,'Specs'!$D$2:$D$164,"")</x:f>
        <x:v>CYLINDRICAL</x:v>
      </x:c>
      <x:c r="E166" t="str">
        <x:f>XLOOKUP($A166,'Specs'!$A$2:$A$164,'Specs'!$E$2:$E$164,"")</x:f>
        <x:v>CLASSROOM</x:v>
      </x:c>
      <x:c r="F166" t="str">
        <x:f>XLOOKUP($A166,'Specs'!$A$2:$A$164,'Specs'!$F$2:$F$164,"")</x:f>
        <x:v>SFIC</x:v>
      </x:c>
      <x:c r="G166" t="str">
        <x:f>XLOOKUP($A166,'Specs'!$A$2:$A$164,'Specs'!$G$2:$G$164,"")</x:f>
      </x:c>
      <x:c r="H166" t="str">
        <x:f>XLOOKUP($A166,'Specs'!$A$2:$A$164,'Specs'!$H$2:$H$164,"")</x:f>
      </x:c>
      <x:c r="I166" t="str">
        <x:f>XLOOKUP($A166,'Specs'!$A$2:$A$164,'Specs'!$I$2:$I$164,"")</x:f>
      </x:c>
      <x:c r="J166" t="str">
        <x:f>XLOOKUP($A166,'Specs'!$A$2:$A$164,'Specs'!$J$2:$J$164,"")</x:f>
      </x:c>
      <x:c r="K166" t="str">
        <x:f>XLOOKUP($A166,'Specs'!$A$2:$A$164,'Specs'!$K$2:$K$164,"")</x:f>
      </x:c>
      <x:c r="L166" t="str">
        <x:f>XLOOKUP($A166,'Specs'!$A$2:$A$164,'Specs'!$L$2:$L$164,"")</x:f>
      </x:c>
      <x:c r="M166" t="n">
        <x:f>XLOOKUP($A166,'Specs'!$A$2:$A$164,'Specs'!$M$2:$M$164,"")</x:f>
        <x:v>626</x:v>
      </x:c>
      <x:c r="N166" t="str">
        <x:f>XLOOKUP($A166,'Specs'!$A$2:$A$164,'Specs'!$N$2:$N$164,"")</x:f>
      </x:c>
      <x:c r="O166" t="str">
        <x:f>XLOOKUP($A166,'Specs'!$A$2:$A$164,'Specs'!$O$2:$O$164,"")</x:f>
      </x:c>
      <x:c r="P166" t="str">
        <x:f>XLOOKUP($A166,'Specs'!$A$2:$A$164,'Specs'!$P$2:$P$164,"")</x:f>
        <x:v>HIGH</x:v>
      </x:c>
      <x:c r="Q166" s="53" t="n">
        <x:f>XLOOKUP($A166,'Specs'!$A$2:$A$164,'Specs'!$Q$2:$Q$164,"")</x:f>
        <x:v>8</x:v>
      </x:c>
      <x:c r="R166" s="53" t="n">
        <x:f>XLOOKUP($A166,'Specs'!$A$2:$A$164,'Specs'!$R$2:$R$164,"")</x:f>
        <x:v>4</x:v>
      </x:c>
      <x:c r="S166" t="str">
        <x:f>'Vendor Options'!A166</x:f>
        <x:v>OFFER-454A9B08F784</x:v>
      </x:c>
      <x:c r="T166" t="str">
        <x:f>'Vendor Options'!C166</x:f>
        <x:v>BST</x:v>
      </x:c>
      <x:c r="U166" t="str">
        <x:f>'Vendor Options'!D166</x:f>
        <x:v>9K</x:v>
      </x:c>
      <x:c r="V166" t="str">
        <x:f>'Vendor Options'!E166</x:f>
        <x:v>R</x:v>
      </x:c>
      <x:c r="W166" t="str">
        <x:f>'Vendor Options'!F166</x:f>
        <x:v>R</x:v>
      </x:c>
      <x:c r="X166" t="str">
        <x:f>'Vendor Options'!G166</x:f>
        <x:v>9K-3-7-R-15-C3-STK-626 SFIC</x:v>
      </x:c>
      <x:c r="Y166" t="str">
        <x:f>'Vendor Options'!H166</x:f>
        <x:v>9K-3-7-R-15-C3-STK-626 SFIC</x:v>
      </x:c>
      <x:c r="Z166" t="n">
        <x:f>'Vendor Options'!I166</x:f>
        <x:v>0</x:v>
      </x:c>
      <x:c r="AA166" s="54" t="n">
        <x:f>'Vendor Options'!J166</x:f>
        <x:v>1097</x:v>
      </x:c>
      <x:c r="AB166" t="str">
        <x:f>'Vendor Options'!K166</x:f>
        <x:v>0.24</x:v>
      </x:c>
      <x:c r="AC166" s="57" t="n">
        <x:f>'Vendor Options'!L166</x:f>
        <x:v>0.24</x:v>
      </x:c>
      <x:c r="AD166" s="57" t="n">
        <x:f>'Vendor Options'!M166</x:f>
        <x:v>0</x:v>
      </x:c>
      <x:c r="AE166" s="54" t="n">
        <x:f>'Vendor Options'!N166</x:f>
        <x:v>833.72</x:v>
      </x:c>
      <x:c r="AF166" t="str">
        <x:f>'Vendor Options'!O166</x:f>
        <x:v>USD</x:v>
      </x:c>
      <x:c r="AG166" t="str">
        <x:f>'Vendor Options'!P166</x:f>
        <x:v>PRICED</x:v>
      </x:c>
      <x:c r="AH166" t="str">
        <x:f>'Vendor Options'!Q166</x:f>
        <x:v>ACTIVE</x:v>
      </x:c>
      <x:c r="AI166" t="str">
        <x:f>'Vendor Options'!R166</x:f>
      </x:c>
      <x:c r="AJ166" t="n">
        <x:f>'Vendor Options'!S166</x:f>
        <x:v>113</x:v>
      </x:c>
    </x:row>
    <x:row r="167" ht="15" hidden="0" customHeight="1">
      <x:c r="A167" t="str">
        <x:f>'Vendor Options'!B167</x:f>
        <x:v>SPEC-5C4DA25D107E</x:v>
      </x:c>
      <x:c r="B167" t="str">
        <x:f>XLOOKUP($A167,'Specs'!$A$2:$A$164,'Specs'!$B$2:$B$164,"")</x:f>
        <x:v>LOCK</x:v>
      </x:c>
      <x:c r="C167" t="str">
        <x:f>XLOOKUP($A167,'Specs'!$A$2:$A$164,'Specs'!$C$2:$C$164,"")</x:f>
        <x:v>CYLINDRICAL LOCK</x:v>
      </x:c>
      <x:c r="D167" t="str">
        <x:f>XLOOKUP($A167,'Specs'!$A$2:$A$164,'Specs'!$D$2:$D$164,"")</x:f>
        <x:v>CYLINDRICAL</x:v>
      </x:c>
      <x:c r="E167" t="str">
        <x:f>XLOOKUP($A167,'Specs'!$A$2:$A$164,'Specs'!$E$2:$E$164,"")</x:f>
        <x:v>CLASSROOM</x:v>
      </x:c>
      <x:c r="F167" t="str">
        <x:f>XLOOKUP($A167,'Specs'!$A$2:$A$164,'Specs'!$F$2:$F$164,"")</x:f>
        <x:v>SFIC</x:v>
      </x:c>
      <x:c r="G167" t="str">
        <x:f>XLOOKUP($A167,'Specs'!$A$2:$A$164,'Specs'!$G$2:$G$164,"")</x:f>
      </x:c>
      <x:c r="H167" t="str">
        <x:f>XLOOKUP($A167,'Specs'!$A$2:$A$164,'Specs'!$H$2:$H$164,"")</x:f>
      </x:c>
      <x:c r="I167" t="str">
        <x:f>XLOOKUP($A167,'Specs'!$A$2:$A$164,'Specs'!$I$2:$I$164,"")</x:f>
      </x:c>
      <x:c r="J167" t="str">
        <x:f>XLOOKUP($A167,'Specs'!$A$2:$A$164,'Specs'!$J$2:$J$164,"")</x:f>
      </x:c>
      <x:c r="K167" t="str">
        <x:f>XLOOKUP($A167,'Specs'!$A$2:$A$164,'Specs'!$K$2:$K$164,"")</x:f>
      </x:c>
      <x:c r="L167" t="str">
        <x:f>XLOOKUP($A167,'Specs'!$A$2:$A$164,'Specs'!$L$2:$L$164,"")</x:f>
      </x:c>
      <x:c r="M167" t="n">
        <x:f>XLOOKUP($A167,'Specs'!$A$2:$A$164,'Specs'!$M$2:$M$164,"")</x:f>
        <x:v>626</x:v>
      </x:c>
      <x:c r="N167" t="str">
        <x:f>XLOOKUP($A167,'Specs'!$A$2:$A$164,'Specs'!$N$2:$N$164,"")</x:f>
      </x:c>
      <x:c r="O167" t="str">
        <x:f>XLOOKUP($A167,'Specs'!$A$2:$A$164,'Specs'!$O$2:$O$164,"")</x:f>
      </x:c>
      <x:c r="P167" t="str">
        <x:f>XLOOKUP($A167,'Specs'!$A$2:$A$164,'Specs'!$P$2:$P$164,"")</x:f>
        <x:v>HIGH</x:v>
      </x:c>
      <x:c r="Q167" s="53" t="n">
        <x:f>XLOOKUP($A167,'Specs'!$A$2:$A$164,'Specs'!$Q$2:$Q$164,"")</x:f>
        <x:v>8</x:v>
      </x:c>
      <x:c r="R167" s="53" t="n">
        <x:f>XLOOKUP($A167,'Specs'!$A$2:$A$164,'Specs'!$R$2:$R$164,"")</x:f>
        <x:v>4</x:v>
      </x:c>
      <x:c r="S167" t="str">
        <x:f>'Vendor Options'!A167</x:f>
        <x:v>OFFER-FF4BF7F3593A</x:v>
      </x:c>
      <x:c r="T167" t="str">
        <x:f>'Vendor Options'!C167</x:f>
        <x:v>DH</x:v>
      </x:c>
      <x:c r="U167" t="str">
        <x:f>'Vendor Options'!D167</x:f>
        <x:v>J-84 SFIC</x:v>
      </x:c>
      <x:c r="V167" t="str">
        <x:f>'Vendor Options'!E167</x:f>
        <x:v>F84</x:v>
      </x:c>
      <x:c r="W167" t="str">
        <x:f>'Vendor Options'!F167</x:f>
        <x:v>F84</x:v>
      </x:c>
      <x:c r="X167" t="str">
        <x:f>'Vendor Options'!G167</x:f>
        <x:v>78093757</x:v>
      </x:c>
      <x:c r="Y167" t="str">
        <x:f>'Vendor Options'!H167</x:f>
        <x:v>78093757 - J-84IC - F - Classroom Function (SFIC - no core)</x:v>
      </x:c>
      <x:c r="Z167" t="n">
        <x:f>'Vendor Options'!I167</x:f>
        <x:v>0</x:v>
      </x:c>
      <x:c r="AA167" s="54" t="n">
        <x:f>'Vendor Options'!J167</x:f>
        <x:v>0</x:v>
      </x:c>
      <x:c r="AB167" t="n">
        <x:f>'Vendor Options'!K167</x:f>
        <x:v>0</x:v>
      </x:c>
      <x:c r="AC167" s="57" t="n">
        <x:f>'Vendor Options'!L167</x:f>
        <x:v>0</x:v>
      </x:c>
      <x:c r="AD167" s="57" t="n">
        <x:f>'Vendor Options'!M167</x:f>
        <x:v>0</x:v>
      </x:c>
      <x:c r="AE167" s="54" t="str">
        <x:f>'Vendor Options'!N167</x:f>
      </x:c>
      <x:c r="AF167" t="str">
        <x:f>'Vendor Options'!O167</x:f>
        <x:v>USD</x:v>
      </x:c>
      <x:c r="AG167" t="str">
        <x:f>'Vendor Options'!P167</x:f>
        <x:v>UNPRICED</x:v>
      </x:c>
      <x:c r="AH167" t="str">
        <x:f>'Vendor Options'!Q167</x:f>
        <x:v>ACTIVE</x:v>
      </x:c>
      <x:c r="AI167" t="str">
        <x:f>'Vendor Options'!R167</x:f>
        <x:v>MISSING_PRICE</x:v>
      </x:c>
      <x:c r="AJ167" t="n">
        <x:f>'Vendor Options'!S167</x:f>
        <x:v>151</x:v>
      </x:c>
    </x:row>
    <x:row r="168" ht="15" hidden="0" customHeight="1">
      <x:c r="A168" t="str">
        <x:f>'Vendor Options'!B168</x:f>
        <x:v>SPEC-5C4DA25D107E</x:v>
      </x:c>
      <x:c r="B168" t="str">
        <x:f>XLOOKUP($A168,'Specs'!$A$2:$A$164,'Specs'!$B$2:$B$164,"")</x:f>
        <x:v>LOCK</x:v>
      </x:c>
      <x:c r="C168" t="str">
        <x:f>XLOOKUP($A168,'Specs'!$A$2:$A$164,'Specs'!$C$2:$C$164,"")</x:f>
        <x:v>CYLINDRICAL LOCK</x:v>
      </x:c>
      <x:c r="D168" t="str">
        <x:f>XLOOKUP($A168,'Specs'!$A$2:$A$164,'Specs'!$D$2:$D$164,"")</x:f>
        <x:v>CYLINDRICAL</x:v>
      </x:c>
      <x:c r="E168" t="str">
        <x:f>XLOOKUP($A168,'Specs'!$A$2:$A$164,'Specs'!$E$2:$E$164,"")</x:f>
        <x:v>CLASSROOM</x:v>
      </x:c>
      <x:c r="F168" t="str">
        <x:f>XLOOKUP($A168,'Specs'!$A$2:$A$164,'Specs'!$F$2:$F$164,"")</x:f>
        <x:v>SFIC</x:v>
      </x:c>
      <x:c r="G168" t="str">
        <x:f>XLOOKUP($A168,'Specs'!$A$2:$A$164,'Specs'!$G$2:$G$164,"")</x:f>
      </x:c>
      <x:c r="H168" t="str">
        <x:f>XLOOKUP($A168,'Specs'!$A$2:$A$164,'Specs'!$H$2:$H$164,"")</x:f>
      </x:c>
      <x:c r="I168" t="str">
        <x:f>XLOOKUP($A168,'Specs'!$A$2:$A$164,'Specs'!$I$2:$I$164,"")</x:f>
      </x:c>
      <x:c r="J168" t="str">
        <x:f>XLOOKUP($A168,'Specs'!$A$2:$A$164,'Specs'!$J$2:$J$164,"")</x:f>
      </x:c>
      <x:c r="K168" t="str">
        <x:f>XLOOKUP($A168,'Specs'!$A$2:$A$164,'Specs'!$K$2:$K$164,"")</x:f>
      </x:c>
      <x:c r="L168" t="str">
        <x:f>XLOOKUP($A168,'Specs'!$A$2:$A$164,'Specs'!$L$2:$L$164,"")</x:f>
      </x:c>
      <x:c r="M168" t="n">
        <x:f>XLOOKUP($A168,'Specs'!$A$2:$A$164,'Specs'!$M$2:$M$164,"")</x:f>
        <x:v>626</x:v>
      </x:c>
      <x:c r="N168" t="str">
        <x:f>XLOOKUP($A168,'Specs'!$A$2:$A$164,'Specs'!$N$2:$N$164,"")</x:f>
      </x:c>
      <x:c r="O168" t="str">
        <x:f>XLOOKUP($A168,'Specs'!$A$2:$A$164,'Specs'!$O$2:$O$164,"")</x:f>
      </x:c>
      <x:c r="P168" t="str">
        <x:f>XLOOKUP($A168,'Specs'!$A$2:$A$164,'Specs'!$P$2:$P$164,"")</x:f>
        <x:v>HIGH</x:v>
      </x:c>
      <x:c r="Q168" s="53" t="n">
        <x:f>XLOOKUP($A168,'Specs'!$A$2:$A$164,'Specs'!$Q$2:$Q$164,"")</x:f>
        <x:v>8</x:v>
      </x:c>
      <x:c r="R168" s="53" t="n">
        <x:f>XLOOKUP($A168,'Specs'!$A$2:$A$164,'Specs'!$R$2:$R$164,"")</x:f>
        <x:v>4</x:v>
      </x:c>
      <x:c r="S168" t="str">
        <x:f>'Vendor Options'!A168</x:f>
        <x:v>OFFER-24671F23C0DA</x:v>
      </x:c>
      <x:c r="T168" t="str">
        <x:f>'Vendor Options'!C168</x:f>
        <x:v>DH</x:v>
      </x:c>
      <x:c r="U168" t="str">
        <x:f>'Vendor Options'!D168</x:f>
        <x:v>X-84 SFIC</x:v>
      </x:c>
      <x:c r="V168" t="str">
        <x:f>'Vendor Options'!E168</x:f>
        <x:v>F84</x:v>
      </x:c>
      <x:c r="W168" t="str">
        <x:f>'Vendor Options'!F168</x:f>
        <x:v>F84</x:v>
      </x:c>
      <x:c r="X168" t="str">
        <x:f>'Vendor Options'!G168</x:f>
        <x:v>78001763</x:v>
      </x:c>
      <x:c r="Y168" t="str">
        <x:f>'Vendor Options'!H168</x:f>
        <x:v>78001763 - X-84IC - F - Classroom (SFIC - no core)</x:v>
      </x:c>
      <x:c r="Z168" t="str">
        <x:f>'Vendor Options'!I168</x:f>
      </x:c>
      <x:c r="AA168" s="54" t="n">
        <x:f>'Vendor Options'!J168</x:f>
        <x:v>0</x:v>
      </x:c>
      <x:c r="AB168" t="str">
        <x:f>'Vendor Options'!K168</x:f>
      </x:c>
      <x:c r="AC168" s="57" t="n">
        <x:f>'Vendor Options'!L168</x:f>
        <x:v>0</x:v>
      </x:c>
      <x:c r="AD168" s="57" t="n">
        <x:f>'Vendor Options'!M168</x:f>
        <x:v>0</x:v>
      </x:c>
      <x:c r="AE168" s="54" t="str">
        <x:f>'Vendor Options'!N168</x:f>
      </x:c>
      <x:c r="AF168" t="str">
        <x:f>'Vendor Options'!O168</x:f>
        <x:v>USD</x:v>
      </x:c>
      <x:c r="AG168" t="str">
        <x:f>'Vendor Options'!P168</x:f>
        <x:v>UNPRICED</x:v>
      </x:c>
      <x:c r="AH168" t="str">
        <x:f>'Vendor Options'!Q168</x:f>
        <x:v>ACTIVE</x:v>
      </x:c>
      <x:c r="AI168" t="str">
        <x:f>'Vendor Options'!R168</x:f>
        <x:v>MISSING_PRICE</x:v>
      </x:c>
      <x:c r="AJ168" t="n">
        <x:f>'Vendor Options'!S168</x:f>
        <x:v>144</x:v>
      </x:c>
    </x:row>
    <x:row r="169" ht="15" hidden="0" customHeight="1">
      <x:c r="A169" t="str">
        <x:f>'Vendor Options'!B169</x:f>
        <x:v>SPEC-5C4DA25D107E</x:v>
      </x:c>
      <x:c r="B169" t="str">
        <x:f>XLOOKUP($A169,'Specs'!$A$2:$A$164,'Specs'!$B$2:$B$164,"")</x:f>
        <x:v>LOCK</x:v>
      </x:c>
      <x:c r="C169" t="str">
        <x:f>XLOOKUP($A169,'Specs'!$A$2:$A$164,'Specs'!$C$2:$C$164,"")</x:f>
        <x:v>CYLINDRICAL LOCK</x:v>
      </x:c>
      <x:c r="D169" t="str">
        <x:f>XLOOKUP($A169,'Specs'!$A$2:$A$164,'Specs'!$D$2:$D$164,"")</x:f>
        <x:v>CYLINDRICAL</x:v>
      </x:c>
      <x:c r="E169" t="str">
        <x:f>XLOOKUP($A169,'Specs'!$A$2:$A$164,'Specs'!$E$2:$E$164,"")</x:f>
        <x:v>CLASSROOM</x:v>
      </x:c>
      <x:c r="F169" t="str">
        <x:f>XLOOKUP($A169,'Specs'!$A$2:$A$164,'Specs'!$F$2:$F$164,"")</x:f>
        <x:v>SFIC</x:v>
      </x:c>
      <x:c r="G169" t="str">
        <x:f>XLOOKUP($A169,'Specs'!$A$2:$A$164,'Specs'!$G$2:$G$164,"")</x:f>
      </x:c>
      <x:c r="H169" t="str">
        <x:f>XLOOKUP($A169,'Specs'!$A$2:$A$164,'Specs'!$H$2:$H$164,"")</x:f>
      </x:c>
      <x:c r="I169" t="str">
        <x:f>XLOOKUP($A169,'Specs'!$A$2:$A$164,'Specs'!$I$2:$I$164,"")</x:f>
      </x:c>
      <x:c r="J169" t="str">
        <x:f>XLOOKUP($A169,'Specs'!$A$2:$A$164,'Specs'!$J$2:$J$164,"")</x:f>
      </x:c>
      <x:c r="K169" t="str">
        <x:f>XLOOKUP($A169,'Specs'!$A$2:$A$164,'Specs'!$K$2:$K$164,"")</x:f>
      </x:c>
      <x:c r="L169" t="str">
        <x:f>XLOOKUP($A169,'Specs'!$A$2:$A$164,'Specs'!$L$2:$L$164,"")</x:f>
      </x:c>
      <x:c r="M169" t="n">
        <x:f>XLOOKUP($A169,'Specs'!$A$2:$A$164,'Specs'!$M$2:$M$164,"")</x:f>
        <x:v>626</x:v>
      </x:c>
      <x:c r="N169" t="str">
        <x:f>XLOOKUP($A169,'Specs'!$A$2:$A$164,'Specs'!$N$2:$N$164,"")</x:f>
      </x:c>
      <x:c r="O169" t="str">
        <x:f>XLOOKUP($A169,'Specs'!$A$2:$A$164,'Specs'!$O$2:$O$164,"")</x:f>
      </x:c>
      <x:c r="P169" t="str">
        <x:f>XLOOKUP($A169,'Specs'!$A$2:$A$164,'Specs'!$P$2:$P$164,"")</x:f>
        <x:v>HIGH</x:v>
      </x:c>
      <x:c r="Q169" s="53" t="n">
        <x:f>XLOOKUP($A169,'Specs'!$A$2:$A$164,'Specs'!$Q$2:$Q$164,"")</x:f>
        <x:v>8</x:v>
      </x:c>
      <x:c r="R169" s="53" t="n">
        <x:f>XLOOKUP($A169,'Specs'!$A$2:$A$164,'Specs'!$R$2:$R$164,"")</x:f>
        <x:v>4</x:v>
      </x:c>
      <x:c r="S169" t="str">
        <x:f>'Vendor Options'!A169</x:f>
        <x:v>OFFER-798D85F35B21</x:v>
      </x:c>
      <x:c r="T169" t="str">
        <x:f>'Vendor Options'!C169</x:f>
        <x:v>DH</x:v>
      </x:c>
      <x:c r="U169" t="str">
        <x:f>'Vendor Options'!D169</x:f>
        <x:v>Z-84 SFIC</x:v>
      </x:c>
      <x:c r="V169" t="str">
        <x:f>'Vendor Options'!E169</x:f>
        <x:v>F84</x:v>
      </x:c>
      <x:c r="W169" t="str">
        <x:f>'Vendor Options'!F169</x:f>
        <x:v>F84</x:v>
      </x:c>
      <x:c r="X169" t="str">
        <x:f>'Vendor Options'!G169</x:f>
        <x:v>78001846</x:v>
      </x:c>
      <x:c r="Y169" t="str">
        <x:f>'Vendor Options'!H169</x:f>
        <x:v>78001846 - Z-84IC - F - Classroom (SFIC - no core)</x:v>
      </x:c>
      <x:c r="Z169" t="str">
        <x:f>'Vendor Options'!I169</x:f>
      </x:c>
      <x:c r="AA169" s="54" t="n">
        <x:f>'Vendor Options'!J169</x:f>
        <x:v>290.7</x:v>
      </x:c>
      <x:c r="AB169" t="str">
        <x:f>'Vendor Options'!K169</x:f>
        <x:v>0.26</x:v>
      </x:c>
      <x:c r="AC169" s="57" t="n">
        <x:f>'Vendor Options'!L169</x:f>
        <x:v>0.26</x:v>
      </x:c>
      <x:c r="AD169" s="57" t="n">
        <x:f>'Vendor Options'!M169</x:f>
        <x:v>0</x:v>
      </x:c>
      <x:c r="AE169" s="54" t="n">
        <x:f>'Vendor Options'!N169</x:f>
        <x:v>215.118</x:v>
      </x:c>
      <x:c r="AF169" t="str">
        <x:f>'Vendor Options'!O169</x:f>
        <x:v>USD</x:v>
      </x:c>
      <x:c r="AG169" t="str">
        <x:f>'Vendor Options'!P169</x:f>
        <x:v>PRICED</x:v>
      </x:c>
      <x:c r="AH169" t="str">
        <x:f>'Vendor Options'!Q169</x:f>
        <x:v>ACTIVE</x:v>
      </x:c>
      <x:c r="AI169" t="str">
        <x:f>'Vendor Options'!R169</x:f>
      </x:c>
      <x:c r="AJ169" t="n">
        <x:f>'Vendor Options'!S169</x:f>
        <x:v>135</x:v>
      </x:c>
    </x:row>
    <x:row r="170" ht="15" hidden="0" customHeight="1">
      <x:c r="A170" t="str">
        <x:f>'Vendor Options'!B170</x:f>
        <x:v>SPEC-5C4DA25D107E</x:v>
      </x:c>
      <x:c r="B170" t="str">
        <x:f>XLOOKUP($A170,'Specs'!$A$2:$A$164,'Specs'!$B$2:$B$164,"")</x:f>
        <x:v>LOCK</x:v>
      </x:c>
      <x:c r="C170" t="str">
        <x:f>XLOOKUP($A170,'Specs'!$A$2:$A$164,'Specs'!$C$2:$C$164,"")</x:f>
        <x:v>CYLINDRICAL LOCK</x:v>
      </x:c>
      <x:c r="D170" t="str">
        <x:f>XLOOKUP($A170,'Specs'!$A$2:$A$164,'Specs'!$D$2:$D$164,"")</x:f>
        <x:v>CYLINDRICAL</x:v>
      </x:c>
      <x:c r="E170" t="str">
        <x:f>XLOOKUP($A170,'Specs'!$A$2:$A$164,'Specs'!$E$2:$E$164,"")</x:f>
        <x:v>CLASSROOM</x:v>
      </x:c>
      <x:c r="F170" t="str">
        <x:f>XLOOKUP($A170,'Specs'!$A$2:$A$164,'Specs'!$F$2:$F$164,"")</x:f>
        <x:v>SFIC</x:v>
      </x:c>
      <x:c r="G170" t="str">
        <x:f>XLOOKUP($A170,'Specs'!$A$2:$A$164,'Specs'!$G$2:$G$164,"")</x:f>
      </x:c>
      <x:c r="H170" t="str">
        <x:f>XLOOKUP($A170,'Specs'!$A$2:$A$164,'Specs'!$H$2:$H$164,"")</x:f>
      </x:c>
      <x:c r="I170" t="str">
        <x:f>XLOOKUP($A170,'Specs'!$A$2:$A$164,'Specs'!$I$2:$I$164,"")</x:f>
      </x:c>
      <x:c r="J170" t="str">
        <x:f>XLOOKUP($A170,'Specs'!$A$2:$A$164,'Specs'!$J$2:$J$164,"")</x:f>
      </x:c>
      <x:c r="K170" t="str">
        <x:f>XLOOKUP($A170,'Specs'!$A$2:$A$164,'Specs'!$K$2:$K$164,"")</x:f>
      </x:c>
      <x:c r="L170" t="str">
        <x:f>XLOOKUP($A170,'Specs'!$A$2:$A$164,'Specs'!$L$2:$L$164,"")</x:f>
      </x:c>
      <x:c r="M170" t="n">
        <x:f>XLOOKUP($A170,'Specs'!$A$2:$A$164,'Specs'!$M$2:$M$164,"")</x:f>
        <x:v>626</x:v>
      </x:c>
      <x:c r="N170" t="str">
        <x:f>XLOOKUP($A170,'Specs'!$A$2:$A$164,'Specs'!$N$2:$N$164,"")</x:f>
      </x:c>
      <x:c r="O170" t="str">
        <x:f>XLOOKUP($A170,'Specs'!$A$2:$A$164,'Specs'!$O$2:$O$164,"")</x:f>
      </x:c>
      <x:c r="P170" t="str">
        <x:f>XLOOKUP($A170,'Specs'!$A$2:$A$164,'Specs'!$P$2:$P$164,"")</x:f>
        <x:v>HIGH</x:v>
      </x:c>
      <x:c r="Q170" s="53" t="n">
        <x:f>XLOOKUP($A170,'Specs'!$A$2:$A$164,'Specs'!$Q$2:$Q$164,"")</x:f>
        <x:v>8</x:v>
      </x:c>
      <x:c r="R170" s="53" t="n">
        <x:f>XLOOKUP($A170,'Specs'!$A$2:$A$164,'Specs'!$R$2:$R$164,"")</x:f>
        <x:v>4</x:v>
      </x:c>
      <x:c r="S170" t="str">
        <x:f>'Vendor Options'!A170</x:f>
        <x:v>OFFER-834624F454E0</x:v>
      </x:c>
      <x:c r="T170" t="str">
        <x:f>'Vendor Options'!C170</x:f>
        <x:v>DK</x:v>
      </x:c>
      <x:c r="U170" t="str">
        <x:f>'Vendor Options'!D170</x:f>
        <x:v>C170J</x:v>
      </x:c>
      <x:c r="V170" t="str">
        <x:f>'Vendor Options'!E170</x:f>
        <x:v>F84</x:v>
      </x:c>
      <x:c r="W170" t="str">
        <x:f>'Vendor Options'!F170</x:f>
        <x:v>F84</x:v>
      </x:c>
      <x:c r="X170" t="str">
        <x:f>'Vendor Options'!G170</x:f>
        <x:v>C170-J-LR-C-*-*-10252-134-5001-1316</x:v>
      </x:c>
      <x:c r="Y170" t="str">
        <x:f>'Vendor Options'!H170</x:f>
        <x:v>C170-J-LR-C-*-*-10252-134-5001-1316</x:v>
      </x:c>
      <x:c r="Z170" t="str">
        <x:f>'Vendor Options'!I170</x:f>
      </x:c>
      <x:c r="AA170" s="54" t="n">
        <x:f>'Vendor Options'!J170</x:f>
        <x:v>121.93</x:v>
      </x:c>
      <x:c r="AB170" t="n">
        <x:f>'Vendor Options'!K170</x:f>
        <x:v>0</x:v>
      </x:c>
      <x:c r="AC170" s="57" t="n">
        <x:f>'Vendor Options'!L170</x:f>
        <x:v>0</x:v>
      </x:c>
      <x:c r="AD170" s="57" t="n">
        <x:f>'Vendor Options'!M170</x:f>
        <x:v>0</x:v>
      </x:c>
      <x:c r="AE170" s="54" t="n">
        <x:f>'Vendor Options'!N170</x:f>
        <x:v>121.93</x:v>
      </x:c>
      <x:c r="AF170" t="str">
        <x:f>'Vendor Options'!O170</x:f>
        <x:v>USD</x:v>
      </x:c>
      <x:c r="AG170" t="str">
        <x:f>'Vendor Options'!P170</x:f>
        <x:v>PRICED</x:v>
      </x:c>
      <x:c r="AH170" t="str">
        <x:f>'Vendor Options'!Q170</x:f>
        <x:v>REVIEW</x:v>
      </x:c>
      <x:c r="AI170" t="str">
        <x:f>'Vendor Options'!R170</x:f>
        <x:v>POSSIBLE_PRICE_OUTLIER</x:v>
      </x:c>
      <x:c r="AJ170" t="n">
        <x:f>'Vendor Options'!S170</x:f>
        <x:v>124</x:v>
      </x:c>
    </x:row>
    <x:row r="171" ht="15" hidden="0" customHeight="1">
      <x:c r="A171" t="str">
        <x:f>'Vendor Options'!B171</x:f>
        <x:v>SPEC-5C4DA25D107E</x:v>
      </x:c>
      <x:c r="B171" t="str">
        <x:f>XLOOKUP($A171,'Specs'!$A$2:$A$164,'Specs'!$B$2:$B$164,"")</x:f>
        <x:v>LOCK</x:v>
      </x:c>
      <x:c r="C171" t="str">
        <x:f>XLOOKUP($A171,'Specs'!$A$2:$A$164,'Specs'!$C$2:$C$164,"")</x:f>
        <x:v>CYLINDRICAL LOCK</x:v>
      </x:c>
      <x:c r="D171" t="str">
        <x:f>XLOOKUP($A171,'Specs'!$A$2:$A$164,'Specs'!$D$2:$D$164,"")</x:f>
        <x:v>CYLINDRICAL</x:v>
      </x:c>
      <x:c r="E171" t="str">
        <x:f>XLOOKUP($A171,'Specs'!$A$2:$A$164,'Specs'!$E$2:$E$164,"")</x:f>
        <x:v>CLASSROOM</x:v>
      </x:c>
      <x:c r="F171" t="str">
        <x:f>XLOOKUP($A171,'Specs'!$A$2:$A$164,'Specs'!$F$2:$F$164,"")</x:f>
        <x:v>SFIC</x:v>
      </x:c>
      <x:c r="G171" t="str">
        <x:f>XLOOKUP($A171,'Specs'!$A$2:$A$164,'Specs'!$G$2:$G$164,"")</x:f>
      </x:c>
      <x:c r="H171" t="str">
        <x:f>XLOOKUP($A171,'Specs'!$A$2:$A$164,'Specs'!$H$2:$H$164,"")</x:f>
      </x:c>
      <x:c r="I171" t="str">
        <x:f>XLOOKUP($A171,'Specs'!$A$2:$A$164,'Specs'!$I$2:$I$164,"")</x:f>
      </x:c>
      <x:c r="J171" t="str">
        <x:f>XLOOKUP($A171,'Specs'!$A$2:$A$164,'Specs'!$J$2:$J$164,"")</x:f>
      </x:c>
      <x:c r="K171" t="str">
        <x:f>XLOOKUP($A171,'Specs'!$A$2:$A$164,'Specs'!$K$2:$K$164,"")</x:f>
      </x:c>
      <x:c r="L171" t="str">
        <x:f>XLOOKUP($A171,'Specs'!$A$2:$A$164,'Specs'!$L$2:$L$164,"")</x:f>
      </x:c>
      <x:c r="M171" t="n">
        <x:f>XLOOKUP($A171,'Specs'!$A$2:$A$164,'Specs'!$M$2:$M$164,"")</x:f>
        <x:v>626</x:v>
      </x:c>
      <x:c r="N171" t="str">
        <x:f>XLOOKUP($A171,'Specs'!$A$2:$A$164,'Specs'!$N$2:$N$164,"")</x:f>
      </x:c>
      <x:c r="O171" t="str">
        <x:f>XLOOKUP($A171,'Specs'!$A$2:$A$164,'Specs'!$O$2:$O$164,"")</x:f>
      </x:c>
      <x:c r="P171" t="str">
        <x:f>XLOOKUP($A171,'Specs'!$A$2:$A$164,'Specs'!$P$2:$P$164,"")</x:f>
        <x:v>HIGH</x:v>
      </x:c>
      <x:c r="Q171" s="53" t="n">
        <x:f>XLOOKUP($A171,'Specs'!$A$2:$A$164,'Specs'!$Q$2:$Q$164,"")</x:f>
        <x:v>8</x:v>
      </x:c>
      <x:c r="R171" s="53" t="n">
        <x:f>XLOOKUP($A171,'Specs'!$A$2:$A$164,'Specs'!$R$2:$R$164,"")</x:f>
        <x:v>4</x:v>
      </x:c>
      <x:c r="S171" t="str">
        <x:f>'Vendor Options'!A171</x:f>
        <x:v>OFFER-D069D14C1793</x:v>
      </x:c>
      <x:c r="T171" t="str">
        <x:f>'Vendor Options'!C171</x:f>
        <x:v>PHG</x:v>
      </x:c>
      <x:c r="U171" t="str">
        <x:f>'Vendor Options'!D171</x:f>
        <x:v>ES-ICB</x:v>
      </x:c>
      <x:c r="V171" t="str">
        <x:f>'Vendor Options'!E171</x:f>
        <x:v>F84</x:v>
      </x:c>
      <x:c r="W171" t="str">
        <x:f>'Vendor Options'!F171</x:f>
        <x:v>F84</x:v>
      </x:c>
      <x:c r="X171" t="str">
        <x:f>'Vendor Options'!G171</x:f>
        <x:v>ES509CT26DICB</x:v>
      </x:c>
      <x:c r="Y171" t="str">
        <x:f>'Vendor Options'!H171</x:f>
        <x:v>ES509CT26DICB ES-CT509 - Classroom (F84) - ICB</x:v>
      </x:c>
      <x:c r="Z171" t="str">
        <x:f>'Vendor Options'!I171</x:f>
      </x:c>
      <x:c r="AA171" s="54" t="n">
        <x:f>'Vendor Options'!J171</x:f>
        <x:v>121.93</x:v>
      </x:c>
      <x:c r="AB171" t="n">
        <x:f>'Vendor Options'!K171</x:f>
        <x:v>0</x:v>
      </x:c>
      <x:c r="AC171" s="57" t="n">
        <x:f>'Vendor Options'!L171</x:f>
        <x:v>0</x:v>
      </x:c>
      <x:c r="AD171" s="57" t="n">
        <x:f>'Vendor Options'!M171</x:f>
        <x:v>0</x:v>
      </x:c>
      <x:c r="AE171" s="54" t="n">
        <x:f>'Vendor Options'!N171</x:f>
        <x:v>121.93</x:v>
      </x:c>
      <x:c r="AF171" t="str">
        <x:f>'Vendor Options'!O171</x:f>
        <x:v>USD</x:v>
      </x:c>
      <x:c r="AG171" t="str">
        <x:f>'Vendor Options'!P171</x:f>
        <x:v>PRICED</x:v>
      </x:c>
      <x:c r="AH171" t="str">
        <x:f>'Vendor Options'!Q171</x:f>
        <x:v>ACTIVE</x:v>
      </x:c>
      <x:c r="AI171" t="str">
        <x:f>'Vendor Options'!R171</x:f>
      </x:c>
      <x:c r="AJ171" t="n">
        <x:f>'Vendor Options'!S171</x:f>
        <x:v>177</x:v>
      </x:c>
    </x:row>
    <x:row r="172" ht="15" hidden="0" customHeight="1">
      <x:c r="A172" t="str">
        <x:f>'Vendor Options'!B172</x:f>
        <x:v>SPEC-5C4DA25D107E</x:v>
      </x:c>
      <x:c r="B172" t="str">
        <x:f>XLOOKUP($A172,'Specs'!$A$2:$A$164,'Specs'!$B$2:$B$164,"")</x:f>
        <x:v>LOCK</x:v>
      </x:c>
      <x:c r="C172" t="str">
        <x:f>XLOOKUP($A172,'Specs'!$A$2:$A$164,'Specs'!$C$2:$C$164,"")</x:f>
        <x:v>CYLINDRICAL LOCK</x:v>
      </x:c>
      <x:c r="D172" t="str">
        <x:f>XLOOKUP($A172,'Specs'!$A$2:$A$164,'Specs'!$D$2:$D$164,"")</x:f>
        <x:v>CYLINDRICAL</x:v>
      </x:c>
      <x:c r="E172" t="str">
        <x:f>XLOOKUP($A172,'Specs'!$A$2:$A$164,'Specs'!$E$2:$E$164,"")</x:f>
        <x:v>CLASSROOM</x:v>
      </x:c>
      <x:c r="F172" t="str">
        <x:f>XLOOKUP($A172,'Specs'!$A$2:$A$164,'Specs'!$F$2:$F$164,"")</x:f>
        <x:v>SFIC</x:v>
      </x:c>
      <x:c r="G172" t="str">
        <x:f>XLOOKUP($A172,'Specs'!$A$2:$A$164,'Specs'!$G$2:$G$164,"")</x:f>
      </x:c>
      <x:c r="H172" t="str">
        <x:f>XLOOKUP($A172,'Specs'!$A$2:$A$164,'Specs'!$H$2:$H$164,"")</x:f>
      </x:c>
      <x:c r="I172" t="str">
        <x:f>XLOOKUP($A172,'Specs'!$A$2:$A$164,'Specs'!$I$2:$I$164,"")</x:f>
      </x:c>
      <x:c r="J172" t="str">
        <x:f>XLOOKUP($A172,'Specs'!$A$2:$A$164,'Specs'!$J$2:$J$164,"")</x:f>
      </x:c>
      <x:c r="K172" t="str">
        <x:f>XLOOKUP($A172,'Specs'!$A$2:$A$164,'Specs'!$K$2:$K$164,"")</x:f>
      </x:c>
      <x:c r="L172" t="str">
        <x:f>XLOOKUP($A172,'Specs'!$A$2:$A$164,'Specs'!$L$2:$L$164,"")</x:f>
      </x:c>
      <x:c r="M172" t="n">
        <x:f>XLOOKUP($A172,'Specs'!$A$2:$A$164,'Specs'!$M$2:$M$164,"")</x:f>
        <x:v>626</x:v>
      </x:c>
      <x:c r="N172" t="str">
        <x:f>XLOOKUP($A172,'Specs'!$A$2:$A$164,'Specs'!$N$2:$N$164,"")</x:f>
      </x:c>
      <x:c r="O172" t="str">
        <x:f>XLOOKUP($A172,'Specs'!$A$2:$A$164,'Specs'!$O$2:$O$164,"")</x:f>
      </x:c>
      <x:c r="P172" t="str">
        <x:f>XLOOKUP($A172,'Specs'!$A$2:$A$164,'Specs'!$P$2:$P$164,"")</x:f>
        <x:v>HIGH</x:v>
      </x:c>
      <x:c r="Q172" s="53" t="n">
        <x:f>XLOOKUP($A172,'Specs'!$A$2:$A$164,'Specs'!$Q$2:$Q$164,"")</x:f>
        <x:v>8</x:v>
      </x:c>
      <x:c r="R172" s="53" t="n">
        <x:f>XLOOKUP($A172,'Specs'!$A$2:$A$164,'Specs'!$R$2:$R$164,"")</x:f>
        <x:v>4</x:v>
      </x:c>
      <x:c r="S172" t="str">
        <x:f>'Vendor Options'!A172</x:f>
        <x:v>OFFER-E050F37F2FB3</x:v>
      </x:c>
      <x:c r="T172" t="str">
        <x:f>'Vendor Options'!C172</x:f>
        <x:v>PHG</x:v>
      </x:c>
      <x:c r="U172" t="str">
        <x:f>'Vendor Options'!D172</x:f>
        <x:v>FC-ICB</x:v>
      </x:c>
      <x:c r="V172" t="str">
        <x:f>'Vendor Options'!E172</x:f>
        <x:v>F84</x:v>
      </x:c>
      <x:c r="W172" t="str">
        <x:f>'Vendor Options'!F172</x:f>
        <x:v>F84</x:v>
      </x:c>
      <x:c r="X172" t="str">
        <x:f>'Vendor Options'!G172</x:f>
        <x:v>FC509CT26DICB</x:v>
      </x:c>
      <x:c r="Y172" t="str">
        <x:f>'Vendor Options'!H172</x:f>
        <x:v>FC509CT26DICB FC-CT509 - Classroom (F84) - ICB</x:v>
      </x:c>
      <x:c r="Z172" t="str">
        <x:f>'Vendor Options'!I172</x:f>
      </x:c>
      <x:c r="AA172" s="54" t="n">
        <x:f>'Vendor Options'!J172</x:f>
        <x:v>202.76</x:v>
      </x:c>
      <x:c r="AB172" t="n">
        <x:f>'Vendor Options'!K172</x:f>
        <x:v>0</x:v>
      </x:c>
      <x:c r="AC172" s="57" t="n">
        <x:f>'Vendor Options'!L172</x:f>
        <x:v>0</x:v>
      </x:c>
      <x:c r="AD172" s="57" t="n">
        <x:f>'Vendor Options'!M172</x:f>
        <x:v>0</x:v>
      </x:c>
      <x:c r="AE172" s="54" t="n">
        <x:f>'Vendor Options'!N172</x:f>
        <x:v>202.76</x:v>
      </x:c>
      <x:c r="AF172" t="str">
        <x:f>'Vendor Options'!O172</x:f>
        <x:v>USD</x:v>
      </x:c>
      <x:c r="AG172" t="str">
        <x:f>'Vendor Options'!P172</x:f>
        <x:v>PRICED</x:v>
      </x:c>
      <x:c r="AH172" t="str">
        <x:f>'Vendor Options'!Q172</x:f>
        <x:v>ACTIVE</x:v>
      </x:c>
      <x:c r="AI172" t="str">
        <x:f>'Vendor Options'!R172</x:f>
      </x:c>
      <x:c r="AJ172" t="n">
        <x:f>'Vendor Options'!S172</x:f>
        <x:v>162</x:v>
      </x:c>
    </x:row>
    <x:row r="173" ht="15" hidden="0" customHeight="1">
      <x:c r="A173" t="str">
        <x:f>'Vendor Options'!B173</x:f>
        <x:v>SPEC-5C4DA25D107E</x:v>
      </x:c>
      <x:c r="B173" t="str">
        <x:f>XLOOKUP($A173,'Specs'!$A$2:$A$164,'Specs'!$B$2:$B$164,"")</x:f>
        <x:v>LOCK</x:v>
      </x:c>
      <x:c r="C173" t="str">
        <x:f>XLOOKUP($A173,'Specs'!$A$2:$A$164,'Specs'!$C$2:$C$164,"")</x:f>
        <x:v>CYLINDRICAL LOCK</x:v>
      </x:c>
      <x:c r="D173" t="str">
        <x:f>XLOOKUP($A173,'Specs'!$A$2:$A$164,'Specs'!$D$2:$D$164,"")</x:f>
        <x:v>CYLINDRICAL</x:v>
      </x:c>
      <x:c r="E173" t="str">
        <x:f>XLOOKUP($A173,'Specs'!$A$2:$A$164,'Specs'!$E$2:$E$164,"")</x:f>
        <x:v>CLASSROOM</x:v>
      </x:c>
      <x:c r="F173" t="str">
        <x:f>XLOOKUP($A173,'Specs'!$A$2:$A$164,'Specs'!$F$2:$F$164,"")</x:f>
        <x:v>SFIC</x:v>
      </x:c>
      <x:c r="G173" t="str">
        <x:f>XLOOKUP($A173,'Specs'!$A$2:$A$164,'Specs'!$G$2:$G$164,"")</x:f>
      </x:c>
      <x:c r="H173" t="str">
        <x:f>XLOOKUP($A173,'Specs'!$A$2:$A$164,'Specs'!$H$2:$H$164,"")</x:f>
      </x:c>
      <x:c r="I173" t="str">
        <x:f>XLOOKUP($A173,'Specs'!$A$2:$A$164,'Specs'!$I$2:$I$164,"")</x:f>
      </x:c>
      <x:c r="J173" t="str">
        <x:f>XLOOKUP($A173,'Specs'!$A$2:$A$164,'Specs'!$J$2:$J$164,"")</x:f>
      </x:c>
      <x:c r="K173" t="str">
        <x:f>XLOOKUP($A173,'Specs'!$A$2:$A$164,'Specs'!$K$2:$K$164,"")</x:f>
      </x:c>
      <x:c r="L173" t="str">
        <x:f>XLOOKUP($A173,'Specs'!$A$2:$A$164,'Specs'!$L$2:$L$164,"")</x:f>
      </x:c>
      <x:c r="M173" t="n">
        <x:f>XLOOKUP($A173,'Specs'!$A$2:$A$164,'Specs'!$M$2:$M$164,"")</x:f>
        <x:v>626</x:v>
      </x:c>
      <x:c r="N173" t="str">
        <x:f>XLOOKUP($A173,'Specs'!$A$2:$A$164,'Specs'!$N$2:$N$164,"")</x:f>
      </x:c>
      <x:c r="O173" t="str">
        <x:f>XLOOKUP($A173,'Specs'!$A$2:$A$164,'Specs'!$O$2:$O$164,"")</x:f>
      </x:c>
      <x:c r="P173" t="str">
        <x:f>XLOOKUP($A173,'Specs'!$A$2:$A$164,'Specs'!$P$2:$P$164,"")</x:f>
        <x:v>HIGH</x:v>
      </x:c>
      <x:c r="Q173" s="53" t="n">
        <x:f>XLOOKUP($A173,'Specs'!$A$2:$A$164,'Specs'!$Q$2:$Q$164,"")</x:f>
        <x:v>8</x:v>
      </x:c>
      <x:c r="R173" s="53" t="n">
        <x:f>XLOOKUP($A173,'Specs'!$A$2:$A$164,'Specs'!$R$2:$R$164,"")</x:f>
        <x:v>4</x:v>
      </x:c>
      <x:c r="S173" t="str">
        <x:f>'Vendor Options'!A173</x:f>
        <x:v>OFFER-377EC4EF10BE</x:v>
      </x:c>
      <x:c r="T173" t="str">
        <x:f>'Vendor Options'!C173</x:f>
        <x:v>PHG</x:v>
      </x:c>
      <x:c r="U173" t="str">
        <x:f>'Vendor Options'!D173</x:f>
        <x:v>HS-ICB</x:v>
      </x:c>
      <x:c r="V173" t="str">
        <x:f>'Vendor Options'!E173</x:f>
        <x:v>F84</x:v>
      </x:c>
      <x:c r="W173" t="str">
        <x:f>'Vendor Options'!F173</x:f>
        <x:v>F84</x:v>
      </x:c>
      <x:c r="X173" t="str">
        <x:f>'Vendor Options'!G173</x:f>
        <x:v>HS509CT26DICB</x:v>
      </x:c>
      <x:c r="Y173" t="str">
        <x:f>'Vendor Options'!H173</x:f>
        <x:v>HS509CT26DICB HS-CT509 - Classroom (F84) - ICB</x:v>
      </x:c>
      <x:c r="Z173" t="str">
        <x:f>'Vendor Options'!I173</x:f>
      </x:c>
      <x:c r="AA173" s="54" t="n">
        <x:f>'Vendor Options'!J173</x:f>
        <x:v>105.32</x:v>
      </x:c>
      <x:c r="AB173" t="str">
        <x:f>'Vendor Options'!K173</x:f>
      </x:c>
      <x:c r="AC173" s="57" t="n">
        <x:f>'Vendor Options'!L173</x:f>
        <x:v>0</x:v>
      </x:c>
      <x:c r="AD173" s="57" t="n">
        <x:f>'Vendor Options'!M173</x:f>
        <x:v>0</x:v>
      </x:c>
      <x:c r="AE173" s="54" t="n">
        <x:f>'Vendor Options'!N173</x:f>
        <x:v>105.32</x:v>
      </x:c>
      <x:c r="AF173" t="str">
        <x:f>'Vendor Options'!O173</x:f>
        <x:v>USD</x:v>
      </x:c>
      <x:c r="AG173" t="str">
        <x:f>'Vendor Options'!P173</x:f>
        <x:v>PRICED</x:v>
      </x:c>
      <x:c r="AH173" t="str">
        <x:f>'Vendor Options'!Q173</x:f>
        <x:v>ACTIVE</x:v>
      </x:c>
      <x:c r="AI173" t="str">
        <x:f>'Vendor Options'!R173</x:f>
      </x:c>
      <x:c r="AJ173" t="n">
        <x:f>'Vendor Options'!S173</x:f>
        <x:v>184</x:v>
      </x:c>
    </x:row>
    <x:row r="174" ht="15" hidden="0" customHeight="1">
      <x:c r="A174" t="str">
        <x:f>'Vendor Options'!B174</x:f>
        <x:v>SPEC-46A9513103A2</x:v>
      </x:c>
      <x:c r="B174" t="str">
        <x:f>XLOOKUP($A174,'Specs'!$A$2:$A$164,'Specs'!$B$2:$B$164,"")</x:f>
        <x:v>LOCK</x:v>
      </x:c>
      <x:c r="C174" t="str">
        <x:f>XLOOKUP($A174,'Specs'!$A$2:$A$164,'Specs'!$C$2:$C$164,"")</x:f>
        <x:v>CYLINDRICAL LOCK</x:v>
      </x:c>
      <x:c r="D174" t="str">
        <x:f>XLOOKUP($A174,'Specs'!$A$2:$A$164,'Specs'!$D$2:$D$164,"")</x:f>
        <x:v>CYLINDRICAL</x:v>
      </x:c>
      <x:c r="E174" t="str">
        <x:f>XLOOKUP($A174,'Specs'!$A$2:$A$164,'Specs'!$E$2:$E$164,"")</x:f>
        <x:v>CLASSROOM</x:v>
      </x:c>
      <x:c r="F174" t="str">
        <x:f>XLOOKUP($A174,'Specs'!$A$2:$A$164,'Specs'!$F$2:$F$164,"")</x:f>
        <x:v>STANDARD</x:v>
      </x:c>
      <x:c r="G174" t="str">
        <x:f>XLOOKUP($A174,'Specs'!$A$2:$A$164,'Specs'!$G$2:$G$164,"")</x:f>
      </x:c>
      <x:c r="H174" t="str">
        <x:f>XLOOKUP($A174,'Specs'!$A$2:$A$164,'Specs'!$H$2:$H$164,"")</x:f>
      </x:c>
      <x:c r="I174" t="str">
        <x:f>XLOOKUP($A174,'Specs'!$A$2:$A$164,'Specs'!$I$2:$I$164,"")</x:f>
      </x:c>
      <x:c r="J174" t="str">
        <x:f>XLOOKUP($A174,'Specs'!$A$2:$A$164,'Specs'!$J$2:$J$164,"")</x:f>
      </x:c>
      <x:c r="K174" t="str">
        <x:f>XLOOKUP($A174,'Specs'!$A$2:$A$164,'Specs'!$K$2:$K$164,"")</x:f>
      </x:c>
      <x:c r="L174" t="str">
        <x:f>XLOOKUP($A174,'Specs'!$A$2:$A$164,'Specs'!$L$2:$L$164,"")</x:f>
      </x:c>
      <x:c r="M174" t="n">
        <x:f>XLOOKUP($A174,'Specs'!$A$2:$A$164,'Specs'!$M$2:$M$164,"")</x:f>
        <x:v>626</x:v>
      </x:c>
      <x:c r="N174" t="str">
        <x:f>XLOOKUP($A174,'Specs'!$A$2:$A$164,'Specs'!$N$2:$N$164,"")</x:f>
      </x:c>
      <x:c r="O174" t="str">
        <x:f>XLOOKUP($A174,'Specs'!$A$2:$A$164,'Specs'!$O$2:$O$164,"")</x:f>
      </x:c>
      <x:c r="P174" t="str">
        <x:f>XLOOKUP($A174,'Specs'!$A$2:$A$164,'Specs'!$P$2:$P$164,"")</x:f>
        <x:v>HIGH</x:v>
      </x:c>
      <x:c r="Q174" s="53" t="n">
        <x:f>XLOOKUP($A174,'Specs'!$A$2:$A$164,'Specs'!$Q$2:$Q$164,"")</x:f>
        <x:v>8</x:v>
      </x:c>
      <x:c r="R174" s="53" t="n">
        <x:f>XLOOKUP($A174,'Specs'!$A$2:$A$164,'Specs'!$R$2:$R$164,"")</x:f>
        <x:v>4</x:v>
      </x:c>
      <x:c r="S174" t="str">
        <x:f>'Vendor Options'!A174</x:f>
        <x:v>OFFER-45FB95B47E73</x:v>
      </x:c>
      <x:c r="T174" t="str">
        <x:f>'Vendor Options'!C174</x:f>
        <x:v>BST</x:v>
      </x:c>
      <x:c r="U174" t="str">
        <x:f>'Vendor Options'!D174</x:f>
        <x:v>9K</x:v>
      </x:c>
      <x:c r="V174" t="str">
        <x:f>'Vendor Options'!E174</x:f>
        <x:v>R</x:v>
      </x:c>
      <x:c r="W174" t="str">
        <x:f>'Vendor Options'!F174</x:f>
        <x:v>R</x:v>
      </x:c>
      <x:c r="X174" t="str">
        <x:f>'Vendor Options'!G174</x:f>
        <x:v>9K-3-7-R-15-C3-STK-626</x:v>
      </x:c>
      <x:c r="Y174" t="str">
        <x:f>'Vendor Options'!H174</x:f>
        <x:v>9K-3-7-R-15-C3-STK-626</x:v>
      </x:c>
      <x:c r="Z174" t="n">
        <x:f>'Vendor Options'!I174</x:f>
        <x:v>0</x:v>
      </x:c>
      <x:c r="AA174" s="54" t="n">
        <x:f>'Vendor Options'!J174</x:f>
        <x:v>1227</x:v>
      </x:c>
      <x:c r="AB174" t="str">
        <x:f>'Vendor Options'!K174</x:f>
        <x:v>0.24</x:v>
      </x:c>
      <x:c r="AC174" s="57" t="n">
        <x:f>'Vendor Options'!L174</x:f>
        <x:v>0.24</x:v>
      </x:c>
      <x:c r="AD174" s="57" t="n">
        <x:f>'Vendor Options'!M174</x:f>
        <x:v>0</x:v>
      </x:c>
      <x:c r="AE174" s="54" t="n">
        <x:f>'Vendor Options'!N174</x:f>
        <x:v>932.52</x:v>
      </x:c>
      <x:c r="AF174" t="str">
        <x:f>'Vendor Options'!O174</x:f>
        <x:v>USD</x:v>
      </x:c>
      <x:c r="AG174" t="str">
        <x:f>'Vendor Options'!P174</x:f>
        <x:v>PRICED</x:v>
      </x:c>
      <x:c r="AH174" t="str">
        <x:f>'Vendor Options'!Q174</x:f>
        <x:v>ACTIVE</x:v>
      </x:c>
      <x:c r="AI174" t="str">
        <x:f>'Vendor Options'!R174</x:f>
      </x:c>
      <x:c r="AJ174" t="n">
        <x:f>'Vendor Options'!S174</x:f>
        <x:v>112</x:v>
      </x:c>
    </x:row>
    <x:row r="175" ht="15" hidden="0" customHeight="1">
      <x:c r="A175" t="str">
        <x:f>'Vendor Options'!B175</x:f>
        <x:v>SPEC-46A9513103A2</x:v>
      </x:c>
      <x:c r="B175" t="str">
        <x:f>XLOOKUP($A175,'Specs'!$A$2:$A$164,'Specs'!$B$2:$B$164,"")</x:f>
        <x:v>LOCK</x:v>
      </x:c>
      <x:c r="C175" t="str">
        <x:f>XLOOKUP($A175,'Specs'!$A$2:$A$164,'Specs'!$C$2:$C$164,"")</x:f>
        <x:v>CYLINDRICAL LOCK</x:v>
      </x:c>
      <x:c r="D175" t="str">
        <x:f>XLOOKUP($A175,'Specs'!$A$2:$A$164,'Specs'!$D$2:$D$164,"")</x:f>
        <x:v>CYLINDRICAL</x:v>
      </x:c>
      <x:c r="E175" t="str">
        <x:f>XLOOKUP($A175,'Specs'!$A$2:$A$164,'Specs'!$E$2:$E$164,"")</x:f>
        <x:v>CLASSROOM</x:v>
      </x:c>
      <x:c r="F175" t="str">
        <x:f>XLOOKUP($A175,'Specs'!$A$2:$A$164,'Specs'!$F$2:$F$164,"")</x:f>
        <x:v>STANDARD</x:v>
      </x:c>
      <x:c r="G175" t="str">
        <x:f>XLOOKUP($A175,'Specs'!$A$2:$A$164,'Specs'!$G$2:$G$164,"")</x:f>
      </x:c>
      <x:c r="H175" t="str">
        <x:f>XLOOKUP($A175,'Specs'!$A$2:$A$164,'Specs'!$H$2:$H$164,"")</x:f>
      </x:c>
      <x:c r="I175" t="str">
        <x:f>XLOOKUP($A175,'Specs'!$A$2:$A$164,'Specs'!$I$2:$I$164,"")</x:f>
      </x:c>
      <x:c r="J175" t="str">
        <x:f>XLOOKUP($A175,'Specs'!$A$2:$A$164,'Specs'!$J$2:$J$164,"")</x:f>
      </x:c>
      <x:c r="K175" t="str">
        <x:f>XLOOKUP($A175,'Specs'!$A$2:$A$164,'Specs'!$K$2:$K$164,"")</x:f>
      </x:c>
      <x:c r="L175" t="str">
        <x:f>XLOOKUP($A175,'Specs'!$A$2:$A$164,'Specs'!$L$2:$L$164,"")</x:f>
      </x:c>
      <x:c r="M175" t="n">
        <x:f>XLOOKUP($A175,'Specs'!$A$2:$A$164,'Specs'!$M$2:$M$164,"")</x:f>
        <x:v>626</x:v>
      </x:c>
      <x:c r="N175" t="str">
        <x:f>XLOOKUP($A175,'Specs'!$A$2:$A$164,'Specs'!$N$2:$N$164,"")</x:f>
      </x:c>
      <x:c r="O175" t="str">
        <x:f>XLOOKUP($A175,'Specs'!$A$2:$A$164,'Specs'!$O$2:$O$164,"")</x:f>
      </x:c>
      <x:c r="P175" t="str">
        <x:f>XLOOKUP($A175,'Specs'!$A$2:$A$164,'Specs'!$P$2:$P$164,"")</x:f>
        <x:v>HIGH</x:v>
      </x:c>
      <x:c r="Q175" s="53" t="n">
        <x:f>XLOOKUP($A175,'Specs'!$A$2:$A$164,'Specs'!$Q$2:$Q$164,"")</x:f>
        <x:v>8</x:v>
      </x:c>
      <x:c r="R175" s="53" t="n">
        <x:f>XLOOKUP($A175,'Specs'!$A$2:$A$164,'Specs'!$R$2:$R$164,"")</x:f>
        <x:v>4</x:v>
      </x:c>
      <x:c r="S175" t="str">
        <x:f>'Vendor Options'!A175</x:f>
        <x:v>OFFER-720E466A7322</x:v>
      </x:c>
      <x:c r="T175" t="str">
        <x:f>'Vendor Options'!C175</x:f>
        <x:v>DH</x:v>
      </x:c>
      <x:c r="U175" t="str">
        <x:f>'Vendor Options'!D175</x:f>
        <x:v>J-84</x:v>
      </x:c>
      <x:c r="V175" t="str">
        <x:f>'Vendor Options'!E175</x:f>
        <x:v>F84</x:v>
      </x:c>
      <x:c r="W175" t="str">
        <x:f>'Vendor Options'!F175</x:f>
        <x:v>F84</x:v>
      </x:c>
      <x:c r="X175" t="str">
        <x:f>'Vendor Options'!G175</x:f>
        <x:v>78093756</x:v>
      </x:c>
      <x:c r="Y175" t="str">
        <x:f>'Vendor Options'!H175</x:f>
        <x:v>78093756 - J-84 - F - Classroom Function</x:v>
      </x:c>
      <x:c r="Z175" t="n">
        <x:f>'Vendor Options'!I175</x:f>
        <x:v>0</x:v>
      </x:c>
      <x:c r="AA175" s="54" t="n">
        <x:f>'Vendor Options'!J175</x:f>
        <x:v>0</x:v>
      </x:c>
      <x:c r="AB175" t="n">
        <x:f>'Vendor Options'!K175</x:f>
        <x:v>0</x:v>
      </x:c>
      <x:c r="AC175" s="57" t="n">
        <x:f>'Vendor Options'!L175</x:f>
        <x:v>0</x:v>
      </x:c>
      <x:c r="AD175" s="57" t="n">
        <x:f>'Vendor Options'!M175</x:f>
        <x:v>0</x:v>
      </x:c>
      <x:c r="AE175" s="54" t="str">
        <x:f>'Vendor Options'!N175</x:f>
      </x:c>
      <x:c r="AF175" t="str">
        <x:f>'Vendor Options'!O175</x:f>
        <x:v>USD</x:v>
      </x:c>
      <x:c r="AG175" t="str">
        <x:f>'Vendor Options'!P175</x:f>
        <x:v>UNPRICED</x:v>
      </x:c>
      <x:c r="AH175" t="str">
        <x:f>'Vendor Options'!Q175</x:f>
        <x:v>ACTIVE</x:v>
      </x:c>
      <x:c r="AI175" t="str">
        <x:f>'Vendor Options'!R175</x:f>
        <x:v>MISSING_PRICE</x:v>
      </x:c>
      <x:c r="AJ175" t="n">
        <x:f>'Vendor Options'!S175</x:f>
        <x:v>150</x:v>
      </x:c>
    </x:row>
    <x:row r="176" ht="15" hidden="0" customHeight="1">
      <x:c r="A176" t="str">
        <x:f>'Vendor Options'!B176</x:f>
        <x:v>SPEC-46A9513103A2</x:v>
      </x:c>
      <x:c r="B176" t="str">
        <x:f>XLOOKUP($A176,'Specs'!$A$2:$A$164,'Specs'!$B$2:$B$164,"")</x:f>
        <x:v>LOCK</x:v>
      </x:c>
      <x:c r="C176" t="str">
        <x:f>XLOOKUP($A176,'Specs'!$A$2:$A$164,'Specs'!$C$2:$C$164,"")</x:f>
        <x:v>CYLINDRICAL LOCK</x:v>
      </x:c>
      <x:c r="D176" t="str">
        <x:f>XLOOKUP($A176,'Specs'!$A$2:$A$164,'Specs'!$D$2:$D$164,"")</x:f>
        <x:v>CYLINDRICAL</x:v>
      </x:c>
      <x:c r="E176" t="str">
        <x:f>XLOOKUP($A176,'Specs'!$A$2:$A$164,'Specs'!$E$2:$E$164,"")</x:f>
        <x:v>CLASSROOM</x:v>
      </x:c>
      <x:c r="F176" t="str">
        <x:f>XLOOKUP($A176,'Specs'!$A$2:$A$164,'Specs'!$F$2:$F$164,"")</x:f>
        <x:v>STANDARD</x:v>
      </x:c>
      <x:c r="G176" t="str">
        <x:f>XLOOKUP($A176,'Specs'!$A$2:$A$164,'Specs'!$G$2:$G$164,"")</x:f>
      </x:c>
      <x:c r="H176" t="str">
        <x:f>XLOOKUP($A176,'Specs'!$A$2:$A$164,'Specs'!$H$2:$H$164,"")</x:f>
      </x:c>
      <x:c r="I176" t="str">
        <x:f>XLOOKUP($A176,'Specs'!$A$2:$A$164,'Specs'!$I$2:$I$164,"")</x:f>
      </x:c>
      <x:c r="J176" t="str">
        <x:f>XLOOKUP($A176,'Specs'!$A$2:$A$164,'Specs'!$J$2:$J$164,"")</x:f>
      </x:c>
      <x:c r="K176" t="str">
        <x:f>XLOOKUP($A176,'Specs'!$A$2:$A$164,'Specs'!$K$2:$K$164,"")</x:f>
      </x:c>
      <x:c r="L176" t="str">
        <x:f>XLOOKUP($A176,'Specs'!$A$2:$A$164,'Specs'!$L$2:$L$164,"")</x:f>
      </x:c>
      <x:c r="M176" t="n">
        <x:f>XLOOKUP($A176,'Specs'!$A$2:$A$164,'Specs'!$M$2:$M$164,"")</x:f>
        <x:v>626</x:v>
      </x:c>
      <x:c r="N176" t="str">
        <x:f>XLOOKUP($A176,'Specs'!$A$2:$A$164,'Specs'!$N$2:$N$164,"")</x:f>
      </x:c>
      <x:c r="O176" t="str">
        <x:f>XLOOKUP($A176,'Specs'!$A$2:$A$164,'Specs'!$O$2:$O$164,"")</x:f>
      </x:c>
      <x:c r="P176" t="str">
        <x:f>XLOOKUP($A176,'Specs'!$A$2:$A$164,'Specs'!$P$2:$P$164,"")</x:f>
        <x:v>HIGH</x:v>
      </x:c>
      <x:c r="Q176" s="53" t="n">
        <x:f>XLOOKUP($A176,'Specs'!$A$2:$A$164,'Specs'!$Q$2:$Q$164,"")</x:f>
        <x:v>8</x:v>
      </x:c>
      <x:c r="R176" s="53" t="n">
        <x:f>XLOOKUP($A176,'Specs'!$A$2:$A$164,'Specs'!$R$2:$R$164,"")</x:f>
        <x:v>4</x:v>
      </x:c>
      <x:c r="S176" t="str">
        <x:f>'Vendor Options'!A176</x:f>
        <x:v>OFFER-49E3BCBEADDD</x:v>
      </x:c>
      <x:c r="T176" t="str">
        <x:f>'Vendor Options'!C176</x:f>
        <x:v>DH</x:v>
      </x:c>
      <x:c r="U176" t="str">
        <x:f>'Vendor Options'!D176</x:f>
        <x:v>X-84</x:v>
      </x:c>
      <x:c r="V176" t="str">
        <x:f>'Vendor Options'!E176</x:f>
        <x:v>F84</x:v>
      </x:c>
      <x:c r="W176" t="str">
        <x:f>'Vendor Options'!F176</x:f>
        <x:v>F84</x:v>
      </x:c>
      <x:c r="X176" t="str">
        <x:f>'Vendor Options'!G176</x:f>
        <x:v>78001760</x:v>
      </x:c>
      <x:c r="Y176" t="str">
        <x:f>'Vendor Options'!H176</x:f>
        <x:v>78001760 - X-84 - F - Classroom Function</x:v>
      </x:c>
      <x:c r="Z176" t="str">
        <x:f>'Vendor Options'!I176</x:f>
      </x:c>
      <x:c r="AA176" s="54" t="n">
        <x:f>'Vendor Options'!J176</x:f>
        <x:v>0</x:v>
      </x:c>
      <x:c r="AB176" t="str">
        <x:f>'Vendor Options'!K176</x:f>
      </x:c>
      <x:c r="AC176" s="57" t="n">
        <x:f>'Vendor Options'!L176</x:f>
        <x:v>0</x:v>
      </x:c>
      <x:c r="AD176" s="57" t="n">
        <x:f>'Vendor Options'!M176</x:f>
        <x:v>0</x:v>
      </x:c>
      <x:c r="AE176" s="54" t="str">
        <x:f>'Vendor Options'!N176</x:f>
      </x:c>
      <x:c r="AF176" t="str">
        <x:f>'Vendor Options'!O176</x:f>
        <x:v>USD</x:v>
      </x:c>
      <x:c r="AG176" t="str">
        <x:f>'Vendor Options'!P176</x:f>
        <x:v>UNPRICED</x:v>
      </x:c>
      <x:c r="AH176" t="str">
        <x:f>'Vendor Options'!Q176</x:f>
        <x:v>ACTIVE</x:v>
      </x:c>
      <x:c r="AI176" t="str">
        <x:f>'Vendor Options'!R176</x:f>
        <x:v>MISSING_PRICE</x:v>
      </x:c>
      <x:c r="AJ176" t="n">
        <x:f>'Vendor Options'!S176</x:f>
        <x:v>143</x:v>
      </x:c>
    </x:row>
    <x:row r="177" ht="15" hidden="0" customHeight="1">
      <x:c r="A177" t="str">
        <x:f>'Vendor Options'!B177</x:f>
        <x:v>SPEC-46A9513103A2</x:v>
      </x:c>
      <x:c r="B177" t="str">
        <x:f>XLOOKUP($A177,'Specs'!$A$2:$A$164,'Specs'!$B$2:$B$164,"")</x:f>
        <x:v>LOCK</x:v>
      </x:c>
      <x:c r="C177" t="str">
        <x:f>XLOOKUP($A177,'Specs'!$A$2:$A$164,'Specs'!$C$2:$C$164,"")</x:f>
        <x:v>CYLINDRICAL LOCK</x:v>
      </x:c>
      <x:c r="D177" t="str">
        <x:f>XLOOKUP($A177,'Specs'!$A$2:$A$164,'Specs'!$D$2:$D$164,"")</x:f>
        <x:v>CYLINDRICAL</x:v>
      </x:c>
      <x:c r="E177" t="str">
        <x:f>XLOOKUP($A177,'Specs'!$A$2:$A$164,'Specs'!$E$2:$E$164,"")</x:f>
        <x:v>CLASSROOM</x:v>
      </x:c>
      <x:c r="F177" t="str">
        <x:f>XLOOKUP($A177,'Specs'!$A$2:$A$164,'Specs'!$F$2:$F$164,"")</x:f>
        <x:v>STANDARD</x:v>
      </x:c>
      <x:c r="G177" t="str">
        <x:f>XLOOKUP($A177,'Specs'!$A$2:$A$164,'Specs'!$G$2:$G$164,"")</x:f>
      </x:c>
      <x:c r="H177" t="str">
        <x:f>XLOOKUP($A177,'Specs'!$A$2:$A$164,'Specs'!$H$2:$H$164,"")</x:f>
      </x:c>
      <x:c r="I177" t="str">
        <x:f>XLOOKUP($A177,'Specs'!$A$2:$A$164,'Specs'!$I$2:$I$164,"")</x:f>
      </x:c>
      <x:c r="J177" t="str">
        <x:f>XLOOKUP($A177,'Specs'!$A$2:$A$164,'Specs'!$J$2:$J$164,"")</x:f>
      </x:c>
      <x:c r="K177" t="str">
        <x:f>XLOOKUP($A177,'Specs'!$A$2:$A$164,'Specs'!$K$2:$K$164,"")</x:f>
      </x:c>
      <x:c r="L177" t="str">
        <x:f>XLOOKUP($A177,'Specs'!$A$2:$A$164,'Specs'!$L$2:$L$164,"")</x:f>
      </x:c>
      <x:c r="M177" t="n">
        <x:f>XLOOKUP($A177,'Specs'!$A$2:$A$164,'Specs'!$M$2:$M$164,"")</x:f>
        <x:v>626</x:v>
      </x:c>
      <x:c r="N177" t="str">
        <x:f>XLOOKUP($A177,'Specs'!$A$2:$A$164,'Specs'!$N$2:$N$164,"")</x:f>
      </x:c>
      <x:c r="O177" t="str">
        <x:f>XLOOKUP($A177,'Specs'!$A$2:$A$164,'Specs'!$O$2:$O$164,"")</x:f>
      </x:c>
      <x:c r="P177" t="str">
        <x:f>XLOOKUP($A177,'Specs'!$A$2:$A$164,'Specs'!$P$2:$P$164,"")</x:f>
        <x:v>HIGH</x:v>
      </x:c>
      <x:c r="Q177" s="53" t="n">
        <x:f>XLOOKUP($A177,'Specs'!$A$2:$A$164,'Specs'!$Q$2:$Q$164,"")</x:f>
        <x:v>8</x:v>
      </x:c>
      <x:c r="R177" s="53" t="n">
        <x:f>XLOOKUP($A177,'Specs'!$A$2:$A$164,'Specs'!$R$2:$R$164,"")</x:f>
        <x:v>4</x:v>
      </x:c>
      <x:c r="S177" t="str">
        <x:f>'Vendor Options'!A177</x:f>
        <x:v>OFFER-BF680F93516A</x:v>
      </x:c>
      <x:c r="T177" t="str">
        <x:f>'Vendor Options'!C177</x:f>
        <x:v>DH</x:v>
      </x:c>
      <x:c r="U177" t="str">
        <x:f>'Vendor Options'!D177</x:f>
        <x:v>Z-84</x:v>
      </x:c>
      <x:c r="V177" t="str">
        <x:f>'Vendor Options'!E177</x:f>
        <x:v>F84</x:v>
      </x:c>
      <x:c r="W177" t="str">
        <x:f>'Vendor Options'!F177</x:f>
        <x:v>F84</x:v>
      </x:c>
      <x:c r="X177" t="str">
        <x:f>'Vendor Options'!G177</x:f>
        <x:v>78001845</x:v>
      </x:c>
      <x:c r="Y177" t="str">
        <x:f>'Vendor Options'!H177</x:f>
        <x:v>78001845 - Z-84 - F - Classroom Function</x:v>
      </x:c>
      <x:c r="Z177" t="str">
        <x:f>'Vendor Options'!I177</x:f>
      </x:c>
      <x:c r="AA177" s="54" t="n">
        <x:f>'Vendor Options'!J177</x:f>
        <x:v>290.7</x:v>
      </x:c>
      <x:c r="AB177" t="str">
        <x:f>'Vendor Options'!K177</x:f>
        <x:v>0.26</x:v>
      </x:c>
      <x:c r="AC177" s="57" t="n">
        <x:f>'Vendor Options'!L177</x:f>
        <x:v>0.26</x:v>
      </x:c>
      <x:c r="AD177" s="57" t="n">
        <x:f>'Vendor Options'!M177</x:f>
        <x:v>0</x:v>
      </x:c>
      <x:c r="AE177" s="54" t="n">
        <x:f>'Vendor Options'!N177</x:f>
        <x:v>215.118</x:v>
      </x:c>
      <x:c r="AF177" t="str">
        <x:f>'Vendor Options'!O177</x:f>
        <x:v>USD</x:v>
      </x:c>
      <x:c r="AG177" t="str">
        <x:f>'Vendor Options'!P177</x:f>
        <x:v>PRICED</x:v>
      </x:c>
      <x:c r="AH177" t="str">
        <x:f>'Vendor Options'!Q177</x:f>
        <x:v>ACTIVE</x:v>
      </x:c>
      <x:c r="AI177" t="str">
        <x:f>'Vendor Options'!R177</x:f>
      </x:c>
      <x:c r="AJ177" t="n">
        <x:f>'Vendor Options'!S177</x:f>
        <x:v>134</x:v>
      </x:c>
    </x:row>
    <x:row r="178" ht="15" hidden="0" customHeight="1">
      <x:c r="A178" t="str">
        <x:f>'Vendor Options'!B178</x:f>
        <x:v>SPEC-46A9513103A2</x:v>
      </x:c>
      <x:c r="B178" t="str">
        <x:f>XLOOKUP($A178,'Specs'!$A$2:$A$164,'Specs'!$B$2:$B$164,"")</x:f>
        <x:v>LOCK</x:v>
      </x:c>
      <x:c r="C178" t="str">
        <x:f>XLOOKUP($A178,'Specs'!$A$2:$A$164,'Specs'!$C$2:$C$164,"")</x:f>
        <x:v>CYLINDRICAL LOCK</x:v>
      </x:c>
      <x:c r="D178" t="str">
        <x:f>XLOOKUP($A178,'Specs'!$A$2:$A$164,'Specs'!$D$2:$D$164,"")</x:f>
        <x:v>CYLINDRICAL</x:v>
      </x:c>
      <x:c r="E178" t="str">
        <x:f>XLOOKUP($A178,'Specs'!$A$2:$A$164,'Specs'!$E$2:$E$164,"")</x:f>
        <x:v>CLASSROOM</x:v>
      </x:c>
      <x:c r="F178" t="str">
        <x:f>XLOOKUP($A178,'Specs'!$A$2:$A$164,'Specs'!$F$2:$F$164,"")</x:f>
        <x:v>STANDARD</x:v>
      </x:c>
      <x:c r="G178" t="str">
        <x:f>XLOOKUP($A178,'Specs'!$A$2:$A$164,'Specs'!$G$2:$G$164,"")</x:f>
      </x:c>
      <x:c r="H178" t="str">
        <x:f>XLOOKUP($A178,'Specs'!$A$2:$A$164,'Specs'!$H$2:$H$164,"")</x:f>
      </x:c>
      <x:c r="I178" t="str">
        <x:f>XLOOKUP($A178,'Specs'!$A$2:$A$164,'Specs'!$I$2:$I$164,"")</x:f>
      </x:c>
      <x:c r="J178" t="str">
        <x:f>XLOOKUP($A178,'Specs'!$A$2:$A$164,'Specs'!$J$2:$J$164,"")</x:f>
      </x:c>
      <x:c r="K178" t="str">
        <x:f>XLOOKUP($A178,'Specs'!$A$2:$A$164,'Specs'!$K$2:$K$164,"")</x:f>
      </x:c>
      <x:c r="L178" t="str">
        <x:f>XLOOKUP($A178,'Specs'!$A$2:$A$164,'Specs'!$L$2:$L$164,"")</x:f>
      </x:c>
      <x:c r="M178" t="n">
        <x:f>XLOOKUP($A178,'Specs'!$A$2:$A$164,'Specs'!$M$2:$M$164,"")</x:f>
        <x:v>626</x:v>
      </x:c>
      <x:c r="N178" t="str">
        <x:f>XLOOKUP($A178,'Specs'!$A$2:$A$164,'Specs'!$N$2:$N$164,"")</x:f>
      </x:c>
      <x:c r="O178" t="str">
        <x:f>XLOOKUP($A178,'Specs'!$A$2:$A$164,'Specs'!$O$2:$O$164,"")</x:f>
      </x:c>
      <x:c r="P178" t="str">
        <x:f>XLOOKUP($A178,'Specs'!$A$2:$A$164,'Specs'!$P$2:$P$164,"")</x:f>
        <x:v>HIGH</x:v>
      </x:c>
      <x:c r="Q178" s="53" t="n">
        <x:f>XLOOKUP($A178,'Specs'!$A$2:$A$164,'Specs'!$Q$2:$Q$164,"")</x:f>
        <x:v>8</x:v>
      </x:c>
      <x:c r="R178" s="53" t="n">
        <x:f>XLOOKUP($A178,'Specs'!$A$2:$A$164,'Specs'!$R$2:$R$164,"")</x:f>
        <x:v>4</x:v>
      </x:c>
      <x:c r="S178" t="str">
        <x:f>'Vendor Options'!A178</x:f>
        <x:v>OFFER-2F691E05F086</x:v>
      </x:c>
      <x:c r="T178" t="str">
        <x:f>'Vendor Options'!C178</x:f>
        <x:v>DK</x:v>
      </x:c>
      <x:c r="U178" t="str">
        <x:f>'Vendor Options'!D178</x:f>
        <x:v>C170</x:v>
      </x:c>
      <x:c r="V178" t="str">
        <x:f>'Vendor Options'!E178</x:f>
        <x:v>F84</x:v>
      </x:c>
      <x:c r="W178" t="str">
        <x:f>'Vendor Options'!F178</x:f>
        <x:v>F84</x:v>
      </x:c>
      <x:c r="X178" t="str">
        <x:f>'Vendor Options'!G178</x:f>
        <x:v>C170-D-LR-C-*-*-10252-134-5001-1316</x:v>
      </x:c>
      <x:c r="Y178" t="str">
        <x:f>'Vendor Options'!H178</x:f>
        <x:v>C170-D-LR-C-*-*-10252-134-5001-1316</x:v>
      </x:c>
      <x:c r="Z178" t="str">
        <x:f>'Vendor Options'!I178</x:f>
      </x:c>
      <x:c r="AA178" s="54" t="n">
        <x:f>'Vendor Options'!J178</x:f>
        <x:v>893</x:v>
      </x:c>
      <x:c r="AB178" t="n">
        <x:f>'Vendor Options'!K178</x:f>
        <x:v>0</x:v>
      </x:c>
      <x:c r="AC178" s="57" t="n">
        <x:f>'Vendor Options'!L178</x:f>
        <x:v>0</x:v>
      </x:c>
      <x:c r="AD178" s="57" t="n">
        <x:f>'Vendor Options'!M178</x:f>
        <x:v>0</x:v>
      </x:c>
      <x:c r="AE178" s="54" t="n">
        <x:f>'Vendor Options'!N178</x:f>
        <x:v>893</x:v>
      </x:c>
      <x:c r="AF178" t="str">
        <x:f>'Vendor Options'!O178</x:f>
        <x:v>USD</x:v>
      </x:c>
      <x:c r="AG178" t="str">
        <x:f>'Vendor Options'!P178</x:f>
        <x:v>PRICED</x:v>
      </x:c>
      <x:c r="AH178" t="str">
        <x:f>'Vendor Options'!Q178</x:f>
        <x:v>ACTIVE</x:v>
      </x:c>
      <x:c r="AI178" t="str">
        <x:f>'Vendor Options'!R178</x:f>
      </x:c>
      <x:c r="AJ178" t="n">
        <x:f>'Vendor Options'!S178</x:f>
        <x:v>123</x:v>
      </x:c>
    </x:row>
    <x:row r="179" ht="15" hidden="0" customHeight="1">
      <x:c r="A179" t="str">
        <x:f>'Vendor Options'!B179</x:f>
        <x:v>SPEC-46A9513103A2</x:v>
      </x:c>
      <x:c r="B179" t="str">
        <x:f>XLOOKUP($A179,'Specs'!$A$2:$A$164,'Specs'!$B$2:$B$164,"")</x:f>
        <x:v>LOCK</x:v>
      </x:c>
      <x:c r="C179" t="str">
        <x:f>XLOOKUP($A179,'Specs'!$A$2:$A$164,'Specs'!$C$2:$C$164,"")</x:f>
        <x:v>CYLINDRICAL LOCK</x:v>
      </x:c>
      <x:c r="D179" t="str">
        <x:f>XLOOKUP($A179,'Specs'!$A$2:$A$164,'Specs'!$D$2:$D$164,"")</x:f>
        <x:v>CYLINDRICAL</x:v>
      </x:c>
      <x:c r="E179" t="str">
        <x:f>XLOOKUP($A179,'Specs'!$A$2:$A$164,'Specs'!$E$2:$E$164,"")</x:f>
        <x:v>CLASSROOM</x:v>
      </x:c>
      <x:c r="F179" t="str">
        <x:f>XLOOKUP($A179,'Specs'!$A$2:$A$164,'Specs'!$F$2:$F$164,"")</x:f>
        <x:v>STANDARD</x:v>
      </x:c>
      <x:c r="G179" t="str">
        <x:f>XLOOKUP($A179,'Specs'!$A$2:$A$164,'Specs'!$G$2:$G$164,"")</x:f>
      </x:c>
      <x:c r="H179" t="str">
        <x:f>XLOOKUP($A179,'Specs'!$A$2:$A$164,'Specs'!$H$2:$H$164,"")</x:f>
      </x:c>
      <x:c r="I179" t="str">
        <x:f>XLOOKUP($A179,'Specs'!$A$2:$A$164,'Specs'!$I$2:$I$164,"")</x:f>
      </x:c>
      <x:c r="J179" t="str">
        <x:f>XLOOKUP($A179,'Specs'!$A$2:$A$164,'Specs'!$J$2:$J$164,"")</x:f>
      </x:c>
      <x:c r="K179" t="str">
        <x:f>XLOOKUP($A179,'Specs'!$A$2:$A$164,'Specs'!$K$2:$K$164,"")</x:f>
      </x:c>
      <x:c r="L179" t="str">
        <x:f>XLOOKUP($A179,'Specs'!$A$2:$A$164,'Specs'!$L$2:$L$164,"")</x:f>
      </x:c>
      <x:c r="M179" t="n">
        <x:f>XLOOKUP($A179,'Specs'!$A$2:$A$164,'Specs'!$M$2:$M$164,"")</x:f>
        <x:v>626</x:v>
      </x:c>
      <x:c r="N179" t="str">
        <x:f>XLOOKUP($A179,'Specs'!$A$2:$A$164,'Specs'!$N$2:$N$164,"")</x:f>
      </x:c>
      <x:c r="O179" t="str">
        <x:f>XLOOKUP($A179,'Specs'!$A$2:$A$164,'Specs'!$O$2:$O$164,"")</x:f>
      </x:c>
      <x:c r="P179" t="str">
        <x:f>XLOOKUP($A179,'Specs'!$A$2:$A$164,'Specs'!$P$2:$P$164,"")</x:f>
        <x:v>HIGH</x:v>
      </x:c>
      <x:c r="Q179" s="53" t="n">
        <x:f>XLOOKUP($A179,'Specs'!$A$2:$A$164,'Specs'!$Q$2:$Q$164,"")</x:f>
        <x:v>8</x:v>
      </x:c>
      <x:c r="R179" s="53" t="n">
        <x:f>XLOOKUP($A179,'Specs'!$A$2:$A$164,'Specs'!$R$2:$R$164,"")</x:f>
        <x:v>4</x:v>
      </x:c>
      <x:c r="S179" t="str">
        <x:f>'Vendor Options'!A179</x:f>
        <x:v>OFFER-D5554E7A723A</x:v>
      </x:c>
      <x:c r="T179" t="str">
        <x:f>'Vendor Options'!C179</x:f>
        <x:v>PHG</x:v>
      </x:c>
      <x:c r="U179" t="str">
        <x:f>'Vendor Options'!D179</x:f>
        <x:v>ES</x:v>
      </x:c>
      <x:c r="V179" t="str">
        <x:f>'Vendor Options'!E179</x:f>
        <x:v>F84</x:v>
      </x:c>
      <x:c r="W179" t="str">
        <x:f>'Vendor Options'!F179</x:f>
        <x:v>F84</x:v>
      </x:c>
      <x:c r="X179" t="str">
        <x:f>'Vendor Options'!G179</x:f>
        <x:v>ES509CT26D</x:v>
      </x:c>
      <x:c r="Y179" t="str">
        <x:f>'Vendor Options'!H179</x:f>
        <x:v>ES509CT26D ES-CT509 - Classroom (F84)</x:v>
      </x:c>
      <x:c r="Z179" t="str">
        <x:f>'Vendor Options'!I179</x:f>
      </x:c>
      <x:c r="AA179" s="54" t="n">
        <x:f>'Vendor Options'!J179</x:f>
        <x:v>111.5</x:v>
      </x:c>
      <x:c r="AB179" t="n">
        <x:f>'Vendor Options'!K179</x:f>
        <x:v>0</x:v>
      </x:c>
      <x:c r="AC179" s="57" t="n">
        <x:f>'Vendor Options'!L179</x:f>
        <x:v>0</x:v>
      </x:c>
      <x:c r="AD179" s="57" t="n">
        <x:f>'Vendor Options'!M179</x:f>
        <x:v>0</x:v>
      </x:c>
      <x:c r="AE179" s="54" t="n">
        <x:f>'Vendor Options'!N179</x:f>
        <x:v>111.5</x:v>
      </x:c>
      <x:c r="AF179" t="str">
        <x:f>'Vendor Options'!O179</x:f>
        <x:v>USD</x:v>
      </x:c>
      <x:c r="AG179" t="str">
        <x:f>'Vendor Options'!P179</x:f>
        <x:v>PRICED</x:v>
      </x:c>
      <x:c r="AH179" t="str">
        <x:f>'Vendor Options'!Q179</x:f>
        <x:v>ACTIVE</x:v>
      </x:c>
      <x:c r="AI179" t="str">
        <x:f>'Vendor Options'!R179</x:f>
      </x:c>
      <x:c r="AJ179" t="n">
        <x:f>'Vendor Options'!S179</x:f>
        <x:v>176</x:v>
      </x:c>
    </x:row>
    <x:row r="180" ht="15" hidden="0" customHeight="1">
      <x:c r="A180" t="str">
        <x:f>'Vendor Options'!B180</x:f>
        <x:v>SPEC-46A9513103A2</x:v>
      </x:c>
      <x:c r="B180" t="str">
        <x:f>XLOOKUP($A180,'Specs'!$A$2:$A$164,'Specs'!$B$2:$B$164,"")</x:f>
        <x:v>LOCK</x:v>
      </x:c>
      <x:c r="C180" t="str">
        <x:f>XLOOKUP($A180,'Specs'!$A$2:$A$164,'Specs'!$C$2:$C$164,"")</x:f>
        <x:v>CYLINDRICAL LOCK</x:v>
      </x:c>
      <x:c r="D180" t="str">
        <x:f>XLOOKUP($A180,'Specs'!$A$2:$A$164,'Specs'!$D$2:$D$164,"")</x:f>
        <x:v>CYLINDRICAL</x:v>
      </x:c>
      <x:c r="E180" t="str">
        <x:f>XLOOKUP($A180,'Specs'!$A$2:$A$164,'Specs'!$E$2:$E$164,"")</x:f>
        <x:v>CLASSROOM</x:v>
      </x:c>
      <x:c r="F180" t="str">
        <x:f>XLOOKUP($A180,'Specs'!$A$2:$A$164,'Specs'!$F$2:$F$164,"")</x:f>
        <x:v>STANDARD</x:v>
      </x:c>
      <x:c r="G180" t="str">
        <x:f>XLOOKUP($A180,'Specs'!$A$2:$A$164,'Specs'!$G$2:$G$164,"")</x:f>
      </x:c>
      <x:c r="H180" t="str">
        <x:f>XLOOKUP($A180,'Specs'!$A$2:$A$164,'Specs'!$H$2:$H$164,"")</x:f>
      </x:c>
      <x:c r="I180" t="str">
        <x:f>XLOOKUP($A180,'Specs'!$A$2:$A$164,'Specs'!$I$2:$I$164,"")</x:f>
      </x:c>
      <x:c r="J180" t="str">
        <x:f>XLOOKUP($A180,'Specs'!$A$2:$A$164,'Specs'!$J$2:$J$164,"")</x:f>
      </x:c>
      <x:c r="K180" t="str">
        <x:f>XLOOKUP($A180,'Specs'!$A$2:$A$164,'Specs'!$K$2:$K$164,"")</x:f>
      </x:c>
      <x:c r="L180" t="str">
        <x:f>XLOOKUP($A180,'Specs'!$A$2:$A$164,'Specs'!$L$2:$L$164,"")</x:f>
      </x:c>
      <x:c r="M180" t="n">
        <x:f>XLOOKUP($A180,'Specs'!$A$2:$A$164,'Specs'!$M$2:$M$164,"")</x:f>
        <x:v>626</x:v>
      </x:c>
      <x:c r="N180" t="str">
        <x:f>XLOOKUP($A180,'Specs'!$A$2:$A$164,'Specs'!$N$2:$N$164,"")</x:f>
      </x:c>
      <x:c r="O180" t="str">
        <x:f>XLOOKUP($A180,'Specs'!$A$2:$A$164,'Specs'!$O$2:$O$164,"")</x:f>
      </x:c>
      <x:c r="P180" t="str">
        <x:f>XLOOKUP($A180,'Specs'!$A$2:$A$164,'Specs'!$P$2:$P$164,"")</x:f>
        <x:v>HIGH</x:v>
      </x:c>
      <x:c r="Q180" s="53" t="n">
        <x:f>XLOOKUP($A180,'Specs'!$A$2:$A$164,'Specs'!$Q$2:$Q$164,"")</x:f>
        <x:v>8</x:v>
      </x:c>
      <x:c r="R180" s="53" t="n">
        <x:f>XLOOKUP($A180,'Specs'!$A$2:$A$164,'Specs'!$R$2:$R$164,"")</x:f>
        <x:v>4</x:v>
      </x:c>
      <x:c r="S180" t="str">
        <x:f>'Vendor Options'!A180</x:f>
        <x:v>OFFER-030AADA3090D</x:v>
      </x:c>
      <x:c r="T180" t="str">
        <x:f>'Vendor Options'!C180</x:f>
        <x:v>PHG</x:v>
      </x:c>
      <x:c r="U180" t="str">
        <x:f>'Vendor Options'!D180</x:f>
        <x:v>FC</x:v>
      </x:c>
      <x:c r="V180" t="str">
        <x:f>'Vendor Options'!E180</x:f>
        <x:v>F84</x:v>
      </x:c>
      <x:c r="W180" t="str">
        <x:f>'Vendor Options'!F180</x:f>
        <x:v>F84</x:v>
      </x:c>
      <x:c r="X180" t="str">
        <x:f>'Vendor Options'!G180</x:f>
        <x:v>FC509CT26D</x:v>
      </x:c>
      <x:c r="Y180" t="str">
        <x:f>'Vendor Options'!H180</x:f>
        <x:v>FC509CT26D FC-CT509 - Classroom (F84)</x:v>
      </x:c>
      <x:c r="Z180" t="str">
        <x:f>'Vendor Options'!I180</x:f>
      </x:c>
      <x:c r="AA180" s="54" t="n">
        <x:f>'Vendor Options'!J180</x:f>
        <x:v>202.76</x:v>
      </x:c>
      <x:c r="AB180" t="n">
        <x:f>'Vendor Options'!K180</x:f>
        <x:v>0</x:v>
      </x:c>
      <x:c r="AC180" s="57" t="n">
        <x:f>'Vendor Options'!L180</x:f>
        <x:v>0</x:v>
      </x:c>
      <x:c r="AD180" s="57" t="n">
        <x:f>'Vendor Options'!M180</x:f>
        <x:v>0</x:v>
      </x:c>
      <x:c r="AE180" s="54" t="n">
        <x:f>'Vendor Options'!N180</x:f>
        <x:v>202.76</x:v>
      </x:c>
      <x:c r="AF180" t="str">
        <x:f>'Vendor Options'!O180</x:f>
        <x:v>USD</x:v>
      </x:c>
      <x:c r="AG180" t="str">
        <x:f>'Vendor Options'!P180</x:f>
        <x:v>PRICED</x:v>
      </x:c>
      <x:c r="AH180" t="str">
        <x:f>'Vendor Options'!Q180</x:f>
        <x:v>ACTIVE</x:v>
      </x:c>
      <x:c r="AI180" t="str">
        <x:f>'Vendor Options'!R180</x:f>
      </x:c>
      <x:c r="AJ180" t="n">
        <x:f>'Vendor Options'!S180</x:f>
        <x:v>161</x:v>
      </x:c>
    </x:row>
    <x:row r="181" ht="15" hidden="0" customHeight="1">
      <x:c r="A181" t="str">
        <x:f>'Vendor Options'!B181</x:f>
        <x:v>SPEC-46A9513103A2</x:v>
      </x:c>
      <x:c r="B181" t="str">
        <x:f>XLOOKUP($A181,'Specs'!$A$2:$A$164,'Specs'!$B$2:$B$164,"")</x:f>
        <x:v>LOCK</x:v>
      </x:c>
      <x:c r="C181" t="str">
        <x:f>XLOOKUP($A181,'Specs'!$A$2:$A$164,'Specs'!$C$2:$C$164,"")</x:f>
        <x:v>CYLINDRICAL LOCK</x:v>
      </x:c>
      <x:c r="D181" t="str">
        <x:f>XLOOKUP($A181,'Specs'!$A$2:$A$164,'Specs'!$D$2:$D$164,"")</x:f>
        <x:v>CYLINDRICAL</x:v>
      </x:c>
      <x:c r="E181" t="str">
        <x:f>XLOOKUP($A181,'Specs'!$A$2:$A$164,'Specs'!$E$2:$E$164,"")</x:f>
        <x:v>CLASSROOM</x:v>
      </x:c>
      <x:c r="F181" t="str">
        <x:f>XLOOKUP($A181,'Specs'!$A$2:$A$164,'Specs'!$F$2:$F$164,"")</x:f>
        <x:v>STANDARD</x:v>
      </x:c>
      <x:c r="G181" t="str">
        <x:f>XLOOKUP($A181,'Specs'!$A$2:$A$164,'Specs'!$G$2:$G$164,"")</x:f>
      </x:c>
      <x:c r="H181" t="str">
        <x:f>XLOOKUP($A181,'Specs'!$A$2:$A$164,'Specs'!$H$2:$H$164,"")</x:f>
      </x:c>
      <x:c r="I181" t="str">
        <x:f>XLOOKUP($A181,'Specs'!$A$2:$A$164,'Specs'!$I$2:$I$164,"")</x:f>
      </x:c>
      <x:c r="J181" t="str">
        <x:f>XLOOKUP($A181,'Specs'!$A$2:$A$164,'Specs'!$J$2:$J$164,"")</x:f>
      </x:c>
      <x:c r="K181" t="str">
        <x:f>XLOOKUP($A181,'Specs'!$A$2:$A$164,'Specs'!$K$2:$K$164,"")</x:f>
      </x:c>
      <x:c r="L181" t="str">
        <x:f>XLOOKUP($A181,'Specs'!$A$2:$A$164,'Specs'!$L$2:$L$164,"")</x:f>
      </x:c>
      <x:c r="M181" t="n">
        <x:f>XLOOKUP($A181,'Specs'!$A$2:$A$164,'Specs'!$M$2:$M$164,"")</x:f>
        <x:v>626</x:v>
      </x:c>
      <x:c r="N181" t="str">
        <x:f>XLOOKUP($A181,'Specs'!$A$2:$A$164,'Specs'!$N$2:$N$164,"")</x:f>
      </x:c>
      <x:c r="O181" t="str">
        <x:f>XLOOKUP($A181,'Specs'!$A$2:$A$164,'Specs'!$O$2:$O$164,"")</x:f>
      </x:c>
      <x:c r="P181" t="str">
        <x:f>XLOOKUP($A181,'Specs'!$A$2:$A$164,'Specs'!$P$2:$P$164,"")</x:f>
        <x:v>HIGH</x:v>
      </x:c>
      <x:c r="Q181" s="53" t="n">
        <x:f>XLOOKUP($A181,'Specs'!$A$2:$A$164,'Specs'!$Q$2:$Q$164,"")</x:f>
        <x:v>8</x:v>
      </x:c>
      <x:c r="R181" s="53" t="n">
        <x:f>XLOOKUP($A181,'Specs'!$A$2:$A$164,'Specs'!$R$2:$R$164,"")</x:f>
        <x:v>4</x:v>
      </x:c>
      <x:c r="S181" t="str">
        <x:f>'Vendor Options'!A181</x:f>
        <x:v>OFFER-B60B3162CC40</x:v>
      </x:c>
      <x:c r="T181" t="str">
        <x:f>'Vendor Options'!C181</x:f>
        <x:v>PHG</x:v>
      </x:c>
      <x:c r="U181" t="str">
        <x:f>'Vendor Options'!D181</x:f>
        <x:v>HS</x:v>
      </x:c>
      <x:c r="V181" t="str">
        <x:f>'Vendor Options'!E181</x:f>
        <x:v>F84</x:v>
      </x:c>
      <x:c r="W181" t="str">
        <x:f>'Vendor Options'!F181</x:f>
        <x:v>F84</x:v>
      </x:c>
      <x:c r="X181" t="str">
        <x:f>'Vendor Options'!G181</x:f>
        <x:v>HS509CT26D</x:v>
      </x:c>
      <x:c r="Y181" t="str">
        <x:f>'Vendor Options'!H181</x:f>
        <x:v>HS509CT26D HS-CT509 - Classroom (F84)</x:v>
      </x:c>
      <x:c r="Z181" t="str">
        <x:f>'Vendor Options'!I181</x:f>
      </x:c>
      <x:c r="AA181" s="54" t="n">
        <x:f>'Vendor Options'!J181</x:f>
        <x:v>93.3</x:v>
      </x:c>
      <x:c r="AB181" t="str">
        <x:f>'Vendor Options'!K181</x:f>
      </x:c>
      <x:c r="AC181" s="57" t="n">
        <x:f>'Vendor Options'!L181</x:f>
        <x:v>0</x:v>
      </x:c>
      <x:c r="AD181" s="57" t="n">
        <x:f>'Vendor Options'!M181</x:f>
        <x:v>0</x:v>
      </x:c>
      <x:c r="AE181" s="54" t="n">
        <x:f>'Vendor Options'!N181</x:f>
        <x:v>93.3</x:v>
      </x:c>
      <x:c r="AF181" t="str">
        <x:f>'Vendor Options'!O181</x:f>
        <x:v>USD</x:v>
      </x:c>
      <x:c r="AG181" t="str">
        <x:f>'Vendor Options'!P181</x:f>
        <x:v>PRICED</x:v>
      </x:c>
      <x:c r="AH181" t="str">
        <x:f>'Vendor Options'!Q181</x:f>
        <x:v>ACTIVE</x:v>
      </x:c>
      <x:c r="AI181" t="str">
        <x:f>'Vendor Options'!R181</x:f>
      </x:c>
      <x:c r="AJ181" t="n">
        <x:f>'Vendor Options'!S181</x:f>
        <x:v>183</x:v>
      </x:c>
    </x:row>
    <x:row r="182" ht="15" hidden="0" customHeight="1">
      <x:c r="A182" t="str">
        <x:f>'Vendor Options'!B182</x:f>
        <x:v>SPEC-55D2279AA3E0</x:v>
      </x:c>
      <x:c r="B182" t="str">
        <x:f>XLOOKUP($A182,'Specs'!$A$2:$A$164,'Specs'!$B$2:$B$164,"")</x:f>
        <x:v>LOCK</x:v>
      </x:c>
      <x:c r="C182" t="str">
        <x:f>XLOOKUP($A182,'Specs'!$A$2:$A$164,'Specs'!$C$2:$C$164,"")</x:f>
        <x:v>CYLINDRICAL LOCK</x:v>
      </x:c>
      <x:c r="D182" t="str">
        <x:f>XLOOKUP($A182,'Specs'!$A$2:$A$164,'Specs'!$D$2:$D$164,"")</x:f>
        <x:v>CYLINDRICAL</x:v>
      </x:c>
      <x:c r="E182" t="str">
        <x:f>XLOOKUP($A182,'Specs'!$A$2:$A$164,'Specs'!$E$2:$E$164,"")</x:f>
        <x:v>DORMITORY / CORRIDOR</x:v>
      </x:c>
      <x:c r="F182" t="str">
        <x:f>XLOOKUP($A182,'Specs'!$A$2:$A$164,'Specs'!$F$2:$F$164,"")</x:f>
        <x:v>LFIC</x:v>
      </x:c>
      <x:c r="G182" t="str">
        <x:f>XLOOKUP($A182,'Specs'!$A$2:$A$164,'Specs'!$G$2:$G$164,"")</x:f>
      </x:c>
      <x:c r="H182" t="str">
        <x:f>XLOOKUP($A182,'Specs'!$A$2:$A$164,'Specs'!$H$2:$H$164,"")</x:f>
      </x:c>
      <x:c r="I182" t="str">
        <x:f>XLOOKUP($A182,'Specs'!$A$2:$A$164,'Specs'!$I$2:$I$164,"")</x:f>
      </x:c>
      <x:c r="J182" t="str">
        <x:f>XLOOKUP($A182,'Specs'!$A$2:$A$164,'Specs'!$J$2:$J$164,"")</x:f>
      </x:c>
      <x:c r="K182" t="str">
        <x:f>XLOOKUP($A182,'Specs'!$A$2:$A$164,'Specs'!$K$2:$K$164,"")</x:f>
      </x:c>
      <x:c r="L182" t="str">
        <x:f>XLOOKUP($A182,'Specs'!$A$2:$A$164,'Specs'!$L$2:$L$164,"")</x:f>
      </x:c>
      <x:c r="M182" t="n">
        <x:f>XLOOKUP($A182,'Specs'!$A$2:$A$164,'Specs'!$M$2:$M$164,"")</x:f>
        <x:v>626</x:v>
      </x:c>
      <x:c r="N182" t="str">
        <x:f>XLOOKUP($A182,'Specs'!$A$2:$A$164,'Specs'!$N$2:$N$164,"")</x:f>
      </x:c>
      <x:c r="O182" t="str">
        <x:f>XLOOKUP($A182,'Specs'!$A$2:$A$164,'Specs'!$O$2:$O$164,"")</x:f>
      </x:c>
      <x:c r="P182" t="str">
        <x:f>XLOOKUP($A182,'Specs'!$A$2:$A$164,'Specs'!$P$2:$P$164,"")</x:f>
        <x:v>HIGH</x:v>
      </x:c>
      <x:c r="Q182" s="53" t="n">
        <x:f>XLOOKUP($A182,'Specs'!$A$2:$A$164,'Specs'!$Q$2:$Q$164,"")</x:f>
        <x:v>2</x:v>
      </x:c>
      <x:c r="R182" s="53" t="n">
        <x:f>XLOOKUP($A182,'Specs'!$A$2:$A$164,'Specs'!$R$2:$R$164,"")</x:f>
        <x:v>2</x:v>
      </x:c>
      <x:c r="S182" t="str">
        <x:f>'Vendor Options'!A182</x:f>
        <x:v>OFFER-87B5664375EA</x:v>
      </x:c>
      <x:c r="T182" t="str">
        <x:f>'Vendor Options'!C182</x:f>
        <x:v>BST</x:v>
      </x:c>
      <x:c r="U182" t="str">
        <x:f>'Vendor Options'!D182</x:f>
        <x:v>9K</x:v>
      </x:c>
      <x:c r="V182" t="str">
        <x:f>'Vendor Options'!E182</x:f>
        <x:v>T</x:v>
      </x:c>
      <x:c r="W182" t="str">
        <x:f>'Vendor Options'!F182</x:f>
        <x:v>T</x:v>
      </x:c>
      <x:c r="X182" t="str">
        <x:f>'Vendor Options'!G182</x:f>
        <x:v>9K-3-7-T-15-C3-STK-626 LFIC</x:v>
      </x:c>
      <x:c r="Y182" t="str">
        <x:f>'Vendor Options'!H182</x:f>
        <x:v>9K-3-7-T-15-C3-STK-626 LFIC</x:v>
      </x:c>
      <x:c r="Z182" t="str">
        <x:f>'Vendor Options'!I182</x:f>
      </x:c>
      <x:c r="AA182" s="54" t="n">
        <x:f>'Vendor Options'!J182</x:f>
        <x:v>1097</x:v>
      </x:c>
      <x:c r="AB182" t="str">
        <x:f>'Vendor Options'!K182</x:f>
        <x:v>0.24</x:v>
      </x:c>
      <x:c r="AC182" s="57" t="n">
        <x:f>'Vendor Options'!L182</x:f>
        <x:v>0.24</x:v>
      </x:c>
      <x:c r="AD182" s="57" t="n">
        <x:f>'Vendor Options'!M182</x:f>
        <x:v>0</x:v>
      </x:c>
      <x:c r="AE182" s="54" t="n">
        <x:f>'Vendor Options'!N182</x:f>
        <x:v>833.72</x:v>
      </x:c>
      <x:c r="AF182" t="str">
        <x:f>'Vendor Options'!O182</x:f>
        <x:v>USD</x:v>
      </x:c>
      <x:c r="AG182" t="str">
        <x:f>'Vendor Options'!P182</x:f>
        <x:v>PRICED</x:v>
      </x:c>
      <x:c r="AH182" t="str">
        <x:f>'Vendor Options'!Q182</x:f>
        <x:v>ACTIVE</x:v>
      </x:c>
      <x:c r="AI182" t="str">
        <x:f>'Vendor Options'!R182</x:f>
      </x:c>
      <x:c r="AJ182" t="n">
        <x:f>'Vendor Options'!S182</x:f>
        <x:v>108</x:v>
      </x:c>
    </x:row>
    <x:row r="183" ht="15" hidden="0" customHeight="1">
      <x:c r="A183" t="str">
        <x:f>'Vendor Options'!B183</x:f>
        <x:v>SPEC-55D2279AA3E0</x:v>
      </x:c>
      <x:c r="B183" t="str">
        <x:f>XLOOKUP($A183,'Specs'!$A$2:$A$164,'Specs'!$B$2:$B$164,"")</x:f>
        <x:v>LOCK</x:v>
      </x:c>
      <x:c r="C183" t="str">
        <x:f>XLOOKUP($A183,'Specs'!$A$2:$A$164,'Specs'!$C$2:$C$164,"")</x:f>
        <x:v>CYLINDRICAL LOCK</x:v>
      </x:c>
      <x:c r="D183" t="str">
        <x:f>XLOOKUP($A183,'Specs'!$A$2:$A$164,'Specs'!$D$2:$D$164,"")</x:f>
        <x:v>CYLINDRICAL</x:v>
      </x:c>
      <x:c r="E183" t="str">
        <x:f>XLOOKUP($A183,'Specs'!$A$2:$A$164,'Specs'!$E$2:$E$164,"")</x:f>
        <x:v>DORMITORY / CORRIDOR</x:v>
      </x:c>
      <x:c r="F183" t="str">
        <x:f>XLOOKUP($A183,'Specs'!$A$2:$A$164,'Specs'!$F$2:$F$164,"")</x:f>
        <x:v>LFIC</x:v>
      </x:c>
      <x:c r="G183" t="str">
        <x:f>XLOOKUP($A183,'Specs'!$A$2:$A$164,'Specs'!$G$2:$G$164,"")</x:f>
      </x:c>
      <x:c r="H183" t="str">
        <x:f>XLOOKUP($A183,'Specs'!$A$2:$A$164,'Specs'!$H$2:$H$164,"")</x:f>
      </x:c>
      <x:c r="I183" t="str">
        <x:f>XLOOKUP($A183,'Specs'!$A$2:$A$164,'Specs'!$I$2:$I$164,"")</x:f>
      </x:c>
      <x:c r="J183" t="str">
        <x:f>XLOOKUP($A183,'Specs'!$A$2:$A$164,'Specs'!$J$2:$J$164,"")</x:f>
      </x:c>
      <x:c r="K183" t="str">
        <x:f>XLOOKUP($A183,'Specs'!$A$2:$A$164,'Specs'!$K$2:$K$164,"")</x:f>
      </x:c>
      <x:c r="L183" t="str">
        <x:f>XLOOKUP($A183,'Specs'!$A$2:$A$164,'Specs'!$L$2:$L$164,"")</x:f>
      </x:c>
      <x:c r="M183" t="n">
        <x:f>XLOOKUP($A183,'Specs'!$A$2:$A$164,'Specs'!$M$2:$M$164,"")</x:f>
        <x:v>626</x:v>
      </x:c>
      <x:c r="N183" t="str">
        <x:f>XLOOKUP($A183,'Specs'!$A$2:$A$164,'Specs'!$N$2:$N$164,"")</x:f>
      </x:c>
      <x:c r="O183" t="str">
        <x:f>XLOOKUP($A183,'Specs'!$A$2:$A$164,'Specs'!$O$2:$O$164,"")</x:f>
      </x:c>
      <x:c r="P183" t="str">
        <x:f>XLOOKUP($A183,'Specs'!$A$2:$A$164,'Specs'!$P$2:$P$164,"")</x:f>
        <x:v>HIGH</x:v>
      </x:c>
      <x:c r="Q183" s="53" t="n">
        <x:f>XLOOKUP($A183,'Specs'!$A$2:$A$164,'Specs'!$Q$2:$Q$164,"")</x:f>
        <x:v>2</x:v>
      </x:c>
      <x:c r="R183" s="53" t="n">
        <x:f>XLOOKUP($A183,'Specs'!$A$2:$A$164,'Specs'!$R$2:$R$164,"")</x:f>
        <x:v>2</x:v>
      </x:c>
      <x:c r="S183" t="str">
        <x:f>'Vendor Options'!A183</x:f>
        <x:v>OFFER-3587645A36C3</x:v>
      </x:c>
      <x:c r="T183" t="str">
        <x:f>'Vendor Options'!C183</x:f>
        <x:v>PHG</x:v>
      </x:c>
      <x:c r="U183" t="str">
        <x:f>'Vendor Options'!D183</x:f>
        <x:v>FC-ICS</x:v>
      </x:c>
      <x:c r="V183" t="str">
        <x:f>'Vendor Options'!E183</x:f>
        <x:v>F90</x:v>
      </x:c>
      <x:c r="W183" t="str">
        <x:f>'Vendor Options'!F183</x:f>
        <x:v>F90</x:v>
      </x:c>
      <x:c r="X183" t="str">
        <x:f>'Vendor Options'!G183</x:f>
        <x:v>FC521CT26DICBS</x:v>
      </x:c>
      <x:c r="Y183" t="str">
        <x:f>'Vendor Options'!H183</x:f>
        <x:v>FC521CT26DICBS FC-CT521 - Corridor (F90) - ICS</x:v>
      </x:c>
      <x:c r="Z183" t="str">
        <x:f>'Vendor Options'!I183</x:f>
      </x:c>
      <x:c r="AA183" s="54" t="n">
        <x:f>'Vendor Options'!J183</x:f>
        <x:v>227.48</x:v>
      </x:c>
      <x:c r="AB183" t="str">
        <x:f>'Vendor Options'!K183</x:f>
      </x:c>
      <x:c r="AC183" s="57" t="n">
        <x:f>'Vendor Options'!L183</x:f>
        <x:v>0</x:v>
      </x:c>
      <x:c r="AD183" s="57" t="n">
        <x:f>'Vendor Options'!M183</x:f>
        <x:v>0</x:v>
      </x:c>
      <x:c r="AE183" s="54" t="n">
        <x:f>'Vendor Options'!N183</x:f>
        <x:v>227.48</x:v>
      </x:c>
      <x:c r="AF183" t="str">
        <x:f>'Vendor Options'!O183</x:f>
        <x:v>USD</x:v>
      </x:c>
      <x:c r="AG183" t="str">
        <x:f>'Vendor Options'!P183</x:f>
        <x:v>PRICED</x:v>
      </x:c>
      <x:c r="AH183" t="str">
        <x:f>'Vendor Options'!Q183</x:f>
        <x:v>ACTIVE</x:v>
      </x:c>
      <x:c r="AI183" t="str">
        <x:f>'Vendor Options'!R183</x:f>
      </x:c>
      <x:c r="AJ183" t="n">
        <x:f>'Vendor Options'!S183</x:f>
        <x:v>157</x:v>
      </x:c>
    </x:row>
    <x:row r="184" ht="15" hidden="0" customHeight="1">
      <x:c r="A184" t="str">
        <x:f>'Vendor Options'!B184</x:f>
        <x:v>SPEC-478FBADD4B27</x:v>
      </x:c>
      <x:c r="B184" t="str">
        <x:f>XLOOKUP($A184,'Specs'!$A$2:$A$164,'Specs'!$B$2:$B$164,"")</x:f>
        <x:v>LOCK</x:v>
      </x:c>
      <x:c r="C184" t="str">
        <x:f>XLOOKUP($A184,'Specs'!$A$2:$A$164,'Specs'!$C$2:$C$164,"")</x:f>
        <x:v>CYLINDRICAL LOCK</x:v>
      </x:c>
      <x:c r="D184" t="str">
        <x:f>XLOOKUP($A184,'Specs'!$A$2:$A$164,'Specs'!$D$2:$D$164,"")</x:f>
        <x:v>CYLINDRICAL</x:v>
      </x:c>
      <x:c r="E184" t="str">
        <x:f>XLOOKUP($A184,'Specs'!$A$2:$A$164,'Specs'!$E$2:$E$164,"")</x:f>
        <x:v>DORMITORY / CORRIDOR</x:v>
      </x:c>
      <x:c r="F184" t="str">
        <x:f>XLOOKUP($A184,'Specs'!$A$2:$A$164,'Specs'!$F$2:$F$164,"")</x:f>
        <x:v>SFIC</x:v>
      </x:c>
      <x:c r="G184" t="str">
        <x:f>XLOOKUP($A184,'Specs'!$A$2:$A$164,'Specs'!$G$2:$G$164,"")</x:f>
      </x:c>
      <x:c r="H184" t="str">
        <x:f>XLOOKUP($A184,'Specs'!$A$2:$A$164,'Specs'!$H$2:$H$164,"")</x:f>
      </x:c>
      <x:c r="I184" t="str">
        <x:f>XLOOKUP($A184,'Specs'!$A$2:$A$164,'Specs'!$I$2:$I$164,"")</x:f>
      </x:c>
      <x:c r="J184" t="str">
        <x:f>XLOOKUP($A184,'Specs'!$A$2:$A$164,'Specs'!$J$2:$J$164,"")</x:f>
      </x:c>
      <x:c r="K184" t="str">
        <x:f>XLOOKUP($A184,'Specs'!$A$2:$A$164,'Specs'!$K$2:$K$164,"")</x:f>
      </x:c>
      <x:c r="L184" t="str">
        <x:f>XLOOKUP($A184,'Specs'!$A$2:$A$164,'Specs'!$L$2:$L$164,"")</x:f>
      </x:c>
      <x:c r="M184" t="n">
        <x:f>XLOOKUP($A184,'Specs'!$A$2:$A$164,'Specs'!$M$2:$M$164,"")</x:f>
        <x:v>626</x:v>
      </x:c>
      <x:c r="N184" t="str">
        <x:f>XLOOKUP($A184,'Specs'!$A$2:$A$164,'Specs'!$N$2:$N$164,"")</x:f>
      </x:c>
      <x:c r="O184" t="str">
        <x:f>XLOOKUP($A184,'Specs'!$A$2:$A$164,'Specs'!$O$2:$O$164,"")</x:f>
      </x:c>
      <x:c r="P184" t="str">
        <x:f>XLOOKUP($A184,'Specs'!$A$2:$A$164,'Specs'!$P$2:$P$164,"")</x:f>
        <x:v>HIGH</x:v>
      </x:c>
      <x:c r="Q184" s="53" t="n">
        <x:f>XLOOKUP($A184,'Specs'!$A$2:$A$164,'Specs'!$Q$2:$Q$164,"")</x:f>
        <x:v>6</x:v>
      </x:c>
      <x:c r="R184" s="53" t="n">
        <x:f>XLOOKUP($A184,'Specs'!$A$2:$A$164,'Specs'!$R$2:$R$164,"")</x:f>
        <x:v>4</x:v>
      </x:c>
      <x:c r="S184" t="str">
        <x:f>'Vendor Options'!A184</x:f>
        <x:v>OFFER-B2A2482A24DC</x:v>
      </x:c>
      <x:c r="T184" t="str">
        <x:f>'Vendor Options'!C184</x:f>
        <x:v>BST</x:v>
      </x:c>
      <x:c r="U184" t="str">
        <x:f>'Vendor Options'!D184</x:f>
        <x:v>9K</x:v>
      </x:c>
      <x:c r="V184" t="str">
        <x:f>'Vendor Options'!E184</x:f>
        <x:v>T</x:v>
      </x:c>
      <x:c r="W184" t="str">
        <x:f>'Vendor Options'!F184</x:f>
        <x:v>T</x:v>
      </x:c>
      <x:c r="X184" t="str">
        <x:f>'Vendor Options'!G184</x:f>
        <x:v>9K-3-7-T-15-C3-STK-626 SFIC</x:v>
      </x:c>
      <x:c r="Y184" t="str">
        <x:f>'Vendor Options'!H184</x:f>
        <x:v>9K-3-7-T-15-C3-STK-626 SFIC</x:v>
      </x:c>
      <x:c r="Z184" t="n">
        <x:f>'Vendor Options'!I184</x:f>
        <x:v>0</x:v>
      </x:c>
      <x:c r="AA184" s="54" t="n">
        <x:f>'Vendor Options'!J184</x:f>
        <x:v>1097</x:v>
      </x:c>
      <x:c r="AB184" t="str">
        <x:f>'Vendor Options'!K184</x:f>
        <x:v>0.24</x:v>
      </x:c>
      <x:c r="AC184" s="57" t="n">
        <x:f>'Vendor Options'!L184</x:f>
        <x:v>0.24</x:v>
      </x:c>
      <x:c r="AD184" s="57" t="n">
        <x:f>'Vendor Options'!M184</x:f>
        <x:v>0</x:v>
      </x:c>
      <x:c r="AE184" s="54" t="n">
        <x:f>'Vendor Options'!N184</x:f>
        <x:v>833.72</x:v>
      </x:c>
      <x:c r="AF184" t="str">
        <x:f>'Vendor Options'!O184</x:f>
        <x:v>USD</x:v>
      </x:c>
      <x:c r="AG184" t="str">
        <x:f>'Vendor Options'!P184</x:f>
        <x:v>PRICED</x:v>
      </x:c>
      <x:c r="AH184" t="str">
        <x:f>'Vendor Options'!Q184</x:f>
        <x:v>ACTIVE</x:v>
      </x:c>
      <x:c r="AI184" t="str">
        <x:f>'Vendor Options'!R184</x:f>
      </x:c>
      <x:c r="AJ184" t="n">
        <x:f>'Vendor Options'!S184</x:f>
        <x:v>107</x:v>
      </x:c>
    </x:row>
    <x:row r="185" ht="15" hidden="0" customHeight="1">
      <x:c r="A185" t="str">
        <x:f>'Vendor Options'!B185</x:f>
        <x:v>SPEC-478FBADD4B27</x:v>
      </x:c>
      <x:c r="B185" t="str">
        <x:f>XLOOKUP($A185,'Specs'!$A$2:$A$164,'Specs'!$B$2:$B$164,"")</x:f>
        <x:v>LOCK</x:v>
      </x:c>
      <x:c r="C185" t="str">
        <x:f>XLOOKUP($A185,'Specs'!$A$2:$A$164,'Specs'!$C$2:$C$164,"")</x:f>
        <x:v>CYLINDRICAL LOCK</x:v>
      </x:c>
      <x:c r="D185" t="str">
        <x:f>XLOOKUP($A185,'Specs'!$A$2:$A$164,'Specs'!$D$2:$D$164,"")</x:f>
        <x:v>CYLINDRICAL</x:v>
      </x:c>
      <x:c r="E185" t="str">
        <x:f>XLOOKUP($A185,'Specs'!$A$2:$A$164,'Specs'!$E$2:$E$164,"")</x:f>
        <x:v>DORMITORY / CORRIDOR</x:v>
      </x:c>
      <x:c r="F185" t="str">
        <x:f>XLOOKUP($A185,'Specs'!$A$2:$A$164,'Specs'!$F$2:$F$164,"")</x:f>
        <x:v>SFIC</x:v>
      </x:c>
      <x:c r="G185" t="str">
        <x:f>XLOOKUP($A185,'Specs'!$A$2:$A$164,'Specs'!$G$2:$G$164,"")</x:f>
      </x:c>
      <x:c r="H185" t="str">
        <x:f>XLOOKUP($A185,'Specs'!$A$2:$A$164,'Specs'!$H$2:$H$164,"")</x:f>
      </x:c>
      <x:c r="I185" t="str">
        <x:f>XLOOKUP($A185,'Specs'!$A$2:$A$164,'Specs'!$I$2:$I$164,"")</x:f>
      </x:c>
      <x:c r="J185" t="str">
        <x:f>XLOOKUP($A185,'Specs'!$A$2:$A$164,'Specs'!$J$2:$J$164,"")</x:f>
      </x:c>
      <x:c r="K185" t="str">
        <x:f>XLOOKUP($A185,'Specs'!$A$2:$A$164,'Specs'!$K$2:$K$164,"")</x:f>
      </x:c>
      <x:c r="L185" t="str">
        <x:f>XLOOKUP($A185,'Specs'!$A$2:$A$164,'Specs'!$L$2:$L$164,"")</x:f>
      </x:c>
      <x:c r="M185" t="n">
        <x:f>XLOOKUP($A185,'Specs'!$A$2:$A$164,'Specs'!$M$2:$M$164,"")</x:f>
        <x:v>626</x:v>
      </x:c>
      <x:c r="N185" t="str">
        <x:f>XLOOKUP($A185,'Specs'!$A$2:$A$164,'Specs'!$N$2:$N$164,"")</x:f>
      </x:c>
      <x:c r="O185" t="str">
        <x:f>XLOOKUP($A185,'Specs'!$A$2:$A$164,'Specs'!$O$2:$O$164,"")</x:f>
      </x:c>
      <x:c r="P185" t="str">
        <x:f>XLOOKUP($A185,'Specs'!$A$2:$A$164,'Specs'!$P$2:$P$164,"")</x:f>
        <x:v>HIGH</x:v>
      </x:c>
      <x:c r="Q185" s="53" t="n">
        <x:f>XLOOKUP($A185,'Specs'!$A$2:$A$164,'Specs'!$Q$2:$Q$164,"")</x:f>
        <x:v>6</x:v>
      </x:c>
      <x:c r="R185" s="53" t="n">
        <x:f>XLOOKUP($A185,'Specs'!$A$2:$A$164,'Specs'!$R$2:$R$164,"")</x:f>
        <x:v>4</x:v>
      </x:c>
      <x:c r="S185" t="str">
        <x:f>'Vendor Options'!A185</x:f>
        <x:v>OFFER-B377DAF18401</x:v>
      </x:c>
      <x:c r="T185" t="str">
        <x:f>'Vendor Options'!C185</x:f>
        <x:v>DH</x:v>
      </x:c>
      <x:c r="U185" t="str">
        <x:f>'Vendor Options'!D185</x:f>
        <x:v>X90 SFIC</x:v>
      </x:c>
      <x:c r="V185" t="str">
        <x:f>'Vendor Options'!E185</x:f>
        <x:v>F90</x:v>
      </x:c>
      <x:c r="W185" t="str">
        <x:f>'Vendor Options'!F185</x:f>
        <x:v>F90</x:v>
      </x:c>
      <x:c r="X185" t="str">
        <x:f>'Vendor Options'!G185</x:f>
        <x:v>78001771</x:v>
      </x:c>
      <x:c r="Y185" t="str">
        <x:f>'Vendor Options'!H185</x:f>
        <x:v>78001771 - X-90IC - F - Dormitory/Corridor (SFIC - no core)</x:v>
      </x:c>
      <x:c r="Z185" t="str">
        <x:f>'Vendor Options'!I185</x:f>
      </x:c>
      <x:c r="AA185" s="54" t="n">
        <x:f>'Vendor Options'!J185</x:f>
        <x:v>0</x:v>
      </x:c>
      <x:c r="AB185" t="str">
        <x:f>'Vendor Options'!K185</x:f>
      </x:c>
      <x:c r="AC185" s="57" t="n">
        <x:f>'Vendor Options'!L185</x:f>
        <x:v>0</x:v>
      </x:c>
      <x:c r="AD185" s="57" t="n">
        <x:f>'Vendor Options'!M185</x:f>
        <x:v>0</x:v>
      </x:c>
      <x:c r="AE185" s="54" t="str">
        <x:f>'Vendor Options'!N185</x:f>
      </x:c>
      <x:c r="AF185" t="str">
        <x:f>'Vendor Options'!O185</x:f>
        <x:v>USD</x:v>
      </x:c>
      <x:c r="AG185" t="str">
        <x:f>'Vendor Options'!P185</x:f>
        <x:v>UNPRICED</x:v>
      </x:c>
      <x:c r="AH185" t="str">
        <x:f>'Vendor Options'!Q185</x:f>
        <x:v>ACTIVE</x:v>
      </x:c>
      <x:c r="AI185" t="str">
        <x:f>'Vendor Options'!R185</x:f>
        <x:v>MISSING_PRICE</x:v>
      </x:c>
      <x:c r="AJ185" t="n">
        <x:f>'Vendor Options'!S185</x:f>
        <x:v>140</x:v>
      </x:c>
    </x:row>
    <x:row r="186" ht="15" hidden="0" customHeight="1">
      <x:c r="A186" t="str">
        <x:f>'Vendor Options'!B186</x:f>
        <x:v>SPEC-478FBADD4B27</x:v>
      </x:c>
      <x:c r="B186" t="str">
        <x:f>XLOOKUP($A186,'Specs'!$A$2:$A$164,'Specs'!$B$2:$B$164,"")</x:f>
        <x:v>LOCK</x:v>
      </x:c>
      <x:c r="C186" t="str">
        <x:f>XLOOKUP($A186,'Specs'!$A$2:$A$164,'Specs'!$C$2:$C$164,"")</x:f>
        <x:v>CYLINDRICAL LOCK</x:v>
      </x:c>
      <x:c r="D186" t="str">
        <x:f>XLOOKUP($A186,'Specs'!$A$2:$A$164,'Specs'!$D$2:$D$164,"")</x:f>
        <x:v>CYLINDRICAL</x:v>
      </x:c>
      <x:c r="E186" t="str">
        <x:f>XLOOKUP($A186,'Specs'!$A$2:$A$164,'Specs'!$E$2:$E$164,"")</x:f>
        <x:v>DORMITORY / CORRIDOR</x:v>
      </x:c>
      <x:c r="F186" t="str">
        <x:f>XLOOKUP($A186,'Specs'!$A$2:$A$164,'Specs'!$F$2:$F$164,"")</x:f>
        <x:v>SFIC</x:v>
      </x:c>
      <x:c r="G186" t="str">
        <x:f>XLOOKUP($A186,'Specs'!$A$2:$A$164,'Specs'!$G$2:$G$164,"")</x:f>
      </x:c>
      <x:c r="H186" t="str">
        <x:f>XLOOKUP($A186,'Specs'!$A$2:$A$164,'Specs'!$H$2:$H$164,"")</x:f>
      </x:c>
      <x:c r="I186" t="str">
        <x:f>XLOOKUP($A186,'Specs'!$A$2:$A$164,'Specs'!$I$2:$I$164,"")</x:f>
      </x:c>
      <x:c r="J186" t="str">
        <x:f>XLOOKUP($A186,'Specs'!$A$2:$A$164,'Specs'!$J$2:$J$164,"")</x:f>
      </x:c>
      <x:c r="K186" t="str">
        <x:f>XLOOKUP($A186,'Specs'!$A$2:$A$164,'Specs'!$K$2:$K$164,"")</x:f>
      </x:c>
      <x:c r="L186" t="str">
        <x:f>XLOOKUP($A186,'Specs'!$A$2:$A$164,'Specs'!$L$2:$L$164,"")</x:f>
      </x:c>
      <x:c r="M186" t="n">
        <x:f>XLOOKUP($A186,'Specs'!$A$2:$A$164,'Specs'!$M$2:$M$164,"")</x:f>
        <x:v>626</x:v>
      </x:c>
      <x:c r="N186" t="str">
        <x:f>XLOOKUP($A186,'Specs'!$A$2:$A$164,'Specs'!$N$2:$N$164,"")</x:f>
      </x:c>
      <x:c r="O186" t="str">
        <x:f>XLOOKUP($A186,'Specs'!$A$2:$A$164,'Specs'!$O$2:$O$164,"")</x:f>
      </x:c>
      <x:c r="P186" t="str">
        <x:f>XLOOKUP($A186,'Specs'!$A$2:$A$164,'Specs'!$P$2:$P$164,"")</x:f>
        <x:v>HIGH</x:v>
      </x:c>
      <x:c r="Q186" s="53" t="n">
        <x:f>XLOOKUP($A186,'Specs'!$A$2:$A$164,'Specs'!$Q$2:$Q$164,"")</x:f>
        <x:v>6</x:v>
      </x:c>
      <x:c r="R186" s="53" t="n">
        <x:f>XLOOKUP($A186,'Specs'!$A$2:$A$164,'Specs'!$R$2:$R$164,"")</x:f>
        <x:v>4</x:v>
      </x:c>
      <x:c r="S186" t="str">
        <x:f>'Vendor Options'!A186</x:f>
        <x:v>OFFER-5D0C83C4DD2A</x:v>
      </x:c>
      <x:c r="T186" t="str">
        <x:f>'Vendor Options'!C186</x:f>
        <x:v>DH</x:v>
      </x:c>
      <x:c r="U186" t="str">
        <x:f>'Vendor Options'!D186</x:f>
        <x:v>Z90 SFIC</x:v>
      </x:c>
      <x:c r="V186" t="str">
        <x:f>'Vendor Options'!E186</x:f>
        <x:v>F90</x:v>
      </x:c>
      <x:c r="W186" t="str">
        <x:f>'Vendor Options'!F186</x:f>
        <x:v>F90</x:v>
      </x:c>
      <x:c r="X186" t="str">
        <x:f>'Vendor Options'!G186</x:f>
        <x:v>78001852</x:v>
      </x:c>
      <x:c r="Y186" t="str">
        <x:f>'Vendor Options'!H186</x:f>
        <x:v>78001852 - Z-90IC - F - Dormitory/Corridor (SFIC - no core)</x:v>
      </x:c>
      <x:c r="Z186" t="str">
        <x:f>'Vendor Options'!I186</x:f>
      </x:c>
      <x:c r="AA186" s="54" t="n">
        <x:f>'Vendor Options'!J186</x:f>
        <x:v>290.7</x:v>
      </x:c>
      <x:c r="AB186" t="str">
        <x:f>'Vendor Options'!K186</x:f>
        <x:v>0.26</x:v>
      </x:c>
      <x:c r="AC186" s="57" t="n">
        <x:f>'Vendor Options'!L186</x:f>
        <x:v>0.26</x:v>
      </x:c>
      <x:c r="AD186" s="57" t="n">
        <x:f>'Vendor Options'!M186</x:f>
        <x:v>0</x:v>
      </x:c>
      <x:c r="AE186" s="54" t="n">
        <x:f>'Vendor Options'!N186</x:f>
        <x:v>215.118</x:v>
      </x:c>
      <x:c r="AF186" t="str">
        <x:f>'Vendor Options'!O186</x:f>
        <x:v>USD</x:v>
      </x:c>
      <x:c r="AG186" t="str">
        <x:f>'Vendor Options'!P186</x:f>
        <x:v>PRICED</x:v>
      </x:c>
      <x:c r="AH186" t="str">
        <x:f>'Vendor Options'!Q186</x:f>
        <x:v>ACTIVE</x:v>
      </x:c>
      <x:c r="AI186" t="str">
        <x:f>'Vendor Options'!R186</x:f>
      </x:c>
      <x:c r="AJ186" t="n">
        <x:f>'Vendor Options'!S186</x:f>
        <x:v>131</x:v>
      </x:c>
    </x:row>
    <x:row r="187" ht="15" hidden="0" customHeight="1">
      <x:c r="A187" t="str">
        <x:f>'Vendor Options'!B187</x:f>
        <x:v>SPEC-478FBADD4B27</x:v>
      </x:c>
      <x:c r="B187" t="str">
        <x:f>XLOOKUP($A187,'Specs'!$A$2:$A$164,'Specs'!$B$2:$B$164,"")</x:f>
        <x:v>LOCK</x:v>
      </x:c>
      <x:c r="C187" t="str">
        <x:f>XLOOKUP($A187,'Specs'!$A$2:$A$164,'Specs'!$C$2:$C$164,"")</x:f>
        <x:v>CYLINDRICAL LOCK</x:v>
      </x:c>
      <x:c r="D187" t="str">
        <x:f>XLOOKUP($A187,'Specs'!$A$2:$A$164,'Specs'!$D$2:$D$164,"")</x:f>
        <x:v>CYLINDRICAL</x:v>
      </x:c>
      <x:c r="E187" t="str">
        <x:f>XLOOKUP($A187,'Specs'!$A$2:$A$164,'Specs'!$E$2:$E$164,"")</x:f>
        <x:v>DORMITORY / CORRIDOR</x:v>
      </x:c>
      <x:c r="F187" t="str">
        <x:f>XLOOKUP($A187,'Specs'!$A$2:$A$164,'Specs'!$F$2:$F$164,"")</x:f>
        <x:v>SFIC</x:v>
      </x:c>
      <x:c r="G187" t="str">
        <x:f>XLOOKUP($A187,'Specs'!$A$2:$A$164,'Specs'!$G$2:$G$164,"")</x:f>
      </x:c>
      <x:c r="H187" t="str">
        <x:f>XLOOKUP($A187,'Specs'!$A$2:$A$164,'Specs'!$H$2:$H$164,"")</x:f>
      </x:c>
      <x:c r="I187" t="str">
        <x:f>XLOOKUP($A187,'Specs'!$A$2:$A$164,'Specs'!$I$2:$I$164,"")</x:f>
      </x:c>
      <x:c r="J187" t="str">
        <x:f>XLOOKUP($A187,'Specs'!$A$2:$A$164,'Specs'!$J$2:$J$164,"")</x:f>
      </x:c>
      <x:c r="K187" t="str">
        <x:f>XLOOKUP($A187,'Specs'!$A$2:$A$164,'Specs'!$K$2:$K$164,"")</x:f>
      </x:c>
      <x:c r="L187" t="str">
        <x:f>XLOOKUP($A187,'Specs'!$A$2:$A$164,'Specs'!$L$2:$L$164,"")</x:f>
      </x:c>
      <x:c r="M187" t="n">
        <x:f>XLOOKUP($A187,'Specs'!$A$2:$A$164,'Specs'!$M$2:$M$164,"")</x:f>
        <x:v>626</x:v>
      </x:c>
      <x:c r="N187" t="str">
        <x:f>XLOOKUP($A187,'Specs'!$A$2:$A$164,'Specs'!$N$2:$N$164,"")</x:f>
      </x:c>
      <x:c r="O187" t="str">
        <x:f>XLOOKUP($A187,'Specs'!$A$2:$A$164,'Specs'!$O$2:$O$164,"")</x:f>
      </x:c>
      <x:c r="P187" t="str">
        <x:f>XLOOKUP($A187,'Specs'!$A$2:$A$164,'Specs'!$P$2:$P$164,"")</x:f>
        <x:v>HIGH</x:v>
      </x:c>
      <x:c r="Q187" s="53" t="n">
        <x:f>XLOOKUP($A187,'Specs'!$A$2:$A$164,'Specs'!$Q$2:$Q$164,"")</x:f>
        <x:v>6</x:v>
      </x:c>
      <x:c r="R187" s="53" t="n">
        <x:f>XLOOKUP($A187,'Specs'!$A$2:$A$164,'Specs'!$R$2:$R$164,"")</x:f>
        <x:v>4</x:v>
      </x:c>
      <x:c r="S187" t="str">
        <x:f>'Vendor Options'!A187</x:f>
        <x:v>OFFER-7CDA65B72519</x:v>
      </x:c>
      <x:c r="T187" t="str">
        <x:f>'Vendor Options'!C187</x:f>
        <x:v>DK</x:v>
      </x:c>
      <x:c r="U187" t="str">
        <x:f>'Vendor Options'!D187</x:f>
        <x:v>C173-J</x:v>
      </x:c>
      <x:c r="V187" t="str">
        <x:f>'Vendor Options'!E187</x:f>
        <x:v>F90</x:v>
      </x:c>
      <x:c r="W187" t="str">
        <x:f>'Vendor Options'!F187</x:f>
        <x:v>F90</x:v>
      </x:c>
      <x:c r="X187" t="str">
        <x:f>'Vendor Options'!G187</x:f>
        <x:v>C173-J-LR-C-*-*-10252-134-5001-1316</x:v>
      </x:c>
      <x:c r="Y187" t="str">
        <x:f>'Vendor Options'!H187</x:f>
        <x:v>C173-J-LR-C-*-*-10252-134-5001-1316</x:v>
      </x:c>
      <x:c r="Z187" t="str">
        <x:f>'Vendor Options'!I187</x:f>
      </x:c>
      <x:c r="AA187" s="54" t="n">
        <x:f>'Vendor Options'!J187</x:f>
        <x:v>921</x:v>
      </x:c>
      <x:c r="AB187" t="n">
        <x:f>'Vendor Options'!K187</x:f>
        <x:v>0</x:v>
      </x:c>
      <x:c r="AC187" s="57" t="n">
        <x:f>'Vendor Options'!L187</x:f>
        <x:v>0</x:v>
      </x:c>
      <x:c r="AD187" s="57" t="n">
        <x:f>'Vendor Options'!M187</x:f>
        <x:v>0</x:v>
      </x:c>
      <x:c r="AE187" s="54" t="n">
        <x:f>'Vendor Options'!N187</x:f>
        <x:v>921</x:v>
      </x:c>
      <x:c r="AF187" t="str">
        <x:f>'Vendor Options'!O187</x:f>
        <x:v>USD</x:v>
      </x:c>
      <x:c r="AG187" t="str">
        <x:f>'Vendor Options'!P187</x:f>
        <x:v>PRICED</x:v>
      </x:c>
      <x:c r="AH187" t="str">
        <x:f>'Vendor Options'!Q187</x:f>
        <x:v>ACTIVE</x:v>
      </x:c>
      <x:c r="AI187" t="str">
        <x:f>'Vendor Options'!R187</x:f>
      </x:c>
      <x:c r="AJ187" t="n">
        <x:f>'Vendor Options'!S187</x:f>
        <x:v>120</x:v>
      </x:c>
    </x:row>
    <x:row r="188" ht="15" hidden="0" customHeight="1">
      <x:c r="A188" t="str">
        <x:f>'Vendor Options'!B188</x:f>
        <x:v>SPEC-478FBADD4B27</x:v>
      </x:c>
      <x:c r="B188" t="str">
        <x:f>XLOOKUP($A188,'Specs'!$A$2:$A$164,'Specs'!$B$2:$B$164,"")</x:f>
        <x:v>LOCK</x:v>
      </x:c>
      <x:c r="C188" t="str">
        <x:f>XLOOKUP($A188,'Specs'!$A$2:$A$164,'Specs'!$C$2:$C$164,"")</x:f>
        <x:v>CYLINDRICAL LOCK</x:v>
      </x:c>
      <x:c r="D188" t="str">
        <x:f>XLOOKUP($A188,'Specs'!$A$2:$A$164,'Specs'!$D$2:$D$164,"")</x:f>
        <x:v>CYLINDRICAL</x:v>
      </x:c>
      <x:c r="E188" t="str">
        <x:f>XLOOKUP($A188,'Specs'!$A$2:$A$164,'Specs'!$E$2:$E$164,"")</x:f>
        <x:v>DORMITORY / CORRIDOR</x:v>
      </x:c>
      <x:c r="F188" t="str">
        <x:f>XLOOKUP($A188,'Specs'!$A$2:$A$164,'Specs'!$F$2:$F$164,"")</x:f>
        <x:v>SFIC</x:v>
      </x:c>
      <x:c r="G188" t="str">
        <x:f>XLOOKUP($A188,'Specs'!$A$2:$A$164,'Specs'!$G$2:$G$164,"")</x:f>
      </x:c>
      <x:c r="H188" t="str">
        <x:f>XLOOKUP($A188,'Specs'!$A$2:$A$164,'Specs'!$H$2:$H$164,"")</x:f>
      </x:c>
      <x:c r="I188" t="str">
        <x:f>XLOOKUP($A188,'Specs'!$A$2:$A$164,'Specs'!$I$2:$I$164,"")</x:f>
      </x:c>
      <x:c r="J188" t="str">
        <x:f>XLOOKUP($A188,'Specs'!$A$2:$A$164,'Specs'!$J$2:$J$164,"")</x:f>
      </x:c>
      <x:c r="K188" t="str">
        <x:f>XLOOKUP($A188,'Specs'!$A$2:$A$164,'Specs'!$K$2:$K$164,"")</x:f>
      </x:c>
      <x:c r="L188" t="str">
        <x:f>XLOOKUP($A188,'Specs'!$A$2:$A$164,'Specs'!$L$2:$L$164,"")</x:f>
      </x:c>
      <x:c r="M188" t="n">
        <x:f>XLOOKUP($A188,'Specs'!$A$2:$A$164,'Specs'!$M$2:$M$164,"")</x:f>
        <x:v>626</x:v>
      </x:c>
      <x:c r="N188" t="str">
        <x:f>XLOOKUP($A188,'Specs'!$A$2:$A$164,'Specs'!$N$2:$N$164,"")</x:f>
      </x:c>
      <x:c r="O188" t="str">
        <x:f>XLOOKUP($A188,'Specs'!$A$2:$A$164,'Specs'!$O$2:$O$164,"")</x:f>
      </x:c>
      <x:c r="P188" t="str">
        <x:f>XLOOKUP($A188,'Specs'!$A$2:$A$164,'Specs'!$P$2:$P$164,"")</x:f>
        <x:v>HIGH</x:v>
      </x:c>
      <x:c r="Q188" s="53" t="n">
        <x:f>XLOOKUP($A188,'Specs'!$A$2:$A$164,'Specs'!$Q$2:$Q$164,"")</x:f>
        <x:v>6</x:v>
      </x:c>
      <x:c r="R188" s="53" t="n">
        <x:f>XLOOKUP($A188,'Specs'!$A$2:$A$164,'Specs'!$R$2:$R$164,"")</x:f>
        <x:v>4</x:v>
      </x:c>
      <x:c r="S188" t="str">
        <x:f>'Vendor Options'!A188</x:f>
        <x:v>OFFER-1B81D083768F</x:v>
      </x:c>
      <x:c r="T188" t="str">
        <x:f>'Vendor Options'!C188</x:f>
        <x:v>PHG</x:v>
      </x:c>
      <x:c r="U188" t="str">
        <x:f>'Vendor Options'!D188</x:f>
        <x:v>ES-ICB</x:v>
      </x:c>
      <x:c r="V188" t="str">
        <x:f>'Vendor Options'!E188</x:f>
        <x:v>F90</x:v>
      </x:c>
      <x:c r="W188" t="str">
        <x:f>'Vendor Options'!F188</x:f>
        <x:v>F90</x:v>
      </x:c>
      <x:c r="X188" t="str">
        <x:f>'Vendor Options'!G188</x:f>
        <x:v>ES521CT26DICB</x:v>
      </x:c>
      <x:c r="Y188" t="str">
        <x:f>'Vendor Options'!H188</x:f>
        <x:v>ES521CT26DICB ES-CT521 - Corridor (F90) - ICB</x:v>
      </x:c>
      <x:c r="Z188" t="str">
        <x:f>'Vendor Options'!I188</x:f>
      </x:c>
      <x:c r="AA188" s="54" t="n">
        <x:f>'Vendor Options'!J188</x:f>
        <x:v>121.93</x:v>
      </x:c>
      <x:c r="AB188" t="n">
        <x:f>'Vendor Options'!K188</x:f>
        <x:v>0</x:v>
      </x:c>
      <x:c r="AC188" s="57" t="n">
        <x:f>'Vendor Options'!L188</x:f>
        <x:v>0</x:v>
      </x:c>
      <x:c r="AD188" s="57" t="n">
        <x:f>'Vendor Options'!M188</x:f>
        <x:v>0</x:v>
      </x:c>
      <x:c r="AE188" s="54" t="n">
        <x:f>'Vendor Options'!N188</x:f>
        <x:v>121.93</x:v>
      </x:c>
      <x:c r="AF188" t="str">
        <x:f>'Vendor Options'!O188</x:f>
        <x:v>USD</x:v>
      </x:c>
      <x:c r="AG188" t="str">
        <x:f>'Vendor Options'!P188</x:f>
        <x:v>PRICED</x:v>
      </x:c>
      <x:c r="AH188" t="str">
        <x:f>'Vendor Options'!Q188</x:f>
        <x:v>ACTIVE</x:v>
      </x:c>
      <x:c r="AI188" t="str">
        <x:f>'Vendor Options'!R188</x:f>
      </x:c>
      <x:c r="AJ188" t="n">
        <x:f>'Vendor Options'!S188</x:f>
        <x:v>173</x:v>
      </x:c>
    </x:row>
    <x:row r="189" ht="15" hidden="0" customHeight="1">
      <x:c r="A189" t="str">
        <x:f>'Vendor Options'!B189</x:f>
        <x:v>SPEC-478FBADD4B27</x:v>
      </x:c>
      <x:c r="B189" t="str">
        <x:f>XLOOKUP($A189,'Specs'!$A$2:$A$164,'Specs'!$B$2:$B$164,"")</x:f>
        <x:v>LOCK</x:v>
      </x:c>
      <x:c r="C189" t="str">
        <x:f>XLOOKUP($A189,'Specs'!$A$2:$A$164,'Specs'!$C$2:$C$164,"")</x:f>
        <x:v>CYLINDRICAL LOCK</x:v>
      </x:c>
      <x:c r="D189" t="str">
        <x:f>XLOOKUP($A189,'Specs'!$A$2:$A$164,'Specs'!$D$2:$D$164,"")</x:f>
        <x:v>CYLINDRICAL</x:v>
      </x:c>
      <x:c r="E189" t="str">
        <x:f>XLOOKUP($A189,'Specs'!$A$2:$A$164,'Specs'!$E$2:$E$164,"")</x:f>
        <x:v>DORMITORY / CORRIDOR</x:v>
      </x:c>
      <x:c r="F189" t="str">
        <x:f>XLOOKUP($A189,'Specs'!$A$2:$A$164,'Specs'!$F$2:$F$164,"")</x:f>
        <x:v>SFIC</x:v>
      </x:c>
      <x:c r="G189" t="str">
        <x:f>XLOOKUP($A189,'Specs'!$A$2:$A$164,'Specs'!$G$2:$G$164,"")</x:f>
      </x:c>
      <x:c r="H189" t="str">
        <x:f>XLOOKUP($A189,'Specs'!$A$2:$A$164,'Specs'!$H$2:$H$164,"")</x:f>
      </x:c>
      <x:c r="I189" t="str">
        <x:f>XLOOKUP($A189,'Specs'!$A$2:$A$164,'Specs'!$I$2:$I$164,"")</x:f>
      </x:c>
      <x:c r="J189" t="str">
        <x:f>XLOOKUP($A189,'Specs'!$A$2:$A$164,'Specs'!$J$2:$J$164,"")</x:f>
      </x:c>
      <x:c r="K189" t="str">
        <x:f>XLOOKUP($A189,'Specs'!$A$2:$A$164,'Specs'!$K$2:$K$164,"")</x:f>
      </x:c>
      <x:c r="L189" t="str">
        <x:f>XLOOKUP($A189,'Specs'!$A$2:$A$164,'Specs'!$L$2:$L$164,"")</x:f>
      </x:c>
      <x:c r="M189" t="n">
        <x:f>XLOOKUP($A189,'Specs'!$A$2:$A$164,'Specs'!$M$2:$M$164,"")</x:f>
        <x:v>626</x:v>
      </x:c>
      <x:c r="N189" t="str">
        <x:f>XLOOKUP($A189,'Specs'!$A$2:$A$164,'Specs'!$N$2:$N$164,"")</x:f>
      </x:c>
      <x:c r="O189" t="str">
        <x:f>XLOOKUP($A189,'Specs'!$A$2:$A$164,'Specs'!$O$2:$O$164,"")</x:f>
      </x:c>
      <x:c r="P189" t="str">
        <x:f>XLOOKUP($A189,'Specs'!$A$2:$A$164,'Specs'!$P$2:$P$164,"")</x:f>
        <x:v>HIGH</x:v>
      </x:c>
      <x:c r="Q189" s="53" t="n">
        <x:f>XLOOKUP($A189,'Specs'!$A$2:$A$164,'Specs'!$Q$2:$Q$164,"")</x:f>
        <x:v>6</x:v>
      </x:c>
      <x:c r="R189" s="53" t="n">
        <x:f>XLOOKUP($A189,'Specs'!$A$2:$A$164,'Specs'!$R$2:$R$164,"")</x:f>
        <x:v>4</x:v>
      </x:c>
      <x:c r="S189" t="str">
        <x:f>'Vendor Options'!A189</x:f>
        <x:v>OFFER-FEF760E69C49</x:v>
      </x:c>
      <x:c r="T189" t="str">
        <x:f>'Vendor Options'!C189</x:f>
        <x:v>PHG</x:v>
      </x:c>
      <x:c r="U189" t="str">
        <x:f>'Vendor Options'!D189</x:f>
        <x:v>FC-ICB</x:v>
      </x:c>
      <x:c r="V189" t="str">
        <x:f>'Vendor Options'!E189</x:f>
        <x:v>F90</x:v>
      </x:c>
      <x:c r="W189" t="str">
        <x:f>'Vendor Options'!F189</x:f>
        <x:v>F90</x:v>
      </x:c>
      <x:c r="X189" t="str">
        <x:f>'Vendor Options'!G189</x:f>
        <x:v>FC521CT26DICB</x:v>
      </x:c>
      <x:c r="Y189" t="str">
        <x:f>'Vendor Options'!H189</x:f>
        <x:v>FC521CT26DICB FC-CT521 - Corridor (F90) - ICB</x:v>
      </x:c>
      <x:c r="Z189" t="str">
        <x:f>'Vendor Options'!I189</x:f>
      </x:c>
      <x:c r="AA189" s="54" t="n">
        <x:f>'Vendor Options'!J189</x:f>
        <x:v>202.76</x:v>
      </x:c>
      <x:c r="AB189" t="str">
        <x:f>'Vendor Options'!K189</x:f>
      </x:c>
      <x:c r="AC189" s="57" t="n">
        <x:f>'Vendor Options'!L189</x:f>
        <x:v>0</x:v>
      </x:c>
      <x:c r="AD189" s="57" t="n">
        <x:f>'Vendor Options'!M189</x:f>
        <x:v>0</x:v>
      </x:c>
      <x:c r="AE189" s="54" t="n">
        <x:f>'Vendor Options'!N189</x:f>
        <x:v>202.76</x:v>
      </x:c>
      <x:c r="AF189" t="str">
        <x:f>'Vendor Options'!O189</x:f>
        <x:v>USD</x:v>
      </x:c>
      <x:c r="AG189" t="str">
        <x:f>'Vendor Options'!P189</x:f>
        <x:v>PRICED</x:v>
      </x:c>
      <x:c r="AH189" t="str">
        <x:f>'Vendor Options'!Q189</x:f>
        <x:v>ACTIVE</x:v>
      </x:c>
      <x:c r="AI189" t="str">
        <x:f>'Vendor Options'!R189</x:f>
      </x:c>
      <x:c r="AJ189" t="n">
        <x:f>'Vendor Options'!S189</x:f>
        <x:v>156</x:v>
      </x:c>
    </x:row>
    <x:row r="190" ht="15" hidden="0" customHeight="1">
      <x:c r="A190" t="str">
        <x:f>'Vendor Options'!B190</x:f>
        <x:v>SPEC-FDC7690E5163</x:v>
      </x:c>
      <x:c r="B190" t="str">
        <x:f>XLOOKUP($A190,'Specs'!$A$2:$A$164,'Specs'!$B$2:$B$164,"")</x:f>
        <x:v>LOCK</x:v>
      </x:c>
      <x:c r="C190" t="str">
        <x:f>XLOOKUP($A190,'Specs'!$A$2:$A$164,'Specs'!$C$2:$C$164,"")</x:f>
        <x:v>CYLINDRICAL LOCK</x:v>
      </x:c>
      <x:c r="D190" t="str">
        <x:f>XLOOKUP($A190,'Specs'!$A$2:$A$164,'Specs'!$D$2:$D$164,"")</x:f>
        <x:v>CYLINDRICAL</x:v>
      </x:c>
      <x:c r="E190" t="str">
        <x:f>XLOOKUP($A190,'Specs'!$A$2:$A$164,'Specs'!$E$2:$E$164,"")</x:f>
        <x:v>DORMITORY / CORRIDOR</x:v>
      </x:c>
      <x:c r="F190" t="str">
        <x:f>XLOOKUP($A190,'Specs'!$A$2:$A$164,'Specs'!$F$2:$F$164,"")</x:f>
        <x:v>STANDARD</x:v>
      </x:c>
      <x:c r="G190" t="str">
        <x:f>XLOOKUP($A190,'Specs'!$A$2:$A$164,'Specs'!$G$2:$G$164,"")</x:f>
      </x:c>
      <x:c r="H190" t="str">
        <x:f>XLOOKUP($A190,'Specs'!$A$2:$A$164,'Specs'!$H$2:$H$164,"")</x:f>
      </x:c>
      <x:c r="I190" t="str">
        <x:f>XLOOKUP($A190,'Specs'!$A$2:$A$164,'Specs'!$I$2:$I$164,"")</x:f>
      </x:c>
      <x:c r="J190" t="str">
        <x:f>XLOOKUP($A190,'Specs'!$A$2:$A$164,'Specs'!$J$2:$J$164,"")</x:f>
      </x:c>
      <x:c r="K190" t="str">
        <x:f>XLOOKUP($A190,'Specs'!$A$2:$A$164,'Specs'!$K$2:$K$164,"")</x:f>
      </x:c>
      <x:c r="L190" t="str">
        <x:f>XLOOKUP($A190,'Specs'!$A$2:$A$164,'Specs'!$L$2:$L$164,"")</x:f>
      </x:c>
      <x:c r="M190" t="n">
        <x:f>XLOOKUP($A190,'Specs'!$A$2:$A$164,'Specs'!$M$2:$M$164,"")</x:f>
        <x:v>626</x:v>
      </x:c>
      <x:c r="N190" t="str">
        <x:f>XLOOKUP($A190,'Specs'!$A$2:$A$164,'Specs'!$N$2:$N$164,"")</x:f>
      </x:c>
      <x:c r="O190" t="str">
        <x:f>XLOOKUP($A190,'Specs'!$A$2:$A$164,'Specs'!$O$2:$O$164,"")</x:f>
      </x:c>
      <x:c r="P190" t="str">
        <x:f>XLOOKUP($A190,'Specs'!$A$2:$A$164,'Specs'!$P$2:$P$164,"")</x:f>
        <x:v>HIGH</x:v>
      </x:c>
      <x:c r="Q190" s="53" t="n">
        <x:f>XLOOKUP($A190,'Specs'!$A$2:$A$164,'Specs'!$Q$2:$Q$164,"")</x:f>
        <x:v>6</x:v>
      </x:c>
      <x:c r="R190" s="53" t="n">
        <x:f>XLOOKUP($A190,'Specs'!$A$2:$A$164,'Specs'!$R$2:$R$164,"")</x:f>
        <x:v>4</x:v>
      </x:c>
      <x:c r="S190" t="str">
        <x:f>'Vendor Options'!A190</x:f>
        <x:v>OFFER-B50CC186D69F</x:v>
      </x:c>
      <x:c r="T190" t="str">
        <x:f>'Vendor Options'!C190</x:f>
        <x:v>BST</x:v>
      </x:c>
      <x:c r="U190" t="str">
        <x:f>'Vendor Options'!D190</x:f>
        <x:v>9K</x:v>
      </x:c>
      <x:c r="V190" t="str">
        <x:f>'Vendor Options'!E190</x:f>
        <x:v>T</x:v>
      </x:c>
      <x:c r="W190" t="str">
        <x:f>'Vendor Options'!F190</x:f>
        <x:v>T</x:v>
      </x:c>
      <x:c r="X190" t="str">
        <x:f>'Vendor Options'!G190</x:f>
        <x:v>9K-3-7-T-15-C3-STK-626</x:v>
      </x:c>
      <x:c r="Y190" t="str">
        <x:f>'Vendor Options'!H190</x:f>
        <x:v>9K-3-7-T-15-C3-STK-626</x:v>
      </x:c>
      <x:c r="Z190" t="n">
        <x:f>'Vendor Options'!I190</x:f>
        <x:v>0</x:v>
      </x:c>
      <x:c r="AA190" s="54" t="n">
        <x:f>'Vendor Options'!J190</x:f>
        <x:v>1227</x:v>
      </x:c>
      <x:c r="AB190" t="str">
        <x:f>'Vendor Options'!K190</x:f>
        <x:v>0.24</x:v>
      </x:c>
      <x:c r="AC190" s="57" t="n">
        <x:f>'Vendor Options'!L190</x:f>
        <x:v>0.24</x:v>
      </x:c>
      <x:c r="AD190" s="57" t="n">
        <x:f>'Vendor Options'!M190</x:f>
        <x:v>0</x:v>
      </x:c>
      <x:c r="AE190" s="54" t="n">
        <x:f>'Vendor Options'!N190</x:f>
        <x:v>932.52</x:v>
      </x:c>
      <x:c r="AF190" t="str">
        <x:f>'Vendor Options'!O190</x:f>
        <x:v>USD</x:v>
      </x:c>
      <x:c r="AG190" t="str">
        <x:f>'Vendor Options'!P190</x:f>
        <x:v>PRICED</x:v>
      </x:c>
      <x:c r="AH190" t="str">
        <x:f>'Vendor Options'!Q190</x:f>
        <x:v>ACTIVE</x:v>
      </x:c>
      <x:c r="AI190" t="str">
        <x:f>'Vendor Options'!R190</x:f>
      </x:c>
      <x:c r="AJ190" t="n">
        <x:f>'Vendor Options'!S190</x:f>
        <x:v>106</x:v>
      </x:c>
    </x:row>
    <x:row r="191" ht="15" hidden="0" customHeight="1">
      <x:c r="A191" t="str">
        <x:f>'Vendor Options'!B191</x:f>
        <x:v>SPEC-FDC7690E5163</x:v>
      </x:c>
      <x:c r="B191" t="str">
        <x:f>XLOOKUP($A191,'Specs'!$A$2:$A$164,'Specs'!$B$2:$B$164,"")</x:f>
        <x:v>LOCK</x:v>
      </x:c>
      <x:c r="C191" t="str">
        <x:f>XLOOKUP($A191,'Specs'!$A$2:$A$164,'Specs'!$C$2:$C$164,"")</x:f>
        <x:v>CYLINDRICAL LOCK</x:v>
      </x:c>
      <x:c r="D191" t="str">
        <x:f>XLOOKUP($A191,'Specs'!$A$2:$A$164,'Specs'!$D$2:$D$164,"")</x:f>
        <x:v>CYLINDRICAL</x:v>
      </x:c>
      <x:c r="E191" t="str">
        <x:f>XLOOKUP($A191,'Specs'!$A$2:$A$164,'Specs'!$E$2:$E$164,"")</x:f>
        <x:v>DORMITORY / CORRIDOR</x:v>
      </x:c>
      <x:c r="F191" t="str">
        <x:f>XLOOKUP($A191,'Specs'!$A$2:$A$164,'Specs'!$F$2:$F$164,"")</x:f>
        <x:v>STANDARD</x:v>
      </x:c>
      <x:c r="G191" t="str">
        <x:f>XLOOKUP($A191,'Specs'!$A$2:$A$164,'Specs'!$G$2:$G$164,"")</x:f>
      </x:c>
      <x:c r="H191" t="str">
        <x:f>XLOOKUP($A191,'Specs'!$A$2:$A$164,'Specs'!$H$2:$H$164,"")</x:f>
      </x:c>
      <x:c r="I191" t="str">
        <x:f>XLOOKUP($A191,'Specs'!$A$2:$A$164,'Specs'!$I$2:$I$164,"")</x:f>
      </x:c>
      <x:c r="J191" t="str">
        <x:f>XLOOKUP($A191,'Specs'!$A$2:$A$164,'Specs'!$J$2:$J$164,"")</x:f>
      </x:c>
      <x:c r="K191" t="str">
        <x:f>XLOOKUP($A191,'Specs'!$A$2:$A$164,'Specs'!$K$2:$K$164,"")</x:f>
      </x:c>
      <x:c r="L191" t="str">
        <x:f>XLOOKUP($A191,'Specs'!$A$2:$A$164,'Specs'!$L$2:$L$164,"")</x:f>
      </x:c>
      <x:c r="M191" t="n">
        <x:f>XLOOKUP($A191,'Specs'!$A$2:$A$164,'Specs'!$M$2:$M$164,"")</x:f>
        <x:v>626</x:v>
      </x:c>
      <x:c r="N191" t="str">
        <x:f>XLOOKUP($A191,'Specs'!$A$2:$A$164,'Specs'!$N$2:$N$164,"")</x:f>
      </x:c>
      <x:c r="O191" t="str">
        <x:f>XLOOKUP($A191,'Specs'!$A$2:$A$164,'Specs'!$O$2:$O$164,"")</x:f>
      </x:c>
      <x:c r="P191" t="str">
        <x:f>XLOOKUP($A191,'Specs'!$A$2:$A$164,'Specs'!$P$2:$P$164,"")</x:f>
        <x:v>HIGH</x:v>
      </x:c>
      <x:c r="Q191" s="53" t="n">
        <x:f>XLOOKUP($A191,'Specs'!$A$2:$A$164,'Specs'!$Q$2:$Q$164,"")</x:f>
        <x:v>6</x:v>
      </x:c>
      <x:c r="R191" s="53" t="n">
        <x:f>XLOOKUP($A191,'Specs'!$A$2:$A$164,'Specs'!$R$2:$R$164,"")</x:f>
        <x:v>4</x:v>
      </x:c>
      <x:c r="S191" t="str">
        <x:f>'Vendor Options'!A191</x:f>
        <x:v>OFFER-00C8B0ED6B07</x:v>
      </x:c>
      <x:c r="T191" t="str">
        <x:f>'Vendor Options'!C191</x:f>
        <x:v>DH</x:v>
      </x:c>
      <x:c r="U191" t="str">
        <x:f>'Vendor Options'!D191</x:f>
        <x:v>X90</x:v>
      </x:c>
      <x:c r="V191" t="str">
        <x:f>'Vendor Options'!E191</x:f>
        <x:v>F90</x:v>
      </x:c>
      <x:c r="W191" t="str">
        <x:f>'Vendor Options'!F191</x:f>
        <x:v>F90</x:v>
      </x:c>
      <x:c r="X191" t="str">
        <x:f>'Vendor Options'!G191</x:f>
        <x:v>78001770</x:v>
      </x:c>
      <x:c r="Y191" t="str">
        <x:f>'Vendor Options'!H191</x:f>
        <x:v>78001770 - X-90 - F - Dormitory/Corridor</x:v>
      </x:c>
      <x:c r="Z191" t="str">
        <x:f>'Vendor Options'!I191</x:f>
      </x:c>
      <x:c r="AA191" s="54" t="n">
        <x:f>'Vendor Options'!J191</x:f>
        <x:v>0</x:v>
      </x:c>
      <x:c r="AB191" t="str">
        <x:f>'Vendor Options'!K191</x:f>
      </x:c>
      <x:c r="AC191" s="57" t="n">
        <x:f>'Vendor Options'!L191</x:f>
        <x:v>0</x:v>
      </x:c>
      <x:c r="AD191" s="57" t="n">
        <x:f>'Vendor Options'!M191</x:f>
        <x:v>0</x:v>
      </x:c>
      <x:c r="AE191" s="54" t="str">
        <x:f>'Vendor Options'!N191</x:f>
      </x:c>
      <x:c r="AF191" t="str">
        <x:f>'Vendor Options'!O191</x:f>
        <x:v>USD</x:v>
      </x:c>
      <x:c r="AG191" t="str">
        <x:f>'Vendor Options'!P191</x:f>
        <x:v>UNPRICED</x:v>
      </x:c>
      <x:c r="AH191" t="str">
        <x:f>'Vendor Options'!Q191</x:f>
        <x:v>ACTIVE</x:v>
      </x:c>
      <x:c r="AI191" t="str">
        <x:f>'Vendor Options'!R191</x:f>
        <x:v>MISSING_PRICE</x:v>
      </x:c>
      <x:c r="AJ191" t="n">
        <x:f>'Vendor Options'!S191</x:f>
        <x:v>139</x:v>
      </x:c>
    </x:row>
    <x:row r="192" ht="15" hidden="0" customHeight="1">
      <x:c r="A192" t="str">
        <x:f>'Vendor Options'!B192</x:f>
        <x:v>SPEC-FDC7690E5163</x:v>
      </x:c>
      <x:c r="B192" t="str">
        <x:f>XLOOKUP($A192,'Specs'!$A$2:$A$164,'Specs'!$B$2:$B$164,"")</x:f>
        <x:v>LOCK</x:v>
      </x:c>
      <x:c r="C192" t="str">
        <x:f>XLOOKUP($A192,'Specs'!$A$2:$A$164,'Specs'!$C$2:$C$164,"")</x:f>
        <x:v>CYLINDRICAL LOCK</x:v>
      </x:c>
      <x:c r="D192" t="str">
        <x:f>XLOOKUP($A192,'Specs'!$A$2:$A$164,'Specs'!$D$2:$D$164,"")</x:f>
        <x:v>CYLINDRICAL</x:v>
      </x:c>
      <x:c r="E192" t="str">
        <x:f>XLOOKUP($A192,'Specs'!$A$2:$A$164,'Specs'!$E$2:$E$164,"")</x:f>
        <x:v>DORMITORY / CORRIDOR</x:v>
      </x:c>
      <x:c r="F192" t="str">
        <x:f>XLOOKUP($A192,'Specs'!$A$2:$A$164,'Specs'!$F$2:$F$164,"")</x:f>
        <x:v>STANDARD</x:v>
      </x:c>
      <x:c r="G192" t="str">
        <x:f>XLOOKUP($A192,'Specs'!$A$2:$A$164,'Specs'!$G$2:$G$164,"")</x:f>
      </x:c>
      <x:c r="H192" t="str">
        <x:f>XLOOKUP($A192,'Specs'!$A$2:$A$164,'Specs'!$H$2:$H$164,"")</x:f>
      </x:c>
      <x:c r="I192" t="str">
        <x:f>XLOOKUP($A192,'Specs'!$A$2:$A$164,'Specs'!$I$2:$I$164,"")</x:f>
      </x:c>
      <x:c r="J192" t="str">
        <x:f>XLOOKUP($A192,'Specs'!$A$2:$A$164,'Specs'!$J$2:$J$164,"")</x:f>
      </x:c>
      <x:c r="K192" t="str">
        <x:f>XLOOKUP($A192,'Specs'!$A$2:$A$164,'Specs'!$K$2:$K$164,"")</x:f>
      </x:c>
      <x:c r="L192" t="str">
        <x:f>XLOOKUP($A192,'Specs'!$A$2:$A$164,'Specs'!$L$2:$L$164,"")</x:f>
      </x:c>
      <x:c r="M192" t="n">
        <x:f>XLOOKUP($A192,'Specs'!$A$2:$A$164,'Specs'!$M$2:$M$164,"")</x:f>
        <x:v>626</x:v>
      </x:c>
      <x:c r="N192" t="str">
        <x:f>XLOOKUP($A192,'Specs'!$A$2:$A$164,'Specs'!$N$2:$N$164,"")</x:f>
      </x:c>
      <x:c r="O192" t="str">
        <x:f>XLOOKUP($A192,'Specs'!$A$2:$A$164,'Specs'!$O$2:$O$164,"")</x:f>
      </x:c>
      <x:c r="P192" t="str">
        <x:f>XLOOKUP($A192,'Specs'!$A$2:$A$164,'Specs'!$P$2:$P$164,"")</x:f>
        <x:v>HIGH</x:v>
      </x:c>
      <x:c r="Q192" s="53" t="n">
        <x:f>XLOOKUP($A192,'Specs'!$A$2:$A$164,'Specs'!$Q$2:$Q$164,"")</x:f>
        <x:v>6</x:v>
      </x:c>
      <x:c r="R192" s="53" t="n">
        <x:f>XLOOKUP($A192,'Specs'!$A$2:$A$164,'Specs'!$R$2:$R$164,"")</x:f>
        <x:v>4</x:v>
      </x:c>
      <x:c r="S192" t="str">
        <x:f>'Vendor Options'!A192</x:f>
        <x:v>OFFER-C32131532D24</x:v>
      </x:c>
      <x:c r="T192" t="str">
        <x:f>'Vendor Options'!C192</x:f>
        <x:v>DH</x:v>
      </x:c>
      <x:c r="U192" t="str">
        <x:f>'Vendor Options'!D192</x:f>
        <x:v>Z90</x:v>
      </x:c>
      <x:c r="V192" t="str">
        <x:f>'Vendor Options'!E192</x:f>
        <x:v>F90</x:v>
      </x:c>
      <x:c r="W192" t="str">
        <x:f>'Vendor Options'!F192</x:f>
        <x:v>F90</x:v>
      </x:c>
      <x:c r="X192" t="str">
        <x:f>'Vendor Options'!G192</x:f>
        <x:v>78001851</x:v>
      </x:c>
      <x:c r="Y192" t="str">
        <x:f>'Vendor Options'!H192</x:f>
        <x:v>78001851 - Z-90 - F - Dormitory/Corridor Function</x:v>
      </x:c>
      <x:c r="Z192" t="str">
        <x:f>'Vendor Options'!I192</x:f>
      </x:c>
      <x:c r="AA192" s="54" t="n">
        <x:f>'Vendor Options'!J192</x:f>
        <x:v>290.7</x:v>
      </x:c>
      <x:c r="AB192" t="str">
        <x:f>'Vendor Options'!K192</x:f>
        <x:v>0.26</x:v>
      </x:c>
      <x:c r="AC192" s="57" t="n">
        <x:f>'Vendor Options'!L192</x:f>
        <x:v>0.26</x:v>
      </x:c>
      <x:c r="AD192" s="57" t="n">
        <x:f>'Vendor Options'!M192</x:f>
        <x:v>0</x:v>
      </x:c>
      <x:c r="AE192" s="54" t="n">
        <x:f>'Vendor Options'!N192</x:f>
        <x:v>215.118</x:v>
      </x:c>
      <x:c r="AF192" t="str">
        <x:f>'Vendor Options'!O192</x:f>
        <x:v>USD</x:v>
      </x:c>
      <x:c r="AG192" t="str">
        <x:f>'Vendor Options'!P192</x:f>
        <x:v>PRICED</x:v>
      </x:c>
      <x:c r="AH192" t="str">
        <x:f>'Vendor Options'!Q192</x:f>
        <x:v>ACTIVE</x:v>
      </x:c>
      <x:c r="AI192" t="str">
        <x:f>'Vendor Options'!R192</x:f>
      </x:c>
      <x:c r="AJ192" t="n">
        <x:f>'Vendor Options'!S192</x:f>
        <x:v>130</x:v>
      </x:c>
    </x:row>
    <x:row r="193" ht="15" hidden="0" customHeight="1">
      <x:c r="A193" t="str">
        <x:f>'Vendor Options'!B193</x:f>
        <x:v>SPEC-FDC7690E5163</x:v>
      </x:c>
      <x:c r="B193" t="str">
        <x:f>XLOOKUP($A193,'Specs'!$A$2:$A$164,'Specs'!$B$2:$B$164,"")</x:f>
        <x:v>LOCK</x:v>
      </x:c>
      <x:c r="C193" t="str">
        <x:f>XLOOKUP($A193,'Specs'!$A$2:$A$164,'Specs'!$C$2:$C$164,"")</x:f>
        <x:v>CYLINDRICAL LOCK</x:v>
      </x:c>
      <x:c r="D193" t="str">
        <x:f>XLOOKUP($A193,'Specs'!$A$2:$A$164,'Specs'!$D$2:$D$164,"")</x:f>
        <x:v>CYLINDRICAL</x:v>
      </x:c>
      <x:c r="E193" t="str">
        <x:f>XLOOKUP($A193,'Specs'!$A$2:$A$164,'Specs'!$E$2:$E$164,"")</x:f>
        <x:v>DORMITORY / CORRIDOR</x:v>
      </x:c>
      <x:c r="F193" t="str">
        <x:f>XLOOKUP($A193,'Specs'!$A$2:$A$164,'Specs'!$F$2:$F$164,"")</x:f>
        <x:v>STANDARD</x:v>
      </x:c>
      <x:c r="G193" t="str">
        <x:f>XLOOKUP($A193,'Specs'!$A$2:$A$164,'Specs'!$G$2:$G$164,"")</x:f>
      </x:c>
      <x:c r="H193" t="str">
        <x:f>XLOOKUP($A193,'Specs'!$A$2:$A$164,'Specs'!$H$2:$H$164,"")</x:f>
      </x:c>
      <x:c r="I193" t="str">
        <x:f>XLOOKUP($A193,'Specs'!$A$2:$A$164,'Specs'!$I$2:$I$164,"")</x:f>
      </x:c>
      <x:c r="J193" t="str">
        <x:f>XLOOKUP($A193,'Specs'!$A$2:$A$164,'Specs'!$J$2:$J$164,"")</x:f>
      </x:c>
      <x:c r="K193" t="str">
        <x:f>XLOOKUP($A193,'Specs'!$A$2:$A$164,'Specs'!$K$2:$K$164,"")</x:f>
      </x:c>
      <x:c r="L193" t="str">
        <x:f>XLOOKUP($A193,'Specs'!$A$2:$A$164,'Specs'!$L$2:$L$164,"")</x:f>
      </x:c>
      <x:c r="M193" t="n">
        <x:f>XLOOKUP($A193,'Specs'!$A$2:$A$164,'Specs'!$M$2:$M$164,"")</x:f>
        <x:v>626</x:v>
      </x:c>
      <x:c r="N193" t="str">
        <x:f>XLOOKUP($A193,'Specs'!$A$2:$A$164,'Specs'!$N$2:$N$164,"")</x:f>
      </x:c>
      <x:c r="O193" t="str">
        <x:f>XLOOKUP($A193,'Specs'!$A$2:$A$164,'Specs'!$O$2:$O$164,"")</x:f>
      </x:c>
      <x:c r="P193" t="str">
        <x:f>XLOOKUP($A193,'Specs'!$A$2:$A$164,'Specs'!$P$2:$P$164,"")</x:f>
        <x:v>HIGH</x:v>
      </x:c>
      <x:c r="Q193" s="53" t="n">
        <x:f>XLOOKUP($A193,'Specs'!$A$2:$A$164,'Specs'!$Q$2:$Q$164,"")</x:f>
        <x:v>6</x:v>
      </x:c>
      <x:c r="R193" s="53" t="n">
        <x:f>XLOOKUP($A193,'Specs'!$A$2:$A$164,'Specs'!$R$2:$R$164,"")</x:f>
        <x:v>4</x:v>
      </x:c>
      <x:c r="S193" t="str">
        <x:f>'Vendor Options'!A193</x:f>
        <x:v>OFFER-07B0F39118B2</x:v>
      </x:c>
      <x:c r="T193" t="str">
        <x:f>'Vendor Options'!C193</x:f>
        <x:v>DK</x:v>
      </x:c>
      <x:c r="U193" t="str">
        <x:f>'Vendor Options'!D193</x:f>
        <x:v>C173</x:v>
      </x:c>
      <x:c r="V193" t="str">
        <x:f>'Vendor Options'!E193</x:f>
        <x:v>F90</x:v>
      </x:c>
      <x:c r="W193" t="str">
        <x:f>'Vendor Options'!F193</x:f>
        <x:v>F90</x:v>
      </x:c>
      <x:c r="X193" t="str">
        <x:f>'Vendor Options'!G193</x:f>
        <x:v>C173-D-LR-C-*-*-10252-134-5001-1316</x:v>
      </x:c>
      <x:c r="Y193" t="str">
        <x:f>'Vendor Options'!H193</x:f>
        <x:v>C173-D-LR-C-*-*-10252-134-5001-1316</x:v>
      </x:c>
      <x:c r="Z193" t="str">
        <x:f>'Vendor Options'!I193</x:f>
      </x:c>
      <x:c r="AA193" s="54" t="n">
        <x:f>'Vendor Options'!J193</x:f>
        <x:v>921</x:v>
      </x:c>
      <x:c r="AB193" t="n">
        <x:f>'Vendor Options'!K193</x:f>
        <x:v>0</x:v>
      </x:c>
      <x:c r="AC193" s="57" t="n">
        <x:f>'Vendor Options'!L193</x:f>
        <x:v>0</x:v>
      </x:c>
      <x:c r="AD193" s="57" t="n">
        <x:f>'Vendor Options'!M193</x:f>
        <x:v>0</x:v>
      </x:c>
      <x:c r="AE193" s="54" t="n">
        <x:f>'Vendor Options'!N193</x:f>
        <x:v>921</x:v>
      </x:c>
      <x:c r="AF193" t="str">
        <x:f>'Vendor Options'!O193</x:f>
        <x:v>USD</x:v>
      </x:c>
      <x:c r="AG193" t="str">
        <x:f>'Vendor Options'!P193</x:f>
        <x:v>PRICED</x:v>
      </x:c>
      <x:c r="AH193" t="str">
        <x:f>'Vendor Options'!Q193</x:f>
        <x:v>ACTIVE</x:v>
      </x:c>
      <x:c r="AI193" t="str">
        <x:f>'Vendor Options'!R193</x:f>
      </x:c>
      <x:c r="AJ193" t="n">
        <x:f>'Vendor Options'!S193</x:f>
        <x:v>119</x:v>
      </x:c>
    </x:row>
    <x:row r="194" ht="15" hidden="0" customHeight="1">
      <x:c r="A194" t="str">
        <x:f>'Vendor Options'!B194</x:f>
        <x:v>SPEC-FDC7690E5163</x:v>
      </x:c>
      <x:c r="B194" t="str">
        <x:f>XLOOKUP($A194,'Specs'!$A$2:$A$164,'Specs'!$B$2:$B$164,"")</x:f>
        <x:v>LOCK</x:v>
      </x:c>
      <x:c r="C194" t="str">
        <x:f>XLOOKUP($A194,'Specs'!$A$2:$A$164,'Specs'!$C$2:$C$164,"")</x:f>
        <x:v>CYLINDRICAL LOCK</x:v>
      </x:c>
      <x:c r="D194" t="str">
        <x:f>XLOOKUP($A194,'Specs'!$A$2:$A$164,'Specs'!$D$2:$D$164,"")</x:f>
        <x:v>CYLINDRICAL</x:v>
      </x:c>
      <x:c r="E194" t="str">
        <x:f>XLOOKUP($A194,'Specs'!$A$2:$A$164,'Specs'!$E$2:$E$164,"")</x:f>
        <x:v>DORMITORY / CORRIDOR</x:v>
      </x:c>
      <x:c r="F194" t="str">
        <x:f>XLOOKUP($A194,'Specs'!$A$2:$A$164,'Specs'!$F$2:$F$164,"")</x:f>
        <x:v>STANDARD</x:v>
      </x:c>
      <x:c r="G194" t="str">
        <x:f>XLOOKUP($A194,'Specs'!$A$2:$A$164,'Specs'!$G$2:$G$164,"")</x:f>
      </x:c>
      <x:c r="H194" t="str">
        <x:f>XLOOKUP($A194,'Specs'!$A$2:$A$164,'Specs'!$H$2:$H$164,"")</x:f>
      </x:c>
      <x:c r="I194" t="str">
        <x:f>XLOOKUP($A194,'Specs'!$A$2:$A$164,'Specs'!$I$2:$I$164,"")</x:f>
      </x:c>
      <x:c r="J194" t="str">
        <x:f>XLOOKUP($A194,'Specs'!$A$2:$A$164,'Specs'!$J$2:$J$164,"")</x:f>
      </x:c>
      <x:c r="K194" t="str">
        <x:f>XLOOKUP($A194,'Specs'!$A$2:$A$164,'Specs'!$K$2:$K$164,"")</x:f>
      </x:c>
      <x:c r="L194" t="str">
        <x:f>XLOOKUP($A194,'Specs'!$A$2:$A$164,'Specs'!$L$2:$L$164,"")</x:f>
      </x:c>
      <x:c r="M194" t="n">
        <x:f>XLOOKUP($A194,'Specs'!$A$2:$A$164,'Specs'!$M$2:$M$164,"")</x:f>
        <x:v>626</x:v>
      </x:c>
      <x:c r="N194" t="str">
        <x:f>XLOOKUP($A194,'Specs'!$A$2:$A$164,'Specs'!$N$2:$N$164,"")</x:f>
      </x:c>
      <x:c r="O194" t="str">
        <x:f>XLOOKUP($A194,'Specs'!$A$2:$A$164,'Specs'!$O$2:$O$164,"")</x:f>
      </x:c>
      <x:c r="P194" t="str">
        <x:f>XLOOKUP($A194,'Specs'!$A$2:$A$164,'Specs'!$P$2:$P$164,"")</x:f>
        <x:v>HIGH</x:v>
      </x:c>
      <x:c r="Q194" s="53" t="n">
        <x:f>XLOOKUP($A194,'Specs'!$A$2:$A$164,'Specs'!$Q$2:$Q$164,"")</x:f>
        <x:v>6</x:v>
      </x:c>
      <x:c r="R194" s="53" t="n">
        <x:f>XLOOKUP($A194,'Specs'!$A$2:$A$164,'Specs'!$R$2:$R$164,"")</x:f>
        <x:v>4</x:v>
      </x:c>
      <x:c r="S194" t="str">
        <x:f>'Vendor Options'!A194</x:f>
        <x:v>OFFER-B8BB4E1C8C11</x:v>
      </x:c>
      <x:c r="T194" t="str">
        <x:f>'Vendor Options'!C194</x:f>
        <x:v>PHG</x:v>
      </x:c>
      <x:c r="U194" t="str">
        <x:f>'Vendor Options'!D194</x:f>
        <x:v>ES</x:v>
      </x:c>
      <x:c r="V194" t="str">
        <x:f>'Vendor Options'!E194</x:f>
        <x:v>F90</x:v>
      </x:c>
      <x:c r="W194" t="str">
        <x:f>'Vendor Options'!F194</x:f>
        <x:v>F90</x:v>
      </x:c>
      <x:c r="X194" t="str">
        <x:f>'Vendor Options'!G194</x:f>
        <x:v>ES521CT26D</x:v>
      </x:c>
      <x:c r="Y194" t="str">
        <x:f>'Vendor Options'!H194</x:f>
        <x:v>ES521CT26D ES-CT521 - Corridor (F90)</x:v>
      </x:c>
      <x:c r="Z194" t="str">
        <x:f>'Vendor Options'!I194</x:f>
      </x:c>
      <x:c r="AA194" s="54" t="n">
        <x:f>'Vendor Options'!J194</x:f>
        <x:v>111.5</x:v>
      </x:c>
      <x:c r="AB194" t="n">
        <x:f>'Vendor Options'!K194</x:f>
        <x:v>0</x:v>
      </x:c>
      <x:c r="AC194" s="57" t="n">
        <x:f>'Vendor Options'!L194</x:f>
        <x:v>0</x:v>
      </x:c>
      <x:c r="AD194" s="57" t="n">
        <x:f>'Vendor Options'!M194</x:f>
        <x:v>0</x:v>
      </x:c>
      <x:c r="AE194" s="54" t="n">
        <x:f>'Vendor Options'!N194</x:f>
        <x:v>111.5</x:v>
      </x:c>
      <x:c r="AF194" t="str">
        <x:f>'Vendor Options'!O194</x:f>
        <x:v>USD</x:v>
      </x:c>
      <x:c r="AG194" t="str">
        <x:f>'Vendor Options'!P194</x:f>
        <x:v>PRICED</x:v>
      </x:c>
      <x:c r="AH194" t="str">
        <x:f>'Vendor Options'!Q194</x:f>
        <x:v>ACTIVE</x:v>
      </x:c>
      <x:c r="AI194" t="str">
        <x:f>'Vendor Options'!R194</x:f>
      </x:c>
      <x:c r="AJ194" t="n">
        <x:f>'Vendor Options'!S194</x:f>
        <x:v>172</x:v>
      </x:c>
    </x:row>
    <x:row r="195" ht="15" hidden="0" customHeight="1">
      <x:c r="A195" t="str">
        <x:f>'Vendor Options'!B195</x:f>
        <x:v>SPEC-FDC7690E5163</x:v>
      </x:c>
      <x:c r="B195" t="str">
        <x:f>XLOOKUP($A195,'Specs'!$A$2:$A$164,'Specs'!$B$2:$B$164,"")</x:f>
        <x:v>LOCK</x:v>
      </x:c>
      <x:c r="C195" t="str">
        <x:f>XLOOKUP($A195,'Specs'!$A$2:$A$164,'Specs'!$C$2:$C$164,"")</x:f>
        <x:v>CYLINDRICAL LOCK</x:v>
      </x:c>
      <x:c r="D195" t="str">
        <x:f>XLOOKUP($A195,'Specs'!$A$2:$A$164,'Specs'!$D$2:$D$164,"")</x:f>
        <x:v>CYLINDRICAL</x:v>
      </x:c>
      <x:c r="E195" t="str">
        <x:f>XLOOKUP($A195,'Specs'!$A$2:$A$164,'Specs'!$E$2:$E$164,"")</x:f>
        <x:v>DORMITORY / CORRIDOR</x:v>
      </x:c>
      <x:c r="F195" t="str">
        <x:f>XLOOKUP($A195,'Specs'!$A$2:$A$164,'Specs'!$F$2:$F$164,"")</x:f>
        <x:v>STANDARD</x:v>
      </x:c>
      <x:c r="G195" t="str">
        <x:f>XLOOKUP($A195,'Specs'!$A$2:$A$164,'Specs'!$G$2:$G$164,"")</x:f>
      </x:c>
      <x:c r="H195" t="str">
        <x:f>XLOOKUP($A195,'Specs'!$A$2:$A$164,'Specs'!$H$2:$H$164,"")</x:f>
      </x:c>
      <x:c r="I195" t="str">
        <x:f>XLOOKUP($A195,'Specs'!$A$2:$A$164,'Specs'!$I$2:$I$164,"")</x:f>
      </x:c>
      <x:c r="J195" t="str">
        <x:f>XLOOKUP($A195,'Specs'!$A$2:$A$164,'Specs'!$J$2:$J$164,"")</x:f>
      </x:c>
      <x:c r="K195" t="str">
        <x:f>XLOOKUP($A195,'Specs'!$A$2:$A$164,'Specs'!$K$2:$K$164,"")</x:f>
      </x:c>
      <x:c r="L195" t="str">
        <x:f>XLOOKUP($A195,'Specs'!$A$2:$A$164,'Specs'!$L$2:$L$164,"")</x:f>
      </x:c>
      <x:c r="M195" t="n">
        <x:f>XLOOKUP($A195,'Specs'!$A$2:$A$164,'Specs'!$M$2:$M$164,"")</x:f>
        <x:v>626</x:v>
      </x:c>
      <x:c r="N195" t="str">
        <x:f>XLOOKUP($A195,'Specs'!$A$2:$A$164,'Specs'!$N$2:$N$164,"")</x:f>
      </x:c>
      <x:c r="O195" t="str">
        <x:f>XLOOKUP($A195,'Specs'!$A$2:$A$164,'Specs'!$O$2:$O$164,"")</x:f>
      </x:c>
      <x:c r="P195" t="str">
        <x:f>XLOOKUP($A195,'Specs'!$A$2:$A$164,'Specs'!$P$2:$P$164,"")</x:f>
        <x:v>HIGH</x:v>
      </x:c>
      <x:c r="Q195" s="53" t="n">
        <x:f>XLOOKUP($A195,'Specs'!$A$2:$A$164,'Specs'!$Q$2:$Q$164,"")</x:f>
        <x:v>6</x:v>
      </x:c>
      <x:c r="R195" s="53" t="n">
        <x:f>XLOOKUP($A195,'Specs'!$A$2:$A$164,'Specs'!$R$2:$R$164,"")</x:f>
        <x:v>4</x:v>
      </x:c>
      <x:c r="S195" t="str">
        <x:f>'Vendor Options'!A195</x:f>
        <x:v>OFFER-B12806FEEFE9</x:v>
      </x:c>
      <x:c r="T195" t="str">
        <x:f>'Vendor Options'!C195</x:f>
        <x:v>PHG</x:v>
      </x:c>
      <x:c r="U195" t="str">
        <x:f>'Vendor Options'!D195</x:f>
        <x:v>FC</x:v>
      </x:c>
      <x:c r="V195" t="str">
        <x:f>'Vendor Options'!E195</x:f>
        <x:v>F90</x:v>
      </x:c>
      <x:c r="W195" t="str">
        <x:f>'Vendor Options'!F195</x:f>
        <x:v>F90</x:v>
      </x:c>
      <x:c r="X195" t="str">
        <x:f>'Vendor Options'!G195</x:f>
        <x:v>FC521CT26D</x:v>
      </x:c>
      <x:c r="Y195" t="str">
        <x:f>'Vendor Options'!H195</x:f>
        <x:v>FC521CT26D FC-CT521 - Corridor (F90)</x:v>
      </x:c>
      <x:c r="Z195" t="str">
        <x:f>'Vendor Options'!I195</x:f>
      </x:c>
      <x:c r="AA195" s="54" t="n">
        <x:f>'Vendor Options'!J195</x:f>
        <x:v>202.76</x:v>
      </x:c>
      <x:c r="AB195" t="str">
        <x:f>'Vendor Options'!K195</x:f>
      </x:c>
      <x:c r="AC195" s="57" t="n">
        <x:f>'Vendor Options'!L195</x:f>
        <x:v>0</x:v>
      </x:c>
      <x:c r="AD195" s="57" t="n">
        <x:f>'Vendor Options'!M195</x:f>
        <x:v>0</x:v>
      </x:c>
      <x:c r="AE195" s="54" t="n">
        <x:f>'Vendor Options'!N195</x:f>
        <x:v>202.76</x:v>
      </x:c>
      <x:c r="AF195" t="str">
        <x:f>'Vendor Options'!O195</x:f>
        <x:v>USD</x:v>
      </x:c>
      <x:c r="AG195" t="str">
        <x:f>'Vendor Options'!P195</x:f>
        <x:v>PRICED</x:v>
      </x:c>
      <x:c r="AH195" t="str">
        <x:f>'Vendor Options'!Q195</x:f>
        <x:v>ACTIVE</x:v>
      </x:c>
      <x:c r="AI195" t="str">
        <x:f>'Vendor Options'!R195</x:f>
      </x:c>
      <x:c r="AJ195" t="n">
        <x:f>'Vendor Options'!S195</x:f>
        <x:v>155</x:v>
      </x:c>
    </x:row>
    <x:row r="196" ht="15" hidden="0" customHeight="1">
      <x:c r="A196" t="str">
        <x:f>'Vendor Options'!B196</x:f>
        <x:v>SPEC-E99F2405E5BB</x:v>
      </x:c>
      <x:c r="B196" t="str">
        <x:f>XLOOKUP($A196,'Specs'!$A$2:$A$164,'Specs'!$B$2:$B$164,"")</x:f>
        <x:v>LOCK</x:v>
      </x:c>
      <x:c r="C196" t="str">
        <x:f>XLOOKUP($A196,'Specs'!$A$2:$A$164,'Specs'!$C$2:$C$164,"")</x:f>
        <x:v>CYLINDRICAL LOCK</x:v>
      </x:c>
      <x:c r="D196" t="str">
        <x:f>XLOOKUP($A196,'Specs'!$A$2:$A$164,'Specs'!$D$2:$D$164,"")</x:f>
        <x:v>CYLINDRICAL</x:v>
      </x:c>
      <x:c r="E196" t="str">
        <x:f>XLOOKUP($A196,'Specs'!$A$2:$A$164,'Specs'!$E$2:$E$164,"")</x:f>
        <x:v>ENTRY</x:v>
      </x:c>
      <x:c r="F196" t="str">
        <x:f>XLOOKUP($A196,'Specs'!$A$2:$A$164,'Specs'!$F$2:$F$164,"")</x:f>
        <x:v>LFIC</x:v>
      </x:c>
      <x:c r="G196" t="str">
        <x:f>XLOOKUP($A196,'Specs'!$A$2:$A$164,'Specs'!$G$2:$G$164,"")</x:f>
      </x:c>
      <x:c r="H196" t="str">
        <x:f>XLOOKUP($A196,'Specs'!$A$2:$A$164,'Specs'!$H$2:$H$164,"")</x:f>
      </x:c>
      <x:c r="I196" t="str">
        <x:f>XLOOKUP($A196,'Specs'!$A$2:$A$164,'Specs'!$I$2:$I$164,"")</x:f>
      </x:c>
      <x:c r="J196" t="str">
        <x:f>XLOOKUP($A196,'Specs'!$A$2:$A$164,'Specs'!$J$2:$J$164,"")</x:f>
      </x:c>
      <x:c r="K196" t="str">
        <x:f>XLOOKUP($A196,'Specs'!$A$2:$A$164,'Specs'!$K$2:$K$164,"")</x:f>
      </x:c>
      <x:c r="L196" t="str">
        <x:f>XLOOKUP($A196,'Specs'!$A$2:$A$164,'Specs'!$L$2:$L$164,"")</x:f>
      </x:c>
      <x:c r="M196" t="n">
        <x:f>XLOOKUP($A196,'Specs'!$A$2:$A$164,'Specs'!$M$2:$M$164,"")</x:f>
        <x:v>626</x:v>
      </x:c>
      <x:c r="N196" t="str">
        <x:f>XLOOKUP($A196,'Specs'!$A$2:$A$164,'Specs'!$N$2:$N$164,"")</x:f>
      </x:c>
      <x:c r="O196" t="str">
        <x:f>XLOOKUP($A196,'Specs'!$A$2:$A$164,'Specs'!$O$2:$O$164,"")</x:f>
      </x:c>
      <x:c r="P196" t="str">
        <x:f>XLOOKUP($A196,'Specs'!$A$2:$A$164,'Specs'!$P$2:$P$164,"")</x:f>
        <x:v>HIGH</x:v>
      </x:c>
      <x:c r="Q196" s="53" t="n">
        <x:f>XLOOKUP($A196,'Specs'!$A$2:$A$164,'Specs'!$Q$2:$Q$164,"")</x:f>
        <x:v>2</x:v>
      </x:c>
      <x:c r="R196" s="53" t="n">
        <x:f>XLOOKUP($A196,'Specs'!$A$2:$A$164,'Specs'!$R$2:$R$164,"")</x:f>
        <x:v>2</x:v>
      </x:c>
      <x:c r="S196" t="str">
        <x:f>'Vendor Options'!A196</x:f>
        <x:v>OFFER-679DE7412EBF</x:v>
      </x:c>
      <x:c r="T196" t="str">
        <x:f>'Vendor Options'!C196</x:f>
        <x:v>BST</x:v>
      </x:c>
      <x:c r="U196" t="str">
        <x:f>'Vendor Options'!D196</x:f>
        <x:v>9K</x:v>
      </x:c>
      <x:c r="V196" t="str">
        <x:f>'Vendor Options'!E196</x:f>
        <x:v>AB</x:v>
      </x:c>
      <x:c r="W196" t="str">
        <x:f>'Vendor Options'!F196</x:f>
        <x:v>AB</x:v>
      </x:c>
      <x:c r="X196" t="str">
        <x:f>'Vendor Options'!G196</x:f>
        <x:v>9K-3-7-AB-15-C3-STK-626 LFIC</x:v>
      </x:c>
      <x:c r="Y196" t="str">
        <x:f>'Vendor Options'!H196</x:f>
        <x:v>9K-3-7-AB-15-C3-STK-626 LFIC</x:v>
      </x:c>
      <x:c r="Z196" t="str">
        <x:f>'Vendor Options'!I196</x:f>
      </x:c>
      <x:c r="AA196" s="54" t="n">
        <x:f>'Vendor Options'!J196</x:f>
        <x:v>1097</x:v>
      </x:c>
      <x:c r="AB196" t="str">
        <x:f>'Vendor Options'!K196</x:f>
        <x:v>0.24</x:v>
      </x:c>
      <x:c r="AC196" s="57" t="n">
        <x:f>'Vendor Options'!L196</x:f>
        <x:v>0.24</x:v>
      </x:c>
      <x:c r="AD196" s="57" t="n">
        <x:f>'Vendor Options'!M196</x:f>
        <x:v>0</x:v>
      </x:c>
      <x:c r="AE196" s="54" t="n">
        <x:f>'Vendor Options'!N196</x:f>
        <x:v>833.72</x:v>
      </x:c>
      <x:c r="AF196" t="str">
        <x:f>'Vendor Options'!O196</x:f>
        <x:v>USD</x:v>
      </x:c>
      <x:c r="AG196" t="str">
        <x:f>'Vendor Options'!P196</x:f>
        <x:v>PRICED</x:v>
      </x:c>
      <x:c r="AH196" t="str">
        <x:f>'Vendor Options'!Q196</x:f>
        <x:v>ACTIVE</x:v>
      </x:c>
      <x:c r="AI196" t="str">
        <x:f>'Vendor Options'!R196</x:f>
      </x:c>
      <x:c r="AJ196" t="n">
        <x:f>'Vendor Options'!S196</x:f>
        <x:v>117</x:v>
      </x:c>
    </x:row>
    <x:row r="197" ht="15" hidden="0" customHeight="1">
      <x:c r="A197" t="str">
        <x:f>'Vendor Options'!B197</x:f>
        <x:v>SPEC-95A42CF7F9AC</x:v>
      </x:c>
      <x:c r="B197" t="str">
        <x:f>XLOOKUP($A197,'Specs'!$A$2:$A$164,'Specs'!$B$2:$B$164,"")</x:f>
        <x:v>LOCK</x:v>
      </x:c>
      <x:c r="C197" t="str">
        <x:f>XLOOKUP($A197,'Specs'!$A$2:$A$164,'Specs'!$C$2:$C$164,"")</x:f>
        <x:v>CYLINDRICAL LOCK</x:v>
      </x:c>
      <x:c r="D197" t="str">
        <x:f>XLOOKUP($A197,'Specs'!$A$2:$A$164,'Specs'!$D$2:$D$164,"")</x:f>
        <x:v>CYLINDRICAL</x:v>
      </x:c>
      <x:c r="E197" t="str">
        <x:f>XLOOKUP($A197,'Specs'!$A$2:$A$164,'Specs'!$E$2:$E$164,"")</x:f>
        <x:v>ENTRY</x:v>
      </x:c>
      <x:c r="F197" t="str">
        <x:f>XLOOKUP($A197,'Specs'!$A$2:$A$164,'Specs'!$F$2:$F$164,"")</x:f>
        <x:v>LFIC</x:v>
      </x:c>
      <x:c r="G197" t="str">
        <x:f>XLOOKUP($A197,'Specs'!$A$2:$A$164,'Specs'!$G$2:$G$164,"")</x:f>
      </x:c>
      <x:c r="H197" t="str">
        <x:f>XLOOKUP($A197,'Specs'!$A$2:$A$164,'Specs'!$H$2:$H$164,"")</x:f>
      </x:c>
      <x:c r="I197" t="str">
        <x:f>XLOOKUP($A197,'Specs'!$A$2:$A$164,'Specs'!$I$2:$I$164,"")</x:f>
      </x:c>
      <x:c r="J197" t="str">
        <x:f>XLOOKUP($A197,'Specs'!$A$2:$A$164,'Specs'!$J$2:$J$164,"")</x:f>
      </x:c>
      <x:c r="K197" t="str">
        <x:f>XLOOKUP($A197,'Specs'!$A$2:$A$164,'Specs'!$K$2:$K$164,"")</x:f>
      </x:c>
      <x:c r="L197" t="str">
        <x:f>XLOOKUP($A197,'Specs'!$A$2:$A$164,'Specs'!$L$2:$L$164,"")</x:f>
      </x:c>
      <x:c r="M197" t="n">
        <x:f>XLOOKUP($A197,'Specs'!$A$2:$A$164,'Specs'!$M$2:$M$164,"")</x:f>
        <x:v>626</x:v>
      </x:c>
      <x:c r="N197" t="str">
        <x:f>XLOOKUP($A197,'Specs'!$A$2:$A$164,'Specs'!$N$2:$N$164,"")</x:f>
        <x:v>FAIL SECURE</x:v>
      </x:c>
      <x:c r="O197" t="str">
        <x:f>XLOOKUP($A197,'Specs'!$A$2:$A$164,'Specs'!$O$2:$O$164,"")</x:f>
      </x:c>
      <x:c r="P197" t="str">
        <x:f>XLOOKUP($A197,'Specs'!$A$2:$A$164,'Specs'!$P$2:$P$164,"")</x:f>
        <x:v>HIGH</x:v>
      </x:c>
      <x:c r="Q197" s="53" t="n">
        <x:f>XLOOKUP($A197,'Specs'!$A$2:$A$164,'Specs'!$Q$2:$Q$164,"")</x:f>
        <x:v>1</x:v>
      </x:c>
      <x:c r="R197" s="53" t="n">
        <x:f>XLOOKUP($A197,'Specs'!$A$2:$A$164,'Specs'!$R$2:$R$164,"")</x:f>
        <x:v>1</x:v>
      </x:c>
      <x:c r="S197" t="str">
        <x:f>'Vendor Options'!A197</x:f>
        <x:v>OFFER-FE4BDC399484</x:v>
      </x:c>
      <x:c r="T197" t="str">
        <x:f>'Vendor Options'!C197</x:f>
        <x:v>PHG</x:v>
      </x:c>
      <x:c r="U197" t="str">
        <x:f>'Vendor Options'!D197</x:f>
        <x:v>FC-EL-ICS</x:v>
      </x:c>
      <x:c r="V197" t="str">
        <x:f>'Vendor Options'!E197</x:f>
        <x:v>F86</x:v>
      </x:c>
      <x:c r="W197" t="str">
        <x:f>'Vendor Options'!F197</x:f>
        <x:v>F86</x:v>
      </x:c>
      <x:c r="X197" t="str">
        <x:f>'Vendor Options'!G197</x:f>
        <x:v>FC500CT26DEUICS</x:v>
      </x:c>
      <x:c r="Y197" t="str">
        <x:f>'Vendor Options'!H197</x:f>
        <x:v>FC500CT26DEUICS FC-CT500 - Electrified - EU (Fail Secure) - ICS</x:v>
      </x:c>
      <x:c r="Z197" t="str">
        <x:f>'Vendor Options'!I197</x:f>
      </x:c>
      <x:c r="AA197" s="54" t="n">
        <x:f>'Vendor Options'!J197</x:f>
        <x:v>394.99</x:v>
      </x:c>
      <x:c r="AB197" t="n">
        <x:f>'Vendor Options'!K197</x:f>
        <x:v>0</x:v>
      </x:c>
      <x:c r="AC197" s="57" t="n">
        <x:f>'Vendor Options'!L197</x:f>
        <x:v>0</x:v>
      </x:c>
      <x:c r="AD197" s="57" t="n">
        <x:f>'Vendor Options'!M197</x:f>
        <x:v>0</x:v>
      </x:c>
      <x:c r="AE197" s="54" t="n">
        <x:f>'Vendor Options'!N197</x:f>
        <x:v>394.99</x:v>
      </x:c>
      <x:c r="AF197" t="str">
        <x:f>'Vendor Options'!O197</x:f>
        <x:v>USD</x:v>
      </x:c>
      <x:c r="AG197" t="str">
        <x:f>'Vendor Options'!P197</x:f>
        <x:v>PRICED</x:v>
      </x:c>
      <x:c r="AH197" t="str">
        <x:f>'Vendor Options'!Q197</x:f>
        <x:v>ACTIVE</x:v>
      </x:c>
      <x:c r="AI197" t="str">
        <x:f>'Vendor Options'!R197</x:f>
      </x:c>
      <x:c r="AJ197" t="n">
        <x:f>'Vendor Options'!S197</x:f>
        <x:v>170</x:v>
      </x:c>
    </x:row>
    <x:row r="198" ht="15" hidden="0" customHeight="1">
      <x:c r="A198" t="str">
        <x:f>'Vendor Options'!B198</x:f>
        <x:v>SPEC-E99F2405E5BB</x:v>
      </x:c>
      <x:c r="B198" t="str">
        <x:f>XLOOKUP($A198,'Specs'!$A$2:$A$164,'Specs'!$B$2:$B$164,"")</x:f>
        <x:v>LOCK</x:v>
      </x:c>
      <x:c r="C198" t="str">
        <x:f>XLOOKUP($A198,'Specs'!$A$2:$A$164,'Specs'!$C$2:$C$164,"")</x:f>
        <x:v>CYLINDRICAL LOCK</x:v>
      </x:c>
      <x:c r="D198" t="str">
        <x:f>XLOOKUP($A198,'Specs'!$A$2:$A$164,'Specs'!$D$2:$D$164,"")</x:f>
        <x:v>CYLINDRICAL</x:v>
      </x:c>
      <x:c r="E198" t="str">
        <x:f>XLOOKUP($A198,'Specs'!$A$2:$A$164,'Specs'!$E$2:$E$164,"")</x:f>
        <x:v>ENTRY</x:v>
      </x:c>
      <x:c r="F198" t="str">
        <x:f>XLOOKUP($A198,'Specs'!$A$2:$A$164,'Specs'!$F$2:$F$164,"")</x:f>
        <x:v>LFIC</x:v>
      </x:c>
      <x:c r="G198" t="str">
        <x:f>XLOOKUP($A198,'Specs'!$A$2:$A$164,'Specs'!$G$2:$G$164,"")</x:f>
      </x:c>
      <x:c r="H198" t="str">
        <x:f>XLOOKUP($A198,'Specs'!$A$2:$A$164,'Specs'!$H$2:$H$164,"")</x:f>
      </x:c>
      <x:c r="I198" t="str">
        <x:f>XLOOKUP($A198,'Specs'!$A$2:$A$164,'Specs'!$I$2:$I$164,"")</x:f>
      </x:c>
      <x:c r="J198" t="str">
        <x:f>XLOOKUP($A198,'Specs'!$A$2:$A$164,'Specs'!$J$2:$J$164,"")</x:f>
      </x:c>
      <x:c r="K198" t="str">
        <x:f>XLOOKUP($A198,'Specs'!$A$2:$A$164,'Specs'!$K$2:$K$164,"")</x:f>
      </x:c>
      <x:c r="L198" t="str">
        <x:f>XLOOKUP($A198,'Specs'!$A$2:$A$164,'Specs'!$L$2:$L$164,"")</x:f>
      </x:c>
      <x:c r="M198" t="n">
        <x:f>XLOOKUP($A198,'Specs'!$A$2:$A$164,'Specs'!$M$2:$M$164,"")</x:f>
        <x:v>626</x:v>
      </x:c>
      <x:c r="N198" t="str">
        <x:f>XLOOKUP($A198,'Specs'!$A$2:$A$164,'Specs'!$N$2:$N$164,"")</x:f>
      </x:c>
      <x:c r="O198" t="str">
        <x:f>XLOOKUP($A198,'Specs'!$A$2:$A$164,'Specs'!$O$2:$O$164,"")</x:f>
      </x:c>
      <x:c r="P198" t="str">
        <x:f>XLOOKUP($A198,'Specs'!$A$2:$A$164,'Specs'!$P$2:$P$164,"")</x:f>
        <x:v>HIGH</x:v>
      </x:c>
      <x:c r="Q198" s="53" t="n">
        <x:f>XLOOKUP($A198,'Specs'!$A$2:$A$164,'Specs'!$Q$2:$Q$164,"")</x:f>
        <x:v>2</x:v>
      </x:c>
      <x:c r="R198" s="53" t="n">
        <x:f>XLOOKUP($A198,'Specs'!$A$2:$A$164,'Specs'!$R$2:$R$164,"")</x:f>
        <x:v>2</x:v>
      </x:c>
      <x:c r="S198" t="str">
        <x:f>'Vendor Options'!A198</x:f>
        <x:v>OFFER-9497C6E540A4</x:v>
      </x:c>
      <x:c r="T198" t="str">
        <x:f>'Vendor Options'!C198</x:f>
        <x:v>PHG</x:v>
      </x:c>
      <x:c r="U198" t="str">
        <x:f>'Vendor Options'!D198</x:f>
        <x:v>FC-ICS</x:v>
      </x:c>
      <x:c r="V198" t="str">
        <x:f>'Vendor Options'!E198</x:f>
        <x:v>F109-82</x:v>
      </x:c>
      <x:c r="W198" t="str">
        <x:f>'Vendor Options'!F198</x:f>
        <x:v>F109-82</x:v>
      </x:c>
      <x:c r="X198" t="str">
        <x:f>'Vendor Options'!G198</x:f>
        <x:v>FC500CT26DICS</x:v>
      </x:c>
      <x:c r="Y198" t="str">
        <x:f>'Vendor Options'!H198</x:f>
        <x:v>FC500CT26DICS FC-CT500 - Entry (F109) - ICS</x:v>
      </x:c>
      <x:c r="Z198" t="str">
        <x:f>'Vendor Options'!I198</x:f>
      </x:c>
      <x:c r="AA198" s="54" t="n">
        <x:f>'Vendor Options'!J198</x:f>
        <x:v>210.89</x:v>
      </x:c>
      <x:c r="AB198" t="str">
        <x:f>'Vendor Options'!K198</x:f>
      </x:c>
      <x:c r="AC198" s="57" t="n">
        <x:f>'Vendor Options'!L198</x:f>
        <x:v>0</x:v>
      </x:c>
      <x:c r="AD198" s="57" t="n">
        <x:f>'Vendor Options'!M198</x:f>
        <x:v>0</x:v>
      </x:c>
      <x:c r="AE198" s="54" t="n">
        <x:f>'Vendor Options'!N198</x:f>
        <x:v>210.89</x:v>
      </x:c>
      <x:c r="AF198" t="str">
        <x:f>'Vendor Options'!O198</x:f>
        <x:v>USD</x:v>
      </x:c>
      <x:c r="AG198" t="str">
        <x:f>'Vendor Options'!P198</x:f>
        <x:v>PRICED</x:v>
      </x:c>
      <x:c r="AH198" t="str">
        <x:f>'Vendor Options'!Q198</x:f>
        <x:v>ACTIVE</x:v>
      </x:c>
      <x:c r="AI198" t="str">
        <x:f>'Vendor Options'!R198</x:f>
      </x:c>
      <x:c r="AJ198" t="n">
        <x:f>'Vendor Options'!S198</x:f>
        <x:v>166</x:v>
      </x:c>
    </x:row>
    <x:row r="199" ht="15" hidden="0" customHeight="1">
      <x:c r="A199" t="str">
        <x:f>'Vendor Options'!B199</x:f>
        <x:v>SPEC-1B29D52847DA</x:v>
      </x:c>
      <x:c r="B199" t="str">
        <x:f>XLOOKUP($A199,'Specs'!$A$2:$A$164,'Specs'!$B$2:$B$164,"")</x:f>
        <x:v>LOCK</x:v>
      </x:c>
      <x:c r="C199" t="str">
        <x:f>XLOOKUP($A199,'Specs'!$A$2:$A$164,'Specs'!$C$2:$C$164,"")</x:f>
        <x:v>CYLINDRICAL LOCK</x:v>
      </x:c>
      <x:c r="D199" t="str">
        <x:f>XLOOKUP($A199,'Specs'!$A$2:$A$164,'Specs'!$D$2:$D$164,"")</x:f>
        <x:v>CYLINDRICAL</x:v>
      </x:c>
      <x:c r="E199" t="str">
        <x:f>XLOOKUP($A199,'Specs'!$A$2:$A$164,'Specs'!$E$2:$E$164,"")</x:f>
        <x:v>ENTRY</x:v>
      </x:c>
      <x:c r="F199" t="str">
        <x:f>XLOOKUP($A199,'Specs'!$A$2:$A$164,'Specs'!$F$2:$F$164,"")</x:f>
        <x:v>SFIC</x:v>
      </x:c>
      <x:c r="G199" t="str">
        <x:f>XLOOKUP($A199,'Specs'!$A$2:$A$164,'Specs'!$G$2:$G$164,"")</x:f>
      </x:c>
      <x:c r="H199" t="str">
        <x:f>XLOOKUP($A199,'Specs'!$A$2:$A$164,'Specs'!$H$2:$H$164,"")</x:f>
      </x:c>
      <x:c r="I199" t="str">
        <x:f>XLOOKUP($A199,'Specs'!$A$2:$A$164,'Specs'!$I$2:$I$164,"")</x:f>
      </x:c>
      <x:c r="J199" t="str">
        <x:f>XLOOKUP($A199,'Specs'!$A$2:$A$164,'Specs'!$J$2:$J$164,"")</x:f>
      </x:c>
      <x:c r="K199" t="str">
        <x:f>XLOOKUP($A199,'Specs'!$A$2:$A$164,'Specs'!$K$2:$K$164,"")</x:f>
      </x:c>
      <x:c r="L199" t="str">
        <x:f>XLOOKUP($A199,'Specs'!$A$2:$A$164,'Specs'!$L$2:$L$164,"")</x:f>
      </x:c>
      <x:c r="M199" t="n">
        <x:f>XLOOKUP($A199,'Specs'!$A$2:$A$164,'Specs'!$M$2:$M$164,"")</x:f>
        <x:v>626</x:v>
      </x:c>
      <x:c r="N199" t="str">
        <x:f>XLOOKUP($A199,'Specs'!$A$2:$A$164,'Specs'!$N$2:$N$164,"")</x:f>
      </x:c>
      <x:c r="O199" t="str">
        <x:f>XLOOKUP($A199,'Specs'!$A$2:$A$164,'Specs'!$O$2:$O$164,"")</x:f>
      </x:c>
      <x:c r="P199" t="str">
        <x:f>XLOOKUP($A199,'Specs'!$A$2:$A$164,'Specs'!$P$2:$P$164,"")</x:f>
        <x:v>HIGH</x:v>
      </x:c>
      <x:c r="Q199" s="53" t="n">
        <x:f>XLOOKUP($A199,'Specs'!$A$2:$A$164,'Specs'!$Q$2:$Q$164,"")</x:f>
        <x:v>8</x:v>
      </x:c>
      <x:c r="R199" s="53" t="n">
        <x:f>XLOOKUP($A199,'Specs'!$A$2:$A$164,'Specs'!$R$2:$R$164,"")</x:f>
        <x:v>4</x:v>
      </x:c>
      <x:c r="S199" t="str">
        <x:f>'Vendor Options'!A199</x:f>
        <x:v>OFFER-BA0BD7B741FF</x:v>
      </x:c>
      <x:c r="T199" t="str">
        <x:f>'Vendor Options'!C199</x:f>
        <x:v>BST</x:v>
      </x:c>
      <x:c r="U199" t="str">
        <x:f>'Vendor Options'!D199</x:f>
        <x:v>9K</x:v>
      </x:c>
      <x:c r="V199" t="str">
        <x:f>'Vendor Options'!E199</x:f>
        <x:v>AB</x:v>
      </x:c>
      <x:c r="W199" t="str">
        <x:f>'Vendor Options'!F199</x:f>
        <x:v>AB</x:v>
      </x:c>
      <x:c r="X199" t="str">
        <x:f>'Vendor Options'!G199</x:f>
        <x:v>9K-3-7-AB-15-C3-STK-626 SFIC</x:v>
      </x:c>
      <x:c r="Y199" t="str">
        <x:f>'Vendor Options'!H199</x:f>
        <x:v>9K-3-7-AB-15-C3-STK-626 SFIC</x:v>
      </x:c>
      <x:c r="Z199" t="n">
        <x:f>'Vendor Options'!I199</x:f>
        <x:v>0</x:v>
      </x:c>
      <x:c r="AA199" s="54" t="n">
        <x:f>'Vendor Options'!J199</x:f>
        <x:v>1097</x:v>
      </x:c>
      <x:c r="AB199" t="str">
        <x:f>'Vendor Options'!K199</x:f>
        <x:v>0.24</x:v>
      </x:c>
      <x:c r="AC199" s="57" t="n">
        <x:f>'Vendor Options'!L199</x:f>
        <x:v>0.24</x:v>
      </x:c>
      <x:c r="AD199" s="57" t="n">
        <x:f>'Vendor Options'!M199</x:f>
        <x:v>0</x:v>
      </x:c>
      <x:c r="AE199" s="54" t="n">
        <x:f>'Vendor Options'!N199</x:f>
        <x:v>833.72</x:v>
      </x:c>
      <x:c r="AF199" t="str">
        <x:f>'Vendor Options'!O199</x:f>
        <x:v>USD</x:v>
      </x:c>
      <x:c r="AG199" t="str">
        <x:f>'Vendor Options'!P199</x:f>
        <x:v>PRICED</x:v>
      </x:c>
      <x:c r="AH199" t="str">
        <x:f>'Vendor Options'!Q199</x:f>
        <x:v>ACTIVE</x:v>
      </x:c>
      <x:c r="AI199" t="str">
        <x:f>'Vendor Options'!R199</x:f>
      </x:c>
      <x:c r="AJ199" t="n">
        <x:f>'Vendor Options'!S199</x:f>
        <x:v>116</x:v>
      </x:c>
    </x:row>
    <x:row r="200" ht="15" hidden="0" customHeight="1">
      <x:c r="A200" t="str">
        <x:f>'Vendor Options'!B200</x:f>
        <x:v>SPEC-1B29D52847DA</x:v>
      </x:c>
      <x:c r="B200" t="str">
        <x:f>XLOOKUP($A200,'Specs'!$A$2:$A$164,'Specs'!$B$2:$B$164,"")</x:f>
        <x:v>LOCK</x:v>
      </x:c>
      <x:c r="C200" t="str">
        <x:f>XLOOKUP($A200,'Specs'!$A$2:$A$164,'Specs'!$C$2:$C$164,"")</x:f>
        <x:v>CYLINDRICAL LOCK</x:v>
      </x:c>
      <x:c r="D200" t="str">
        <x:f>XLOOKUP($A200,'Specs'!$A$2:$A$164,'Specs'!$D$2:$D$164,"")</x:f>
        <x:v>CYLINDRICAL</x:v>
      </x:c>
      <x:c r="E200" t="str">
        <x:f>XLOOKUP($A200,'Specs'!$A$2:$A$164,'Specs'!$E$2:$E$164,"")</x:f>
        <x:v>ENTRY</x:v>
      </x:c>
      <x:c r="F200" t="str">
        <x:f>XLOOKUP($A200,'Specs'!$A$2:$A$164,'Specs'!$F$2:$F$164,"")</x:f>
        <x:v>SFIC</x:v>
      </x:c>
      <x:c r="G200" t="str">
        <x:f>XLOOKUP($A200,'Specs'!$A$2:$A$164,'Specs'!$G$2:$G$164,"")</x:f>
      </x:c>
      <x:c r="H200" t="str">
        <x:f>XLOOKUP($A200,'Specs'!$A$2:$A$164,'Specs'!$H$2:$H$164,"")</x:f>
      </x:c>
      <x:c r="I200" t="str">
        <x:f>XLOOKUP($A200,'Specs'!$A$2:$A$164,'Specs'!$I$2:$I$164,"")</x:f>
      </x:c>
      <x:c r="J200" t="str">
        <x:f>XLOOKUP($A200,'Specs'!$A$2:$A$164,'Specs'!$J$2:$J$164,"")</x:f>
      </x:c>
      <x:c r="K200" t="str">
        <x:f>XLOOKUP($A200,'Specs'!$A$2:$A$164,'Specs'!$K$2:$K$164,"")</x:f>
      </x:c>
      <x:c r="L200" t="str">
        <x:f>XLOOKUP($A200,'Specs'!$A$2:$A$164,'Specs'!$L$2:$L$164,"")</x:f>
      </x:c>
      <x:c r="M200" t="n">
        <x:f>XLOOKUP($A200,'Specs'!$A$2:$A$164,'Specs'!$M$2:$M$164,"")</x:f>
        <x:v>626</x:v>
      </x:c>
      <x:c r="N200" t="str">
        <x:f>XLOOKUP($A200,'Specs'!$A$2:$A$164,'Specs'!$N$2:$N$164,"")</x:f>
      </x:c>
      <x:c r="O200" t="str">
        <x:f>XLOOKUP($A200,'Specs'!$A$2:$A$164,'Specs'!$O$2:$O$164,"")</x:f>
      </x:c>
      <x:c r="P200" t="str">
        <x:f>XLOOKUP($A200,'Specs'!$A$2:$A$164,'Specs'!$P$2:$P$164,"")</x:f>
        <x:v>HIGH</x:v>
      </x:c>
      <x:c r="Q200" s="53" t="n">
        <x:f>XLOOKUP($A200,'Specs'!$A$2:$A$164,'Specs'!$Q$2:$Q$164,"")</x:f>
        <x:v>8</x:v>
      </x:c>
      <x:c r="R200" s="53" t="n">
        <x:f>XLOOKUP($A200,'Specs'!$A$2:$A$164,'Specs'!$R$2:$R$164,"")</x:f>
        <x:v>4</x:v>
      </x:c>
      <x:c r="S200" t="str">
        <x:f>'Vendor Options'!A200</x:f>
        <x:v>OFFER-04A72A153D2B</x:v>
      </x:c>
      <x:c r="T200" t="str">
        <x:f>'Vendor Options'!C200</x:f>
        <x:v>DH</x:v>
      </x:c>
      <x:c r="U200" t="str">
        <x:f>'Vendor Options'!D200</x:f>
        <x:v>J-82 SFIC</x:v>
      </x:c>
      <x:c r="V200" t="str">
        <x:f>'Vendor Options'!E200</x:f>
        <x:v>F82</x:v>
      </x:c>
      <x:c r="W200" t="str">
        <x:f>'Vendor Options'!F200</x:f>
        <x:v>F82</x:v>
      </x:c>
      <x:c r="X200" t="str">
        <x:f>'Vendor Options'!G200</x:f>
        <x:v>78093755</x:v>
      </x:c>
      <x:c r="Y200" t="str">
        <x:f>'Vendor Options'!H200</x:f>
        <x:v>78093755 - J-82IC - F - Entry Function (SFIC - no core)</x:v>
      </x:c>
      <x:c r="Z200" t="n">
        <x:f>'Vendor Options'!I200</x:f>
        <x:v>0</x:v>
      </x:c>
      <x:c r="AA200" s="54" t="n">
        <x:f>'Vendor Options'!J200</x:f>
        <x:v>0</x:v>
      </x:c>
      <x:c r="AB200" t="n">
        <x:f>'Vendor Options'!K200</x:f>
        <x:v>0</x:v>
      </x:c>
      <x:c r="AC200" s="57" t="n">
        <x:f>'Vendor Options'!L200</x:f>
        <x:v>0</x:v>
      </x:c>
      <x:c r="AD200" s="57" t="n">
        <x:f>'Vendor Options'!M200</x:f>
        <x:v>0</x:v>
      </x:c>
      <x:c r="AE200" s="54" t="str">
        <x:f>'Vendor Options'!N200</x:f>
      </x:c>
      <x:c r="AF200" t="str">
        <x:f>'Vendor Options'!O200</x:f>
        <x:v>USD</x:v>
      </x:c>
      <x:c r="AG200" t="str">
        <x:f>'Vendor Options'!P200</x:f>
        <x:v>UNPRICED</x:v>
      </x:c>
      <x:c r="AH200" t="str">
        <x:f>'Vendor Options'!Q200</x:f>
        <x:v>ACTIVE</x:v>
      </x:c>
      <x:c r="AI200" t="str">
        <x:f>'Vendor Options'!R200</x:f>
        <x:v>MISSING_PRICE</x:v>
      </x:c>
      <x:c r="AJ200" t="n">
        <x:f>'Vendor Options'!S200</x:f>
        <x:v>153</x:v>
      </x:c>
    </x:row>
    <x:row r="201" ht="15" hidden="0" customHeight="1">
      <x:c r="A201" t="str">
        <x:f>'Vendor Options'!B201</x:f>
        <x:v>SPEC-1B29D52847DA</x:v>
      </x:c>
      <x:c r="B201" t="str">
        <x:f>XLOOKUP($A201,'Specs'!$A$2:$A$164,'Specs'!$B$2:$B$164,"")</x:f>
        <x:v>LOCK</x:v>
      </x:c>
      <x:c r="C201" t="str">
        <x:f>XLOOKUP($A201,'Specs'!$A$2:$A$164,'Specs'!$C$2:$C$164,"")</x:f>
        <x:v>CYLINDRICAL LOCK</x:v>
      </x:c>
      <x:c r="D201" t="str">
        <x:f>XLOOKUP($A201,'Specs'!$A$2:$A$164,'Specs'!$D$2:$D$164,"")</x:f>
        <x:v>CYLINDRICAL</x:v>
      </x:c>
      <x:c r="E201" t="str">
        <x:f>XLOOKUP($A201,'Specs'!$A$2:$A$164,'Specs'!$E$2:$E$164,"")</x:f>
        <x:v>ENTRY</x:v>
      </x:c>
      <x:c r="F201" t="str">
        <x:f>XLOOKUP($A201,'Specs'!$A$2:$A$164,'Specs'!$F$2:$F$164,"")</x:f>
        <x:v>SFIC</x:v>
      </x:c>
      <x:c r="G201" t="str">
        <x:f>XLOOKUP($A201,'Specs'!$A$2:$A$164,'Specs'!$G$2:$G$164,"")</x:f>
      </x:c>
      <x:c r="H201" t="str">
        <x:f>XLOOKUP($A201,'Specs'!$A$2:$A$164,'Specs'!$H$2:$H$164,"")</x:f>
      </x:c>
      <x:c r="I201" t="str">
        <x:f>XLOOKUP($A201,'Specs'!$A$2:$A$164,'Specs'!$I$2:$I$164,"")</x:f>
      </x:c>
      <x:c r="J201" t="str">
        <x:f>XLOOKUP($A201,'Specs'!$A$2:$A$164,'Specs'!$J$2:$J$164,"")</x:f>
      </x:c>
      <x:c r="K201" t="str">
        <x:f>XLOOKUP($A201,'Specs'!$A$2:$A$164,'Specs'!$K$2:$K$164,"")</x:f>
      </x:c>
      <x:c r="L201" t="str">
        <x:f>XLOOKUP($A201,'Specs'!$A$2:$A$164,'Specs'!$L$2:$L$164,"")</x:f>
      </x:c>
      <x:c r="M201" t="n">
        <x:f>XLOOKUP($A201,'Specs'!$A$2:$A$164,'Specs'!$M$2:$M$164,"")</x:f>
        <x:v>626</x:v>
      </x:c>
      <x:c r="N201" t="str">
        <x:f>XLOOKUP($A201,'Specs'!$A$2:$A$164,'Specs'!$N$2:$N$164,"")</x:f>
      </x:c>
      <x:c r="O201" t="str">
        <x:f>XLOOKUP($A201,'Specs'!$A$2:$A$164,'Specs'!$O$2:$O$164,"")</x:f>
      </x:c>
      <x:c r="P201" t="str">
        <x:f>XLOOKUP($A201,'Specs'!$A$2:$A$164,'Specs'!$P$2:$P$164,"")</x:f>
        <x:v>HIGH</x:v>
      </x:c>
      <x:c r="Q201" s="53" t="n">
        <x:f>XLOOKUP($A201,'Specs'!$A$2:$A$164,'Specs'!$Q$2:$Q$164,"")</x:f>
        <x:v>8</x:v>
      </x:c>
      <x:c r="R201" s="53" t="n">
        <x:f>XLOOKUP($A201,'Specs'!$A$2:$A$164,'Specs'!$R$2:$R$164,"")</x:f>
        <x:v>4</x:v>
      </x:c>
      <x:c r="S201" t="str">
        <x:f>'Vendor Options'!A201</x:f>
        <x:v>OFFER-0440914A9B71</x:v>
      </x:c>
      <x:c r="T201" t="str">
        <x:f>'Vendor Options'!C201</x:f>
        <x:v>DH</x:v>
      </x:c>
      <x:c r="U201" t="str">
        <x:f>'Vendor Options'!D201</x:f>
        <x:v>X-82 SFIC</x:v>
      </x:c>
      <x:c r="V201" t="str">
        <x:f>'Vendor Options'!E201</x:f>
        <x:v>F82</x:v>
      </x:c>
      <x:c r="W201" t="str">
        <x:f>'Vendor Options'!F201</x:f>
        <x:v>F82</x:v>
      </x:c>
      <x:c r="X201" t="str">
        <x:f>'Vendor Options'!G201</x:f>
        <x:v>78001759</x:v>
      </x:c>
      <x:c r="Y201" t="str">
        <x:f>'Vendor Options'!H201</x:f>
        <x:v>78001759 - X-82IC - F - Entry (SFIC - no core)</x:v>
      </x:c>
      <x:c r="Z201" t="str">
        <x:f>'Vendor Options'!I201</x:f>
      </x:c>
      <x:c r="AA201" s="54" t="n">
        <x:f>'Vendor Options'!J201</x:f>
        <x:v>0</x:v>
      </x:c>
      <x:c r="AB201" t="str">
        <x:f>'Vendor Options'!K201</x:f>
      </x:c>
      <x:c r="AC201" s="57" t="n">
        <x:f>'Vendor Options'!L201</x:f>
        <x:v>0</x:v>
      </x:c>
      <x:c r="AD201" s="57" t="n">
        <x:f>'Vendor Options'!M201</x:f>
        <x:v>0</x:v>
      </x:c>
      <x:c r="AE201" s="54" t="str">
        <x:f>'Vendor Options'!N201</x:f>
      </x:c>
      <x:c r="AF201" t="str">
        <x:f>'Vendor Options'!O201</x:f>
        <x:v>USD</x:v>
      </x:c>
      <x:c r="AG201" t="str">
        <x:f>'Vendor Options'!P201</x:f>
        <x:v>UNPRICED</x:v>
      </x:c>
      <x:c r="AH201" t="str">
        <x:f>'Vendor Options'!Q201</x:f>
        <x:v>ACTIVE</x:v>
      </x:c>
      <x:c r="AI201" t="str">
        <x:f>'Vendor Options'!R201</x:f>
        <x:v>MISSING_PRICE</x:v>
      </x:c>
      <x:c r="AJ201" t="n">
        <x:f>'Vendor Options'!S201</x:f>
        <x:v>146</x:v>
      </x:c>
    </x:row>
    <x:row r="202" ht="15" hidden="0" customHeight="1">
      <x:c r="A202" t="str">
        <x:f>'Vendor Options'!B202</x:f>
        <x:v>SPEC-1B29D52847DA</x:v>
      </x:c>
      <x:c r="B202" t="str">
        <x:f>XLOOKUP($A202,'Specs'!$A$2:$A$164,'Specs'!$B$2:$B$164,"")</x:f>
        <x:v>LOCK</x:v>
      </x:c>
      <x:c r="C202" t="str">
        <x:f>XLOOKUP($A202,'Specs'!$A$2:$A$164,'Specs'!$C$2:$C$164,"")</x:f>
        <x:v>CYLINDRICAL LOCK</x:v>
      </x:c>
      <x:c r="D202" t="str">
        <x:f>XLOOKUP($A202,'Specs'!$A$2:$A$164,'Specs'!$D$2:$D$164,"")</x:f>
        <x:v>CYLINDRICAL</x:v>
      </x:c>
      <x:c r="E202" t="str">
        <x:f>XLOOKUP($A202,'Specs'!$A$2:$A$164,'Specs'!$E$2:$E$164,"")</x:f>
        <x:v>ENTRY</x:v>
      </x:c>
      <x:c r="F202" t="str">
        <x:f>XLOOKUP($A202,'Specs'!$A$2:$A$164,'Specs'!$F$2:$F$164,"")</x:f>
        <x:v>SFIC</x:v>
      </x:c>
      <x:c r="G202" t="str">
        <x:f>XLOOKUP($A202,'Specs'!$A$2:$A$164,'Specs'!$G$2:$G$164,"")</x:f>
      </x:c>
      <x:c r="H202" t="str">
        <x:f>XLOOKUP($A202,'Specs'!$A$2:$A$164,'Specs'!$H$2:$H$164,"")</x:f>
      </x:c>
      <x:c r="I202" t="str">
        <x:f>XLOOKUP($A202,'Specs'!$A$2:$A$164,'Specs'!$I$2:$I$164,"")</x:f>
      </x:c>
      <x:c r="J202" t="str">
        <x:f>XLOOKUP($A202,'Specs'!$A$2:$A$164,'Specs'!$J$2:$J$164,"")</x:f>
      </x:c>
      <x:c r="K202" t="str">
        <x:f>XLOOKUP($A202,'Specs'!$A$2:$A$164,'Specs'!$K$2:$K$164,"")</x:f>
      </x:c>
      <x:c r="L202" t="str">
        <x:f>XLOOKUP($A202,'Specs'!$A$2:$A$164,'Specs'!$L$2:$L$164,"")</x:f>
      </x:c>
      <x:c r="M202" t="n">
        <x:f>XLOOKUP($A202,'Specs'!$A$2:$A$164,'Specs'!$M$2:$M$164,"")</x:f>
        <x:v>626</x:v>
      </x:c>
      <x:c r="N202" t="str">
        <x:f>XLOOKUP($A202,'Specs'!$A$2:$A$164,'Specs'!$N$2:$N$164,"")</x:f>
      </x:c>
      <x:c r="O202" t="str">
        <x:f>XLOOKUP($A202,'Specs'!$A$2:$A$164,'Specs'!$O$2:$O$164,"")</x:f>
      </x:c>
      <x:c r="P202" t="str">
        <x:f>XLOOKUP($A202,'Specs'!$A$2:$A$164,'Specs'!$P$2:$P$164,"")</x:f>
        <x:v>HIGH</x:v>
      </x:c>
      <x:c r="Q202" s="53" t="n">
        <x:f>XLOOKUP($A202,'Specs'!$A$2:$A$164,'Specs'!$Q$2:$Q$164,"")</x:f>
        <x:v>8</x:v>
      </x:c>
      <x:c r="R202" s="53" t="n">
        <x:f>XLOOKUP($A202,'Specs'!$A$2:$A$164,'Specs'!$R$2:$R$164,"")</x:f>
        <x:v>4</x:v>
      </x:c>
      <x:c r="S202" t="str">
        <x:f>'Vendor Options'!A202</x:f>
        <x:v>OFFER-8FD8D63E79B2</x:v>
      </x:c>
      <x:c r="T202" t="str">
        <x:f>'Vendor Options'!C202</x:f>
        <x:v>DH</x:v>
      </x:c>
      <x:c r="U202" t="str">
        <x:f>'Vendor Options'!D202</x:f>
        <x:v>Z-82 SFIC</x:v>
      </x:c>
      <x:c r="V202" t="str">
        <x:f>'Vendor Options'!E202</x:f>
        <x:v>F82</x:v>
      </x:c>
      <x:c r="W202" t="str">
        <x:f>'Vendor Options'!F202</x:f>
        <x:v>F82</x:v>
      </x:c>
      <x:c r="X202" t="str">
        <x:f>'Vendor Options'!G202</x:f>
        <x:v>78001844</x:v>
      </x:c>
      <x:c r="Y202" t="str">
        <x:f>'Vendor Options'!H202</x:f>
        <x:v>78001844 - Z-82IC - F - Entry (SFIC - no core)</x:v>
      </x:c>
      <x:c r="Z202" t="str">
        <x:f>'Vendor Options'!I202</x:f>
      </x:c>
      <x:c r="AA202" s="54" t="n">
        <x:f>'Vendor Options'!J202</x:f>
        <x:v>290.7</x:v>
      </x:c>
      <x:c r="AB202" t="str">
        <x:f>'Vendor Options'!K202</x:f>
        <x:v>0.26</x:v>
      </x:c>
      <x:c r="AC202" s="57" t="n">
        <x:f>'Vendor Options'!L202</x:f>
        <x:v>0.26</x:v>
      </x:c>
      <x:c r="AD202" s="57" t="n">
        <x:f>'Vendor Options'!M202</x:f>
        <x:v>0</x:v>
      </x:c>
      <x:c r="AE202" s="54" t="n">
        <x:f>'Vendor Options'!N202</x:f>
        <x:v>215.118</x:v>
      </x:c>
      <x:c r="AF202" t="str">
        <x:f>'Vendor Options'!O202</x:f>
        <x:v>USD</x:v>
      </x:c>
      <x:c r="AG202" t="str">
        <x:f>'Vendor Options'!P202</x:f>
        <x:v>PRICED</x:v>
      </x:c>
      <x:c r="AH202" t="str">
        <x:f>'Vendor Options'!Q202</x:f>
        <x:v>ACTIVE</x:v>
      </x:c>
      <x:c r="AI202" t="str">
        <x:f>'Vendor Options'!R202</x:f>
      </x:c>
      <x:c r="AJ202" t="n">
        <x:f>'Vendor Options'!S202</x:f>
        <x:v>137</x:v>
      </x:c>
    </x:row>
    <x:row r="203" ht="15" hidden="0" customHeight="1">
      <x:c r="A203" t="str">
        <x:f>'Vendor Options'!B203</x:f>
        <x:v>SPEC-1B29D52847DA</x:v>
      </x:c>
      <x:c r="B203" t="str">
        <x:f>XLOOKUP($A203,'Specs'!$A$2:$A$164,'Specs'!$B$2:$B$164,"")</x:f>
        <x:v>LOCK</x:v>
      </x:c>
      <x:c r="C203" t="str">
        <x:f>XLOOKUP($A203,'Specs'!$A$2:$A$164,'Specs'!$C$2:$C$164,"")</x:f>
        <x:v>CYLINDRICAL LOCK</x:v>
      </x:c>
      <x:c r="D203" t="str">
        <x:f>XLOOKUP($A203,'Specs'!$A$2:$A$164,'Specs'!$D$2:$D$164,"")</x:f>
        <x:v>CYLINDRICAL</x:v>
      </x:c>
      <x:c r="E203" t="str">
        <x:f>XLOOKUP($A203,'Specs'!$A$2:$A$164,'Specs'!$E$2:$E$164,"")</x:f>
        <x:v>ENTRY</x:v>
      </x:c>
      <x:c r="F203" t="str">
        <x:f>XLOOKUP($A203,'Specs'!$A$2:$A$164,'Specs'!$F$2:$F$164,"")</x:f>
        <x:v>SFIC</x:v>
      </x:c>
      <x:c r="G203" t="str">
        <x:f>XLOOKUP($A203,'Specs'!$A$2:$A$164,'Specs'!$G$2:$G$164,"")</x:f>
      </x:c>
      <x:c r="H203" t="str">
        <x:f>XLOOKUP($A203,'Specs'!$A$2:$A$164,'Specs'!$H$2:$H$164,"")</x:f>
      </x:c>
      <x:c r="I203" t="str">
        <x:f>XLOOKUP($A203,'Specs'!$A$2:$A$164,'Specs'!$I$2:$I$164,"")</x:f>
      </x:c>
      <x:c r="J203" t="str">
        <x:f>XLOOKUP($A203,'Specs'!$A$2:$A$164,'Specs'!$J$2:$J$164,"")</x:f>
      </x:c>
      <x:c r="K203" t="str">
        <x:f>XLOOKUP($A203,'Specs'!$A$2:$A$164,'Specs'!$K$2:$K$164,"")</x:f>
      </x:c>
      <x:c r="L203" t="str">
        <x:f>XLOOKUP($A203,'Specs'!$A$2:$A$164,'Specs'!$L$2:$L$164,"")</x:f>
      </x:c>
      <x:c r="M203" t="n">
        <x:f>XLOOKUP($A203,'Specs'!$A$2:$A$164,'Specs'!$M$2:$M$164,"")</x:f>
        <x:v>626</x:v>
      </x:c>
      <x:c r="N203" t="str">
        <x:f>XLOOKUP($A203,'Specs'!$A$2:$A$164,'Specs'!$N$2:$N$164,"")</x:f>
      </x:c>
      <x:c r="O203" t="str">
        <x:f>XLOOKUP($A203,'Specs'!$A$2:$A$164,'Specs'!$O$2:$O$164,"")</x:f>
      </x:c>
      <x:c r="P203" t="str">
        <x:f>XLOOKUP($A203,'Specs'!$A$2:$A$164,'Specs'!$P$2:$P$164,"")</x:f>
        <x:v>HIGH</x:v>
      </x:c>
      <x:c r="Q203" s="53" t="n">
        <x:f>XLOOKUP($A203,'Specs'!$A$2:$A$164,'Specs'!$Q$2:$Q$164,"")</x:f>
        <x:v>8</x:v>
      </x:c>
      <x:c r="R203" s="53" t="n">
        <x:f>XLOOKUP($A203,'Specs'!$A$2:$A$164,'Specs'!$R$2:$R$164,"")</x:f>
        <x:v>4</x:v>
      </x:c>
      <x:c r="S203" t="str">
        <x:f>'Vendor Options'!A203</x:f>
        <x:v>OFFER-774C843A63AE</x:v>
      </x:c>
      <x:c r="T203" t="str">
        <x:f>'Vendor Options'!C203</x:f>
        <x:v>DK</x:v>
      </x:c>
      <x:c r="U203" t="str">
        <x:f>'Vendor Options'!D203</x:f>
        <x:v>C150J</x:v>
      </x:c>
      <x:c r="V203" t="str">
        <x:f>'Vendor Options'!E203</x:f>
        <x:v>F109-82</x:v>
      </x:c>
      <x:c r="W203" t="str">
        <x:f>'Vendor Options'!F203</x:f>
        <x:v>F109-82</x:v>
      </x:c>
      <x:c r="X203" t="str">
        <x:f>'Vendor Options'!G203</x:f>
        <x:v>C150-J-LR-C-*-*-10252-134-5001-1316</x:v>
      </x:c>
      <x:c r="Y203" t="str">
        <x:f>'Vendor Options'!H203</x:f>
        <x:v>C150-J-LR-C-*-*-10252-134-5001-1316</x:v>
      </x:c>
      <x:c r="Z203" t="str">
        <x:f>'Vendor Options'!I203</x:f>
      </x:c>
      <x:c r="AA203" s="54" t="n">
        <x:f>'Vendor Options'!J203</x:f>
        <x:v>116.88</x:v>
      </x:c>
      <x:c r="AB203" t="n">
        <x:f>'Vendor Options'!K203</x:f>
        <x:v>0</x:v>
      </x:c>
      <x:c r="AC203" s="57" t="n">
        <x:f>'Vendor Options'!L203</x:f>
        <x:v>0</x:v>
      </x:c>
      <x:c r="AD203" s="57" t="n">
        <x:f>'Vendor Options'!M203</x:f>
        <x:v>0</x:v>
      </x:c>
      <x:c r="AE203" s="54" t="n">
        <x:f>'Vendor Options'!N203</x:f>
        <x:v>116.88</x:v>
      </x:c>
      <x:c r="AF203" t="str">
        <x:f>'Vendor Options'!O203</x:f>
        <x:v>USD</x:v>
      </x:c>
      <x:c r="AG203" t="str">
        <x:f>'Vendor Options'!P203</x:f>
        <x:v>PRICED</x:v>
      </x:c>
      <x:c r="AH203" t="str">
        <x:f>'Vendor Options'!Q203</x:f>
        <x:v>REVIEW</x:v>
      </x:c>
      <x:c r="AI203" t="str">
        <x:f>'Vendor Options'!R203</x:f>
        <x:v>POSSIBLE_PRICE_OUTLIER</x:v>
      </x:c>
      <x:c r="AJ203" t="n">
        <x:f>'Vendor Options'!S203</x:f>
        <x:v>126</x:v>
      </x:c>
    </x:row>
    <x:row r="204" ht="15" hidden="0" customHeight="1">
      <x:c r="A204" t="str">
        <x:f>'Vendor Options'!B204</x:f>
        <x:v>SPEC-1B29D52847DA</x:v>
      </x:c>
      <x:c r="B204" t="str">
        <x:f>XLOOKUP($A204,'Specs'!$A$2:$A$164,'Specs'!$B$2:$B$164,"")</x:f>
        <x:v>LOCK</x:v>
      </x:c>
      <x:c r="C204" t="str">
        <x:f>XLOOKUP($A204,'Specs'!$A$2:$A$164,'Specs'!$C$2:$C$164,"")</x:f>
        <x:v>CYLINDRICAL LOCK</x:v>
      </x:c>
      <x:c r="D204" t="str">
        <x:f>XLOOKUP($A204,'Specs'!$A$2:$A$164,'Specs'!$D$2:$D$164,"")</x:f>
        <x:v>CYLINDRICAL</x:v>
      </x:c>
      <x:c r="E204" t="str">
        <x:f>XLOOKUP($A204,'Specs'!$A$2:$A$164,'Specs'!$E$2:$E$164,"")</x:f>
        <x:v>ENTRY</x:v>
      </x:c>
      <x:c r="F204" t="str">
        <x:f>XLOOKUP($A204,'Specs'!$A$2:$A$164,'Specs'!$F$2:$F$164,"")</x:f>
        <x:v>SFIC</x:v>
      </x:c>
      <x:c r="G204" t="str">
        <x:f>XLOOKUP($A204,'Specs'!$A$2:$A$164,'Specs'!$G$2:$G$164,"")</x:f>
      </x:c>
      <x:c r="H204" t="str">
        <x:f>XLOOKUP($A204,'Specs'!$A$2:$A$164,'Specs'!$H$2:$H$164,"")</x:f>
      </x:c>
      <x:c r="I204" t="str">
        <x:f>XLOOKUP($A204,'Specs'!$A$2:$A$164,'Specs'!$I$2:$I$164,"")</x:f>
      </x:c>
      <x:c r="J204" t="str">
        <x:f>XLOOKUP($A204,'Specs'!$A$2:$A$164,'Specs'!$J$2:$J$164,"")</x:f>
      </x:c>
      <x:c r="K204" t="str">
        <x:f>XLOOKUP($A204,'Specs'!$A$2:$A$164,'Specs'!$K$2:$K$164,"")</x:f>
      </x:c>
      <x:c r="L204" t="str">
        <x:f>XLOOKUP($A204,'Specs'!$A$2:$A$164,'Specs'!$L$2:$L$164,"")</x:f>
      </x:c>
      <x:c r="M204" t="n">
        <x:f>XLOOKUP($A204,'Specs'!$A$2:$A$164,'Specs'!$M$2:$M$164,"")</x:f>
        <x:v>626</x:v>
      </x:c>
      <x:c r="N204" t="str">
        <x:f>XLOOKUP($A204,'Specs'!$A$2:$A$164,'Specs'!$N$2:$N$164,"")</x:f>
      </x:c>
      <x:c r="O204" t="str">
        <x:f>XLOOKUP($A204,'Specs'!$A$2:$A$164,'Specs'!$O$2:$O$164,"")</x:f>
      </x:c>
      <x:c r="P204" t="str">
        <x:f>XLOOKUP($A204,'Specs'!$A$2:$A$164,'Specs'!$P$2:$P$164,"")</x:f>
        <x:v>HIGH</x:v>
      </x:c>
      <x:c r="Q204" s="53" t="n">
        <x:f>XLOOKUP($A204,'Specs'!$A$2:$A$164,'Specs'!$Q$2:$Q$164,"")</x:f>
        <x:v>8</x:v>
      </x:c>
      <x:c r="R204" s="53" t="n">
        <x:f>XLOOKUP($A204,'Specs'!$A$2:$A$164,'Specs'!$R$2:$R$164,"")</x:f>
        <x:v>4</x:v>
      </x:c>
      <x:c r="S204" t="str">
        <x:f>'Vendor Options'!A204</x:f>
        <x:v>OFFER-C129260CCDE6</x:v>
      </x:c>
      <x:c r="T204" t="str">
        <x:f>'Vendor Options'!C204</x:f>
        <x:v>PHG</x:v>
      </x:c>
      <x:c r="U204" t="str">
        <x:f>'Vendor Options'!D204</x:f>
        <x:v>ES-ICB</x:v>
      </x:c>
      <x:c r="V204" t="str">
        <x:f>'Vendor Options'!E204</x:f>
        <x:v>F109-82</x:v>
      </x:c>
      <x:c r="W204" t="str">
        <x:f>'Vendor Options'!F204</x:f>
        <x:v>F109-82</x:v>
      </x:c>
      <x:c r="X204" t="str">
        <x:f>'Vendor Options'!G204</x:f>
        <x:v>ES500CT26DICB</x:v>
      </x:c>
      <x:c r="Y204" t="str">
        <x:f>'Vendor Options'!H204</x:f>
        <x:v>ES500CT26DICB ES-CT500 - Entry (F109) - ICB</x:v>
      </x:c>
      <x:c r="Z204" t="str">
        <x:f>'Vendor Options'!I204</x:f>
      </x:c>
      <x:c r="AA204" s="54" t="n">
        <x:f>'Vendor Options'!J204</x:f>
        <x:v>116.88</x:v>
      </x:c>
      <x:c r="AB204" t="n">
        <x:f>'Vendor Options'!K204</x:f>
        <x:v>0</x:v>
      </x:c>
      <x:c r="AC204" s="57" t="n">
        <x:f>'Vendor Options'!L204</x:f>
        <x:v>0</x:v>
      </x:c>
      <x:c r="AD204" s="57" t="n">
        <x:f>'Vendor Options'!M204</x:f>
        <x:v>0</x:v>
      </x:c>
      <x:c r="AE204" s="54" t="n">
        <x:f>'Vendor Options'!N204</x:f>
        <x:v>116.88</x:v>
      </x:c>
      <x:c r="AF204" t="str">
        <x:f>'Vendor Options'!O204</x:f>
        <x:v>USD</x:v>
      </x:c>
      <x:c r="AG204" t="str">
        <x:f>'Vendor Options'!P204</x:f>
        <x:v>PRICED</x:v>
      </x:c>
      <x:c r="AH204" t="str">
        <x:f>'Vendor Options'!Q204</x:f>
        <x:v>ACTIVE</x:v>
      </x:c>
      <x:c r="AI204" t="str">
        <x:f>'Vendor Options'!R204</x:f>
      </x:c>
      <x:c r="AJ204" t="n">
        <x:f>'Vendor Options'!S204</x:f>
        <x:v>179</x:v>
      </x:c>
    </x:row>
    <x:row r="205" ht="15" hidden="0" customHeight="1">
      <x:c r="A205" t="str">
        <x:f>'Vendor Options'!B205</x:f>
        <x:v>SPEC-20084902F758</x:v>
      </x:c>
      <x:c r="B205" t="str">
        <x:f>XLOOKUP($A205,'Specs'!$A$2:$A$164,'Specs'!$B$2:$B$164,"")</x:f>
        <x:v>LOCK</x:v>
      </x:c>
      <x:c r="C205" t="str">
        <x:f>XLOOKUP($A205,'Specs'!$A$2:$A$164,'Specs'!$C$2:$C$164,"")</x:f>
        <x:v>CYLINDRICAL LOCK</x:v>
      </x:c>
      <x:c r="D205" t="str">
        <x:f>XLOOKUP($A205,'Specs'!$A$2:$A$164,'Specs'!$D$2:$D$164,"")</x:f>
        <x:v>CYLINDRICAL</x:v>
      </x:c>
      <x:c r="E205" t="str">
        <x:f>XLOOKUP($A205,'Specs'!$A$2:$A$164,'Specs'!$E$2:$E$164,"")</x:f>
        <x:v>ENTRY</x:v>
      </x:c>
      <x:c r="F205" t="str">
        <x:f>XLOOKUP($A205,'Specs'!$A$2:$A$164,'Specs'!$F$2:$F$164,"")</x:f>
        <x:v>SFIC</x:v>
      </x:c>
      <x:c r="G205" t="str">
        <x:f>XLOOKUP($A205,'Specs'!$A$2:$A$164,'Specs'!$G$2:$G$164,"")</x:f>
      </x:c>
      <x:c r="H205" t="str">
        <x:f>XLOOKUP($A205,'Specs'!$A$2:$A$164,'Specs'!$H$2:$H$164,"")</x:f>
      </x:c>
      <x:c r="I205" t="str">
        <x:f>XLOOKUP($A205,'Specs'!$A$2:$A$164,'Specs'!$I$2:$I$164,"")</x:f>
      </x:c>
      <x:c r="J205" t="str">
        <x:f>XLOOKUP($A205,'Specs'!$A$2:$A$164,'Specs'!$J$2:$J$164,"")</x:f>
      </x:c>
      <x:c r="K205" t="str">
        <x:f>XLOOKUP($A205,'Specs'!$A$2:$A$164,'Specs'!$K$2:$K$164,"")</x:f>
      </x:c>
      <x:c r="L205" t="str">
        <x:f>XLOOKUP($A205,'Specs'!$A$2:$A$164,'Specs'!$L$2:$L$164,"")</x:f>
      </x:c>
      <x:c r="M205" t="n">
        <x:f>XLOOKUP($A205,'Specs'!$A$2:$A$164,'Specs'!$M$2:$M$164,"")</x:f>
        <x:v>626</x:v>
      </x:c>
      <x:c r="N205" t="str">
        <x:f>XLOOKUP($A205,'Specs'!$A$2:$A$164,'Specs'!$N$2:$N$164,"")</x:f>
        <x:v>FAIL SECURE</x:v>
      </x:c>
      <x:c r="O205" t="str">
        <x:f>XLOOKUP($A205,'Specs'!$A$2:$A$164,'Specs'!$O$2:$O$164,"")</x:f>
      </x:c>
      <x:c r="P205" t="str">
        <x:f>XLOOKUP($A205,'Specs'!$A$2:$A$164,'Specs'!$P$2:$P$164,"")</x:f>
        <x:v>HIGH</x:v>
      </x:c>
      <x:c r="Q205" s="53" t="n">
        <x:f>XLOOKUP($A205,'Specs'!$A$2:$A$164,'Specs'!$Q$2:$Q$164,"")</x:f>
        <x:v>1</x:v>
      </x:c>
      <x:c r="R205" s="53" t="n">
        <x:f>XLOOKUP($A205,'Specs'!$A$2:$A$164,'Specs'!$R$2:$R$164,"")</x:f>
        <x:v>1</x:v>
      </x:c>
      <x:c r="S205" t="str">
        <x:f>'Vendor Options'!A205</x:f>
        <x:v>OFFER-A37D66D945EB</x:v>
      </x:c>
      <x:c r="T205" t="str">
        <x:f>'Vendor Options'!C205</x:f>
        <x:v>PHG</x:v>
      </x:c>
      <x:c r="U205" t="str">
        <x:f>'Vendor Options'!D205</x:f>
        <x:v>FC-EL-ICB</x:v>
      </x:c>
      <x:c r="V205" t="str">
        <x:f>'Vendor Options'!E205</x:f>
        <x:v>F90</x:v>
      </x:c>
      <x:c r="W205" t="str">
        <x:f>'Vendor Options'!F205</x:f>
        <x:v>F90</x:v>
      </x:c>
      <x:c r="X205" t="str">
        <x:f>'Vendor Options'!G205</x:f>
        <x:v>FC500CT26DEUICB</x:v>
      </x:c>
      <x:c r="Y205" t="str">
        <x:f>'Vendor Options'!H205</x:f>
        <x:v>FC500CT26DEUICB FC-CT500 - Electrified - EU (Fail Secure) - ICB</x:v>
      </x:c>
      <x:c r="Z205" t="str">
        <x:f>'Vendor Options'!I205</x:f>
      </x:c>
      <x:c r="AA205" s="54" t="n">
        <x:f>'Vendor Options'!J205</x:f>
        <x:v>359.08</x:v>
      </x:c>
      <x:c r="AB205" t="n">
        <x:f>'Vendor Options'!K205</x:f>
        <x:v>0</x:v>
      </x:c>
      <x:c r="AC205" s="57" t="n">
        <x:f>'Vendor Options'!L205</x:f>
        <x:v>0</x:v>
      </x:c>
      <x:c r="AD205" s="57" t="n">
        <x:f>'Vendor Options'!M205</x:f>
        <x:v>0</x:v>
      </x:c>
      <x:c r="AE205" s="54" t="n">
        <x:f>'Vendor Options'!N205</x:f>
        <x:v>359.08</x:v>
      </x:c>
      <x:c r="AF205" t="str">
        <x:f>'Vendor Options'!O205</x:f>
        <x:v>USD</x:v>
      </x:c>
      <x:c r="AG205" t="str">
        <x:f>'Vendor Options'!P205</x:f>
        <x:v>PRICED</x:v>
      </x:c>
      <x:c r="AH205" t="str">
        <x:f>'Vendor Options'!Q205</x:f>
        <x:v>ACTIVE</x:v>
      </x:c>
      <x:c r="AI205" t="str">
        <x:f>'Vendor Options'!R205</x:f>
      </x:c>
      <x:c r="AJ205" t="n">
        <x:f>'Vendor Options'!S205</x:f>
        <x:v>169</x:v>
      </x:c>
    </x:row>
    <x:row r="206" ht="15" hidden="0" customHeight="1">
      <x:c r="A206" t="str">
        <x:f>'Vendor Options'!B206</x:f>
        <x:v>SPEC-1B29D52847DA</x:v>
      </x:c>
      <x:c r="B206" t="str">
        <x:f>XLOOKUP($A206,'Specs'!$A$2:$A$164,'Specs'!$B$2:$B$164,"")</x:f>
        <x:v>LOCK</x:v>
      </x:c>
      <x:c r="C206" t="str">
        <x:f>XLOOKUP($A206,'Specs'!$A$2:$A$164,'Specs'!$C$2:$C$164,"")</x:f>
        <x:v>CYLINDRICAL LOCK</x:v>
      </x:c>
      <x:c r="D206" t="str">
        <x:f>XLOOKUP($A206,'Specs'!$A$2:$A$164,'Specs'!$D$2:$D$164,"")</x:f>
        <x:v>CYLINDRICAL</x:v>
      </x:c>
      <x:c r="E206" t="str">
        <x:f>XLOOKUP($A206,'Specs'!$A$2:$A$164,'Specs'!$E$2:$E$164,"")</x:f>
        <x:v>ENTRY</x:v>
      </x:c>
      <x:c r="F206" t="str">
        <x:f>XLOOKUP($A206,'Specs'!$A$2:$A$164,'Specs'!$F$2:$F$164,"")</x:f>
        <x:v>SFIC</x:v>
      </x:c>
      <x:c r="G206" t="str">
        <x:f>XLOOKUP($A206,'Specs'!$A$2:$A$164,'Specs'!$G$2:$G$164,"")</x:f>
      </x:c>
      <x:c r="H206" t="str">
        <x:f>XLOOKUP($A206,'Specs'!$A$2:$A$164,'Specs'!$H$2:$H$164,"")</x:f>
      </x:c>
      <x:c r="I206" t="str">
        <x:f>XLOOKUP($A206,'Specs'!$A$2:$A$164,'Specs'!$I$2:$I$164,"")</x:f>
      </x:c>
      <x:c r="J206" t="str">
        <x:f>XLOOKUP($A206,'Specs'!$A$2:$A$164,'Specs'!$J$2:$J$164,"")</x:f>
      </x:c>
      <x:c r="K206" t="str">
        <x:f>XLOOKUP($A206,'Specs'!$A$2:$A$164,'Specs'!$K$2:$K$164,"")</x:f>
      </x:c>
      <x:c r="L206" t="str">
        <x:f>XLOOKUP($A206,'Specs'!$A$2:$A$164,'Specs'!$L$2:$L$164,"")</x:f>
      </x:c>
      <x:c r="M206" t="n">
        <x:f>XLOOKUP($A206,'Specs'!$A$2:$A$164,'Specs'!$M$2:$M$164,"")</x:f>
        <x:v>626</x:v>
      </x:c>
      <x:c r="N206" t="str">
        <x:f>XLOOKUP($A206,'Specs'!$A$2:$A$164,'Specs'!$N$2:$N$164,"")</x:f>
      </x:c>
      <x:c r="O206" t="str">
        <x:f>XLOOKUP($A206,'Specs'!$A$2:$A$164,'Specs'!$O$2:$O$164,"")</x:f>
      </x:c>
      <x:c r="P206" t="str">
        <x:f>XLOOKUP($A206,'Specs'!$A$2:$A$164,'Specs'!$P$2:$P$164,"")</x:f>
        <x:v>HIGH</x:v>
      </x:c>
      <x:c r="Q206" s="53" t="n">
        <x:f>XLOOKUP($A206,'Specs'!$A$2:$A$164,'Specs'!$Q$2:$Q$164,"")</x:f>
        <x:v>8</x:v>
      </x:c>
      <x:c r="R206" s="53" t="n">
        <x:f>XLOOKUP($A206,'Specs'!$A$2:$A$164,'Specs'!$R$2:$R$164,"")</x:f>
        <x:v>4</x:v>
      </x:c>
      <x:c r="S206" t="str">
        <x:f>'Vendor Options'!A206</x:f>
        <x:v>OFFER-AB3224C29961</x:v>
      </x:c>
      <x:c r="T206" t="str">
        <x:f>'Vendor Options'!C206</x:f>
        <x:v>PHG</x:v>
      </x:c>
      <x:c r="U206" t="str">
        <x:f>'Vendor Options'!D206</x:f>
        <x:v>FC-ICB</x:v>
      </x:c>
      <x:c r="V206" t="str">
        <x:f>'Vendor Options'!E206</x:f>
        <x:v>F109-82</x:v>
      </x:c>
      <x:c r="W206" t="str">
        <x:f>'Vendor Options'!F206</x:f>
        <x:v>F109-82</x:v>
      </x:c>
      <x:c r="X206" t="str">
        <x:f>'Vendor Options'!G206</x:f>
        <x:v>FC500CT26DICB</x:v>
      </x:c>
      <x:c r="Y206" t="str">
        <x:f>'Vendor Options'!H206</x:f>
        <x:v>FC500CT26DICB FC-CT500 - Entry (F109) - ICB</x:v>
      </x:c>
      <x:c r="Z206" t="str">
        <x:f>'Vendor Options'!I206</x:f>
      </x:c>
      <x:c r="AA206" s="54" t="n">
        <x:f>'Vendor Options'!J206</x:f>
        <x:v>168.53</x:v>
      </x:c>
      <x:c r="AB206" t="n">
        <x:f>'Vendor Options'!K206</x:f>
        <x:v>0</x:v>
      </x:c>
      <x:c r="AC206" s="57" t="n">
        <x:f>'Vendor Options'!L206</x:f>
        <x:v>0</x:v>
      </x:c>
      <x:c r="AD206" s="57" t="n">
        <x:f>'Vendor Options'!M206</x:f>
        <x:v>0</x:v>
      </x:c>
      <x:c r="AE206" s="54" t="n">
        <x:f>'Vendor Options'!N206</x:f>
        <x:v>168.53</x:v>
      </x:c>
      <x:c r="AF206" t="str">
        <x:f>'Vendor Options'!O206</x:f>
        <x:v>USD</x:v>
      </x:c>
      <x:c r="AG206" t="str">
        <x:f>'Vendor Options'!P206</x:f>
        <x:v>PRICED</x:v>
      </x:c>
      <x:c r="AH206" t="str">
        <x:f>'Vendor Options'!Q206</x:f>
        <x:v>ACTIVE</x:v>
      </x:c>
      <x:c r="AI206" t="str">
        <x:f>'Vendor Options'!R206</x:f>
      </x:c>
      <x:c r="AJ206" t="n">
        <x:f>'Vendor Options'!S206</x:f>
        <x:v>165</x:v>
      </x:c>
    </x:row>
    <x:row r="207" ht="15" hidden="0" customHeight="1">
      <x:c r="A207" t="str">
        <x:f>'Vendor Options'!B207</x:f>
        <x:v>SPEC-1B29D52847DA</x:v>
      </x:c>
      <x:c r="B207" t="str">
        <x:f>XLOOKUP($A207,'Specs'!$A$2:$A$164,'Specs'!$B$2:$B$164,"")</x:f>
        <x:v>LOCK</x:v>
      </x:c>
      <x:c r="C207" t="str">
        <x:f>XLOOKUP($A207,'Specs'!$A$2:$A$164,'Specs'!$C$2:$C$164,"")</x:f>
        <x:v>CYLINDRICAL LOCK</x:v>
      </x:c>
      <x:c r="D207" t="str">
        <x:f>XLOOKUP($A207,'Specs'!$A$2:$A$164,'Specs'!$D$2:$D$164,"")</x:f>
        <x:v>CYLINDRICAL</x:v>
      </x:c>
      <x:c r="E207" t="str">
        <x:f>XLOOKUP($A207,'Specs'!$A$2:$A$164,'Specs'!$E$2:$E$164,"")</x:f>
        <x:v>ENTRY</x:v>
      </x:c>
      <x:c r="F207" t="str">
        <x:f>XLOOKUP($A207,'Specs'!$A$2:$A$164,'Specs'!$F$2:$F$164,"")</x:f>
        <x:v>SFIC</x:v>
      </x:c>
      <x:c r="G207" t="str">
        <x:f>XLOOKUP($A207,'Specs'!$A$2:$A$164,'Specs'!$G$2:$G$164,"")</x:f>
      </x:c>
      <x:c r="H207" t="str">
        <x:f>XLOOKUP($A207,'Specs'!$A$2:$A$164,'Specs'!$H$2:$H$164,"")</x:f>
      </x:c>
      <x:c r="I207" t="str">
        <x:f>XLOOKUP($A207,'Specs'!$A$2:$A$164,'Specs'!$I$2:$I$164,"")</x:f>
      </x:c>
      <x:c r="J207" t="str">
        <x:f>XLOOKUP($A207,'Specs'!$A$2:$A$164,'Specs'!$J$2:$J$164,"")</x:f>
      </x:c>
      <x:c r="K207" t="str">
        <x:f>XLOOKUP($A207,'Specs'!$A$2:$A$164,'Specs'!$K$2:$K$164,"")</x:f>
      </x:c>
      <x:c r="L207" t="str">
        <x:f>XLOOKUP($A207,'Specs'!$A$2:$A$164,'Specs'!$L$2:$L$164,"")</x:f>
      </x:c>
      <x:c r="M207" t="n">
        <x:f>XLOOKUP($A207,'Specs'!$A$2:$A$164,'Specs'!$M$2:$M$164,"")</x:f>
        <x:v>626</x:v>
      </x:c>
      <x:c r="N207" t="str">
        <x:f>XLOOKUP($A207,'Specs'!$A$2:$A$164,'Specs'!$N$2:$N$164,"")</x:f>
      </x:c>
      <x:c r="O207" t="str">
        <x:f>XLOOKUP($A207,'Specs'!$A$2:$A$164,'Specs'!$O$2:$O$164,"")</x:f>
      </x:c>
      <x:c r="P207" t="str">
        <x:f>XLOOKUP($A207,'Specs'!$A$2:$A$164,'Specs'!$P$2:$P$164,"")</x:f>
        <x:v>HIGH</x:v>
      </x:c>
      <x:c r="Q207" s="53" t="n">
        <x:f>XLOOKUP($A207,'Specs'!$A$2:$A$164,'Specs'!$Q$2:$Q$164,"")</x:f>
        <x:v>8</x:v>
      </x:c>
      <x:c r="R207" s="53" t="n">
        <x:f>XLOOKUP($A207,'Specs'!$A$2:$A$164,'Specs'!$R$2:$R$164,"")</x:f>
        <x:v>4</x:v>
      </x:c>
      <x:c r="S207" t="str">
        <x:f>'Vendor Options'!A207</x:f>
        <x:v>OFFER-44C380FC2895</x:v>
      </x:c>
      <x:c r="T207" t="str">
        <x:f>'Vendor Options'!C207</x:f>
        <x:v>PHG</x:v>
      </x:c>
      <x:c r="U207" t="str">
        <x:f>'Vendor Options'!D207</x:f>
        <x:v>HS-ICB</x:v>
      </x:c>
      <x:c r="V207" t="str">
        <x:f>'Vendor Options'!E207</x:f>
        <x:v>F109-82</x:v>
      </x:c>
      <x:c r="W207" t="str">
        <x:f>'Vendor Options'!F207</x:f>
        <x:v>F109-82</x:v>
      </x:c>
      <x:c r="X207" t="str">
        <x:f>'Vendor Options'!G207</x:f>
        <x:v>HS500CT26DICB</x:v>
      </x:c>
      <x:c r="Y207" t="str">
        <x:f>'Vendor Options'!H207</x:f>
        <x:v>HS500CT26DICB HS-CT500 - Entry (F109) - ICB</x:v>
      </x:c>
      <x:c r="Z207" t="str">
        <x:f>'Vendor Options'!I207</x:f>
      </x:c>
      <x:c r="AA207" s="54" t="n">
        <x:f>'Vendor Options'!J207</x:f>
        <x:v>100.76</x:v>
      </x:c>
      <x:c r="AB207" t="str">
        <x:f>'Vendor Options'!K207</x:f>
      </x:c>
      <x:c r="AC207" s="57" t="n">
        <x:f>'Vendor Options'!L207</x:f>
        <x:v>0</x:v>
      </x:c>
      <x:c r="AD207" s="57" t="n">
        <x:f>'Vendor Options'!M207</x:f>
        <x:v>0</x:v>
      </x:c>
      <x:c r="AE207" s="54" t="n">
        <x:f>'Vendor Options'!N207</x:f>
        <x:v>100.76</x:v>
      </x:c>
      <x:c r="AF207" t="str">
        <x:f>'Vendor Options'!O207</x:f>
        <x:v>USD</x:v>
      </x:c>
      <x:c r="AG207" t="str">
        <x:f>'Vendor Options'!P207</x:f>
        <x:v>PRICED</x:v>
      </x:c>
      <x:c r="AH207" t="str">
        <x:f>'Vendor Options'!Q207</x:f>
        <x:v>ACTIVE</x:v>
      </x:c>
      <x:c r="AI207" t="str">
        <x:f>'Vendor Options'!R207</x:f>
      </x:c>
      <x:c r="AJ207" t="n">
        <x:f>'Vendor Options'!S207</x:f>
        <x:v>186</x:v>
      </x:c>
    </x:row>
    <x:row r="208" ht="15" hidden="0" customHeight="1">
      <x:c r="A208" t="str">
        <x:f>'Vendor Options'!B208</x:f>
        <x:v>SPEC-298651EAB3F0</x:v>
      </x:c>
      <x:c r="B208" t="str">
        <x:f>XLOOKUP($A208,'Specs'!$A$2:$A$164,'Specs'!$B$2:$B$164,"")</x:f>
        <x:v>LOCK</x:v>
      </x:c>
      <x:c r="C208" t="str">
        <x:f>XLOOKUP($A208,'Specs'!$A$2:$A$164,'Specs'!$C$2:$C$164,"")</x:f>
        <x:v>CYLINDRICAL LOCK</x:v>
      </x:c>
      <x:c r="D208" t="str">
        <x:f>XLOOKUP($A208,'Specs'!$A$2:$A$164,'Specs'!$D$2:$D$164,"")</x:f>
        <x:v>CYLINDRICAL</x:v>
      </x:c>
      <x:c r="E208" t="str">
        <x:f>XLOOKUP($A208,'Specs'!$A$2:$A$164,'Specs'!$E$2:$E$164,"")</x:f>
        <x:v>ENTRY</x:v>
      </x:c>
      <x:c r="F208" t="str">
        <x:f>XLOOKUP($A208,'Specs'!$A$2:$A$164,'Specs'!$F$2:$F$164,"")</x:f>
        <x:v>STANDARD</x:v>
      </x:c>
      <x:c r="G208" t="str">
        <x:f>XLOOKUP($A208,'Specs'!$A$2:$A$164,'Specs'!$G$2:$G$164,"")</x:f>
      </x:c>
      <x:c r="H208" t="str">
        <x:f>XLOOKUP($A208,'Specs'!$A$2:$A$164,'Specs'!$H$2:$H$164,"")</x:f>
      </x:c>
      <x:c r="I208" t="str">
        <x:f>XLOOKUP($A208,'Specs'!$A$2:$A$164,'Specs'!$I$2:$I$164,"")</x:f>
      </x:c>
      <x:c r="J208" t="str">
        <x:f>XLOOKUP($A208,'Specs'!$A$2:$A$164,'Specs'!$J$2:$J$164,"")</x:f>
      </x:c>
      <x:c r="K208" t="str">
        <x:f>XLOOKUP($A208,'Specs'!$A$2:$A$164,'Specs'!$K$2:$K$164,"")</x:f>
      </x:c>
      <x:c r="L208" t="str">
        <x:f>XLOOKUP($A208,'Specs'!$A$2:$A$164,'Specs'!$L$2:$L$164,"")</x:f>
      </x:c>
      <x:c r="M208" t="n">
        <x:f>XLOOKUP($A208,'Specs'!$A$2:$A$164,'Specs'!$M$2:$M$164,"")</x:f>
        <x:v>626</x:v>
      </x:c>
      <x:c r="N208" t="str">
        <x:f>XLOOKUP($A208,'Specs'!$A$2:$A$164,'Specs'!$N$2:$N$164,"")</x:f>
      </x:c>
      <x:c r="O208" t="str">
        <x:f>XLOOKUP($A208,'Specs'!$A$2:$A$164,'Specs'!$O$2:$O$164,"")</x:f>
      </x:c>
      <x:c r="P208" t="str">
        <x:f>XLOOKUP($A208,'Specs'!$A$2:$A$164,'Specs'!$P$2:$P$164,"")</x:f>
        <x:v>HIGH</x:v>
      </x:c>
      <x:c r="Q208" s="53" t="n">
        <x:f>XLOOKUP($A208,'Specs'!$A$2:$A$164,'Specs'!$Q$2:$Q$164,"")</x:f>
        <x:v>8</x:v>
      </x:c>
      <x:c r="R208" s="53" t="n">
        <x:f>XLOOKUP($A208,'Specs'!$A$2:$A$164,'Specs'!$R$2:$R$164,"")</x:f>
        <x:v>4</x:v>
      </x:c>
      <x:c r="S208" t="str">
        <x:f>'Vendor Options'!A208</x:f>
        <x:v>OFFER-B7DA3422137A</x:v>
      </x:c>
      <x:c r="T208" t="str">
        <x:f>'Vendor Options'!C208</x:f>
        <x:v>BST</x:v>
      </x:c>
      <x:c r="U208" t="str">
        <x:f>'Vendor Options'!D208</x:f>
        <x:v>9K</x:v>
      </x:c>
      <x:c r="V208" t="str">
        <x:f>'Vendor Options'!E208</x:f>
        <x:v>AB</x:v>
      </x:c>
      <x:c r="W208" t="str">
        <x:f>'Vendor Options'!F208</x:f>
        <x:v>AB</x:v>
      </x:c>
      <x:c r="X208" t="str">
        <x:f>'Vendor Options'!G208</x:f>
        <x:v>9K-3-7-AB-15-C3-STK-626</x:v>
      </x:c>
      <x:c r="Y208" t="str">
        <x:f>'Vendor Options'!H208</x:f>
        <x:v>9K-3-7-AB-15-C3-STK-626</x:v>
      </x:c>
      <x:c r="Z208" t="n">
        <x:f>'Vendor Options'!I208</x:f>
        <x:v>0</x:v>
      </x:c>
      <x:c r="AA208" s="54" t="n">
        <x:f>'Vendor Options'!J208</x:f>
        <x:v>1227</x:v>
      </x:c>
      <x:c r="AB208" t="str">
        <x:f>'Vendor Options'!K208</x:f>
        <x:v>0.24</x:v>
      </x:c>
      <x:c r="AC208" s="57" t="n">
        <x:f>'Vendor Options'!L208</x:f>
        <x:v>0.24</x:v>
      </x:c>
      <x:c r="AD208" s="57" t="n">
        <x:f>'Vendor Options'!M208</x:f>
        <x:v>0</x:v>
      </x:c>
      <x:c r="AE208" s="54" t="n">
        <x:f>'Vendor Options'!N208</x:f>
        <x:v>932.52</x:v>
      </x:c>
      <x:c r="AF208" t="str">
        <x:f>'Vendor Options'!O208</x:f>
        <x:v>USD</x:v>
      </x:c>
      <x:c r="AG208" t="str">
        <x:f>'Vendor Options'!P208</x:f>
        <x:v>PRICED</x:v>
      </x:c>
      <x:c r="AH208" t="str">
        <x:f>'Vendor Options'!Q208</x:f>
        <x:v>ACTIVE</x:v>
      </x:c>
      <x:c r="AI208" t="str">
        <x:f>'Vendor Options'!R208</x:f>
      </x:c>
      <x:c r="AJ208" t="n">
        <x:f>'Vendor Options'!S208</x:f>
        <x:v>115</x:v>
      </x:c>
    </x:row>
    <x:row r="209" ht="15" hidden="0" customHeight="1">
      <x:c r="A209" t="str">
        <x:f>'Vendor Options'!B209</x:f>
        <x:v>SPEC-298651EAB3F0</x:v>
      </x:c>
      <x:c r="B209" t="str">
        <x:f>XLOOKUP($A209,'Specs'!$A$2:$A$164,'Specs'!$B$2:$B$164,"")</x:f>
        <x:v>LOCK</x:v>
      </x:c>
      <x:c r="C209" t="str">
        <x:f>XLOOKUP($A209,'Specs'!$A$2:$A$164,'Specs'!$C$2:$C$164,"")</x:f>
        <x:v>CYLINDRICAL LOCK</x:v>
      </x:c>
      <x:c r="D209" t="str">
        <x:f>XLOOKUP($A209,'Specs'!$A$2:$A$164,'Specs'!$D$2:$D$164,"")</x:f>
        <x:v>CYLINDRICAL</x:v>
      </x:c>
      <x:c r="E209" t="str">
        <x:f>XLOOKUP($A209,'Specs'!$A$2:$A$164,'Specs'!$E$2:$E$164,"")</x:f>
        <x:v>ENTRY</x:v>
      </x:c>
      <x:c r="F209" t="str">
        <x:f>XLOOKUP($A209,'Specs'!$A$2:$A$164,'Specs'!$F$2:$F$164,"")</x:f>
        <x:v>STANDARD</x:v>
      </x:c>
      <x:c r="G209" t="str">
        <x:f>XLOOKUP($A209,'Specs'!$A$2:$A$164,'Specs'!$G$2:$G$164,"")</x:f>
      </x:c>
      <x:c r="H209" t="str">
        <x:f>XLOOKUP($A209,'Specs'!$A$2:$A$164,'Specs'!$H$2:$H$164,"")</x:f>
      </x:c>
      <x:c r="I209" t="str">
        <x:f>XLOOKUP($A209,'Specs'!$A$2:$A$164,'Specs'!$I$2:$I$164,"")</x:f>
      </x:c>
      <x:c r="J209" t="str">
        <x:f>XLOOKUP($A209,'Specs'!$A$2:$A$164,'Specs'!$J$2:$J$164,"")</x:f>
      </x:c>
      <x:c r="K209" t="str">
        <x:f>XLOOKUP($A209,'Specs'!$A$2:$A$164,'Specs'!$K$2:$K$164,"")</x:f>
      </x:c>
      <x:c r="L209" t="str">
        <x:f>XLOOKUP($A209,'Specs'!$A$2:$A$164,'Specs'!$L$2:$L$164,"")</x:f>
      </x:c>
      <x:c r="M209" t="n">
        <x:f>XLOOKUP($A209,'Specs'!$A$2:$A$164,'Specs'!$M$2:$M$164,"")</x:f>
        <x:v>626</x:v>
      </x:c>
      <x:c r="N209" t="str">
        <x:f>XLOOKUP($A209,'Specs'!$A$2:$A$164,'Specs'!$N$2:$N$164,"")</x:f>
      </x:c>
      <x:c r="O209" t="str">
        <x:f>XLOOKUP($A209,'Specs'!$A$2:$A$164,'Specs'!$O$2:$O$164,"")</x:f>
      </x:c>
      <x:c r="P209" t="str">
        <x:f>XLOOKUP($A209,'Specs'!$A$2:$A$164,'Specs'!$P$2:$P$164,"")</x:f>
        <x:v>HIGH</x:v>
      </x:c>
      <x:c r="Q209" s="53" t="n">
        <x:f>XLOOKUP($A209,'Specs'!$A$2:$A$164,'Specs'!$Q$2:$Q$164,"")</x:f>
        <x:v>8</x:v>
      </x:c>
      <x:c r="R209" s="53" t="n">
        <x:f>XLOOKUP($A209,'Specs'!$A$2:$A$164,'Specs'!$R$2:$R$164,"")</x:f>
        <x:v>4</x:v>
      </x:c>
      <x:c r="S209" t="str">
        <x:f>'Vendor Options'!A209</x:f>
        <x:v>OFFER-CE566201C1EC</x:v>
      </x:c>
      <x:c r="T209" t="str">
        <x:f>'Vendor Options'!C209</x:f>
        <x:v>DH</x:v>
      </x:c>
      <x:c r="U209" t="str">
        <x:f>'Vendor Options'!D209</x:f>
        <x:v>J-82</x:v>
      </x:c>
      <x:c r="V209" t="str">
        <x:f>'Vendor Options'!E209</x:f>
        <x:v>F82</x:v>
      </x:c>
      <x:c r="W209" t="str">
        <x:f>'Vendor Options'!F209</x:f>
        <x:v>F82</x:v>
      </x:c>
      <x:c r="X209" t="str">
        <x:f>'Vendor Options'!G209</x:f>
        <x:v>78093754</x:v>
      </x:c>
      <x:c r="Y209" t="str">
        <x:f>'Vendor Options'!H209</x:f>
        <x:v>78093754 - J-82 - F - Entry Function</x:v>
      </x:c>
      <x:c r="Z209" t="n">
        <x:f>'Vendor Options'!I209</x:f>
        <x:v>0</x:v>
      </x:c>
      <x:c r="AA209" s="54" t="n">
        <x:f>'Vendor Options'!J209</x:f>
        <x:v>0</x:v>
      </x:c>
      <x:c r="AB209" t="n">
        <x:f>'Vendor Options'!K209</x:f>
        <x:v>0</x:v>
      </x:c>
      <x:c r="AC209" s="57" t="n">
        <x:f>'Vendor Options'!L209</x:f>
        <x:v>0</x:v>
      </x:c>
      <x:c r="AD209" s="57" t="n">
        <x:f>'Vendor Options'!M209</x:f>
        <x:v>0</x:v>
      </x:c>
      <x:c r="AE209" s="54" t="str">
        <x:f>'Vendor Options'!N209</x:f>
      </x:c>
      <x:c r="AF209" t="str">
        <x:f>'Vendor Options'!O209</x:f>
        <x:v>USD</x:v>
      </x:c>
      <x:c r="AG209" t="str">
        <x:f>'Vendor Options'!P209</x:f>
        <x:v>UNPRICED</x:v>
      </x:c>
      <x:c r="AH209" t="str">
        <x:f>'Vendor Options'!Q209</x:f>
        <x:v>ACTIVE</x:v>
      </x:c>
      <x:c r="AI209" t="str">
        <x:f>'Vendor Options'!R209</x:f>
        <x:v>MISSING_PRICE</x:v>
      </x:c>
      <x:c r="AJ209" t="n">
        <x:f>'Vendor Options'!S209</x:f>
        <x:v>152</x:v>
      </x:c>
    </x:row>
    <x:row r="210" ht="15" hidden="0" customHeight="1">
      <x:c r="A210" t="str">
        <x:f>'Vendor Options'!B210</x:f>
        <x:v>SPEC-298651EAB3F0</x:v>
      </x:c>
      <x:c r="B210" t="str">
        <x:f>XLOOKUP($A210,'Specs'!$A$2:$A$164,'Specs'!$B$2:$B$164,"")</x:f>
        <x:v>LOCK</x:v>
      </x:c>
      <x:c r="C210" t="str">
        <x:f>XLOOKUP($A210,'Specs'!$A$2:$A$164,'Specs'!$C$2:$C$164,"")</x:f>
        <x:v>CYLINDRICAL LOCK</x:v>
      </x:c>
      <x:c r="D210" t="str">
        <x:f>XLOOKUP($A210,'Specs'!$A$2:$A$164,'Specs'!$D$2:$D$164,"")</x:f>
        <x:v>CYLINDRICAL</x:v>
      </x:c>
      <x:c r="E210" t="str">
        <x:f>XLOOKUP($A210,'Specs'!$A$2:$A$164,'Specs'!$E$2:$E$164,"")</x:f>
        <x:v>ENTRY</x:v>
      </x:c>
      <x:c r="F210" t="str">
        <x:f>XLOOKUP($A210,'Specs'!$A$2:$A$164,'Specs'!$F$2:$F$164,"")</x:f>
        <x:v>STANDARD</x:v>
      </x:c>
      <x:c r="G210" t="str">
        <x:f>XLOOKUP($A210,'Specs'!$A$2:$A$164,'Specs'!$G$2:$G$164,"")</x:f>
      </x:c>
      <x:c r="H210" t="str">
        <x:f>XLOOKUP($A210,'Specs'!$A$2:$A$164,'Specs'!$H$2:$H$164,"")</x:f>
      </x:c>
      <x:c r="I210" t="str">
        <x:f>XLOOKUP($A210,'Specs'!$A$2:$A$164,'Specs'!$I$2:$I$164,"")</x:f>
      </x:c>
      <x:c r="J210" t="str">
        <x:f>XLOOKUP($A210,'Specs'!$A$2:$A$164,'Specs'!$J$2:$J$164,"")</x:f>
      </x:c>
      <x:c r="K210" t="str">
        <x:f>XLOOKUP($A210,'Specs'!$A$2:$A$164,'Specs'!$K$2:$K$164,"")</x:f>
      </x:c>
      <x:c r="L210" t="str">
        <x:f>XLOOKUP($A210,'Specs'!$A$2:$A$164,'Specs'!$L$2:$L$164,"")</x:f>
      </x:c>
      <x:c r="M210" t="n">
        <x:f>XLOOKUP($A210,'Specs'!$A$2:$A$164,'Specs'!$M$2:$M$164,"")</x:f>
        <x:v>626</x:v>
      </x:c>
      <x:c r="N210" t="str">
        <x:f>XLOOKUP($A210,'Specs'!$A$2:$A$164,'Specs'!$N$2:$N$164,"")</x:f>
      </x:c>
      <x:c r="O210" t="str">
        <x:f>XLOOKUP($A210,'Specs'!$A$2:$A$164,'Specs'!$O$2:$O$164,"")</x:f>
      </x:c>
      <x:c r="P210" t="str">
        <x:f>XLOOKUP($A210,'Specs'!$A$2:$A$164,'Specs'!$P$2:$P$164,"")</x:f>
        <x:v>HIGH</x:v>
      </x:c>
      <x:c r="Q210" s="53" t="n">
        <x:f>XLOOKUP($A210,'Specs'!$A$2:$A$164,'Specs'!$Q$2:$Q$164,"")</x:f>
        <x:v>8</x:v>
      </x:c>
      <x:c r="R210" s="53" t="n">
        <x:f>XLOOKUP($A210,'Specs'!$A$2:$A$164,'Specs'!$R$2:$R$164,"")</x:f>
        <x:v>4</x:v>
      </x:c>
      <x:c r="S210" t="str">
        <x:f>'Vendor Options'!A210</x:f>
        <x:v>OFFER-B1A403C8D453</x:v>
      </x:c>
      <x:c r="T210" t="str">
        <x:f>'Vendor Options'!C210</x:f>
        <x:v>DH</x:v>
      </x:c>
      <x:c r="U210" t="str">
        <x:f>'Vendor Options'!D210</x:f>
        <x:v>X-82</x:v>
      </x:c>
      <x:c r="V210" t="str">
        <x:f>'Vendor Options'!E210</x:f>
        <x:v>F82</x:v>
      </x:c>
      <x:c r="W210" t="str">
        <x:f>'Vendor Options'!F210</x:f>
        <x:v>F82</x:v>
      </x:c>
      <x:c r="X210" t="str">
        <x:f>'Vendor Options'!G210</x:f>
        <x:v>78001756</x:v>
      </x:c>
      <x:c r="Y210" t="str">
        <x:f>'Vendor Options'!H210</x:f>
        <x:v>78001756 - X-82 - F - Entry Function</x:v>
      </x:c>
      <x:c r="Z210" t="str">
        <x:f>'Vendor Options'!I210</x:f>
      </x:c>
      <x:c r="AA210" s="54" t="n">
        <x:f>'Vendor Options'!J210</x:f>
        <x:v>0</x:v>
      </x:c>
      <x:c r="AB210" t="str">
        <x:f>'Vendor Options'!K210</x:f>
      </x:c>
      <x:c r="AC210" s="57" t="n">
        <x:f>'Vendor Options'!L210</x:f>
        <x:v>0</x:v>
      </x:c>
      <x:c r="AD210" s="57" t="n">
        <x:f>'Vendor Options'!M210</x:f>
        <x:v>0</x:v>
      </x:c>
      <x:c r="AE210" s="54" t="str">
        <x:f>'Vendor Options'!N210</x:f>
      </x:c>
      <x:c r="AF210" t="str">
        <x:f>'Vendor Options'!O210</x:f>
        <x:v>USD</x:v>
      </x:c>
      <x:c r="AG210" t="str">
        <x:f>'Vendor Options'!P210</x:f>
        <x:v>UNPRICED</x:v>
      </x:c>
      <x:c r="AH210" t="str">
        <x:f>'Vendor Options'!Q210</x:f>
        <x:v>ACTIVE</x:v>
      </x:c>
      <x:c r="AI210" t="str">
        <x:f>'Vendor Options'!R210</x:f>
        <x:v>MISSING_PRICE</x:v>
      </x:c>
      <x:c r="AJ210" t="n">
        <x:f>'Vendor Options'!S210</x:f>
        <x:v>145</x:v>
      </x:c>
    </x:row>
    <x:row r="211" ht="15" hidden="0" customHeight="1">
      <x:c r="A211" t="str">
        <x:f>'Vendor Options'!B211</x:f>
        <x:v>SPEC-298651EAB3F0</x:v>
      </x:c>
      <x:c r="B211" t="str">
        <x:f>XLOOKUP($A211,'Specs'!$A$2:$A$164,'Specs'!$B$2:$B$164,"")</x:f>
        <x:v>LOCK</x:v>
      </x:c>
      <x:c r="C211" t="str">
        <x:f>XLOOKUP($A211,'Specs'!$A$2:$A$164,'Specs'!$C$2:$C$164,"")</x:f>
        <x:v>CYLINDRICAL LOCK</x:v>
      </x:c>
      <x:c r="D211" t="str">
        <x:f>XLOOKUP($A211,'Specs'!$A$2:$A$164,'Specs'!$D$2:$D$164,"")</x:f>
        <x:v>CYLINDRICAL</x:v>
      </x:c>
      <x:c r="E211" t="str">
        <x:f>XLOOKUP($A211,'Specs'!$A$2:$A$164,'Specs'!$E$2:$E$164,"")</x:f>
        <x:v>ENTRY</x:v>
      </x:c>
      <x:c r="F211" t="str">
        <x:f>XLOOKUP($A211,'Specs'!$A$2:$A$164,'Specs'!$F$2:$F$164,"")</x:f>
        <x:v>STANDARD</x:v>
      </x:c>
      <x:c r="G211" t="str">
        <x:f>XLOOKUP($A211,'Specs'!$A$2:$A$164,'Specs'!$G$2:$G$164,"")</x:f>
      </x:c>
      <x:c r="H211" t="str">
        <x:f>XLOOKUP($A211,'Specs'!$A$2:$A$164,'Specs'!$H$2:$H$164,"")</x:f>
      </x:c>
      <x:c r="I211" t="str">
        <x:f>XLOOKUP($A211,'Specs'!$A$2:$A$164,'Specs'!$I$2:$I$164,"")</x:f>
      </x:c>
      <x:c r="J211" t="str">
        <x:f>XLOOKUP($A211,'Specs'!$A$2:$A$164,'Specs'!$J$2:$J$164,"")</x:f>
      </x:c>
      <x:c r="K211" t="str">
        <x:f>XLOOKUP($A211,'Specs'!$A$2:$A$164,'Specs'!$K$2:$K$164,"")</x:f>
      </x:c>
      <x:c r="L211" t="str">
        <x:f>XLOOKUP($A211,'Specs'!$A$2:$A$164,'Specs'!$L$2:$L$164,"")</x:f>
      </x:c>
      <x:c r="M211" t="n">
        <x:f>XLOOKUP($A211,'Specs'!$A$2:$A$164,'Specs'!$M$2:$M$164,"")</x:f>
        <x:v>626</x:v>
      </x:c>
      <x:c r="N211" t="str">
        <x:f>XLOOKUP($A211,'Specs'!$A$2:$A$164,'Specs'!$N$2:$N$164,"")</x:f>
      </x:c>
      <x:c r="O211" t="str">
        <x:f>XLOOKUP($A211,'Specs'!$A$2:$A$164,'Specs'!$O$2:$O$164,"")</x:f>
      </x:c>
      <x:c r="P211" t="str">
        <x:f>XLOOKUP($A211,'Specs'!$A$2:$A$164,'Specs'!$P$2:$P$164,"")</x:f>
        <x:v>HIGH</x:v>
      </x:c>
      <x:c r="Q211" s="53" t="n">
        <x:f>XLOOKUP($A211,'Specs'!$A$2:$A$164,'Specs'!$Q$2:$Q$164,"")</x:f>
        <x:v>8</x:v>
      </x:c>
      <x:c r="R211" s="53" t="n">
        <x:f>XLOOKUP($A211,'Specs'!$A$2:$A$164,'Specs'!$R$2:$R$164,"")</x:f>
        <x:v>4</x:v>
      </x:c>
      <x:c r="S211" t="str">
        <x:f>'Vendor Options'!A211</x:f>
        <x:v>OFFER-12499BAFD07E</x:v>
      </x:c>
      <x:c r="T211" t="str">
        <x:f>'Vendor Options'!C211</x:f>
        <x:v>DH</x:v>
      </x:c>
      <x:c r="U211" t="str">
        <x:f>'Vendor Options'!D211</x:f>
        <x:v>Z-82</x:v>
      </x:c>
      <x:c r="V211" t="str">
        <x:f>'Vendor Options'!E211</x:f>
        <x:v>F82</x:v>
      </x:c>
      <x:c r="W211" t="str">
        <x:f>'Vendor Options'!F211</x:f>
        <x:v>F82</x:v>
      </x:c>
      <x:c r="X211" t="str">
        <x:f>'Vendor Options'!G211</x:f>
        <x:v>78001843</x:v>
      </x:c>
      <x:c r="Y211" t="str">
        <x:f>'Vendor Options'!H211</x:f>
        <x:v>78001843 - Z-82 - F - Entry Function</x:v>
      </x:c>
      <x:c r="Z211" t="str">
        <x:f>'Vendor Options'!I211</x:f>
      </x:c>
      <x:c r="AA211" s="54" t="n">
        <x:f>'Vendor Options'!J211</x:f>
        <x:v>290.7</x:v>
      </x:c>
      <x:c r="AB211" t="str">
        <x:f>'Vendor Options'!K211</x:f>
        <x:v>0.26</x:v>
      </x:c>
      <x:c r="AC211" s="57" t="n">
        <x:f>'Vendor Options'!L211</x:f>
        <x:v>0.26</x:v>
      </x:c>
      <x:c r="AD211" s="57" t="n">
        <x:f>'Vendor Options'!M211</x:f>
        <x:v>0</x:v>
      </x:c>
      <x:c r="AE211" s="54" t="n">
        <x:f>'Vendor Options'!N211</x:f>
        <x:v>215.118</x:v>
      </x:c>
      <x:c r="AF211" t="str">
        <x:f>'Vendor Options'!O211</x:f>
        <x:v>USD</x:v>
      </x:c>
      <x:c r="AG211" t="str">
        <x:f>'Vendor Options'!P211</x:f>
        <x:v>PRICED</x:v>
      </x:c>
      <x:c r="AH211" t="str">
        <x:f>'Vendor Options'!Q211</x:f>
        <x:v>ACTIVE</x:v>
      </x:c>
      <x:c r="AI211" t="str">
        <x:f>'Vendor Options'!R211</x:f>
      </x:c>
      <x:c r="AJ211" t="n">
        <x:f>'Vendor Options'!S211</x:f>
        <x:v>136</x:v>
      </x:c>
    </x:row>
    <x:row r="212" ht="15" hidden="0" customHeight="1">
      <x:c r="A212" t="str">
        <x:f>'Vendor Options'!B212</x:f>
        <x:v>SPEC-298651EAB3F0</x:v>
      </x:c>
      <x:c r="B212" t="str">
        <x:f>XLOOKUP($A212,'Specs'!$A$2:$A$164,'Specs'!$B$2:$B$164,"")</x:f>
        <x:v>LOCK</x:v>
      </x:c>
      <x:c r="C212" t="str">
        <x:f>XLOOKUP($A212,'Specs'!$A$2:$A$164,'Specs'!$C$2:$C$164,"")</x:f>
        <x:v>CYLINDRICAL LOCK</x:v>
      </x:c>
      <x:c r="D212" t="str">
        <x:f>XLOOKUP($A212,'Specs'!$A$2:$A$164,'Specs'!$D$2:$D$164,"")</x:f>
        <x:v>CYLINDRICAL</x:v>
      </x:c>
      <x:c r="E212" t="str">
        <x:f>XLOOKUP($A212,'Specs'!$A$2:$A$164,'Specs'!$E$2:$E$164,"")</x:f>
        <x:v>ENTRY</x:v>
      </x:c>
      <x:c r="F212" t="str">
        <x:f>XLOOKUP($A212,'Specs'!$A$2:$A$164,'Specs'!$F$2:$F$164,"")</x:f>
        <x:v>STANDARD</x:v>
      </x:c>
      <x:c r="G212" t="str">
        <x:f>XLOOKUP($A212,'Specs'!$A$2:$A$164,'Specs'!$G$2:$G$164,"")</x:f>
      </x:c>
      <x:c r="H212" t="str">
        <x:f>XLOOKUP($A212,'Specs'!$A$2:$A$164,'Specs'!$H$2:$H$164,"")</x:f>
      </x:c>
      <x:c r="I212" t="str">
        <x:f>XLOOKUP($A212,'Specs'!$A$2:$A$164,'Specs'!$I$2:$I$164,"")</x:f>
      </x:c>
      <x:c r="J212" t="str">
        <x:f>XLOOKUP($A212,'Specs'!$A$2:$A$164,'Specs'!$J$2:$J$164,"")</x:f>
      </x:c>
      <x:c r="K212" t="str">
        <x:f>XLOOKUP($A212,'Specs'!$A$2:$A$164,'Specs'!$K$2:$K$164,"")</x:f>
      </x:c>
      <x:c r="L212" t="str">
        <x:f>XLOOKUP($A212,'Specs'!$A$2:$A$164,'Specs'!$L$2:$L$164,"")</x:f>
      </x:c>
      <x:c r="M212" t="n">
        <x:f>XLOOKUP($A212,'Specs'!$A$2:$A$164,'Specs'!$M$2:$M$164,"")</x:f>
        <x:v>626</x:v>
      </x:c>
      <x:c r="N212" t="str">
        <x:f>XLOOKUP($A212,'Specs'!$A$2:$A$164,'Specs'!$N$2:$N$164,"")</x:f>
      </x:c>
      <x:c r="O212" t="str">
        <x:f>XLOOKUP($A212,'Specs'!$A$2:$A$164,'Specs'!$O$2:$O$164,"")</x:f>
      </x:c>
      <x:c r="P212" t="str">
        <x:f>XLOOKUP($A212,'Specs'!$A$2:$A$164,'Specs'!$P$2:$P$164,"")</x:f>
        <x:v>HIGH</x:v>
      </x:c>
      <x:c r="Q212" s="53" t="n">
        <x:f>XLOOKUP($A212,'Specs'!$A$2:$A$164,'Specs'!$Q$2:$Q$164,"")</x:f>
        <x:v>8</x:v>
      </x:c>
      <x:c r="R212" s="53" t="n">
        <x:f>XLOOKUP($A212,'Specs'!$A$2:$A$164,'Specs'!$R$2:$R$164,"")</x:f>
        <x:v>4</x:v>
      </x:c>
      <x:c r="S212" t="str">
        <x:f>'Vendor Options'!A212</x:f>
        <x:v>OFFER-CF9767EEC07F</x:v>
      </x:c>
      <x:c r="T212" t="str">
        <x:f>'Vendor Options'!C212</x:f>
        <x:v>DK</x:v>
      </x:c>
      <x:c r="U212" t="str">
        <x:f>'Vendor Options'!D212</x:f>
        <x:v>C150</x:v>
      </x:c>
      <x:c r="V212" t="str">
        <x:f>'Vendor Options'!E212</x:f>
        <x:v>F109-82</x:v>
      </x:c>
      <x:c r="W212" t="str">
        <x:f>'Vendor Options'!F212</x:f>
        <x:v>F109-82</x:v>
      </x:c>
      <x:c r="X212" t="str">
        <x:f>'Vendor Options'!G212</x:f>
        <x:v>C150-D-LR-C-*-*-10252-134-5001-1316</x:v>
      </x:c>
      <x:c r="Y212" t="str">
        <x:f>'Vendor Options'!H212</x:f>
        <x:v>C150-D-LR-C-*-*-10252-134-5001-1316</x:v>
      </x:c>
      <x:c r="Z212" t="str">
        <x:f>'Vendor Options'!I212</x:f>
      </x:c>
      <x:c r="AA212" s="54" t="n">
        <x:f>'Vendor Options'!J212</x:f>
        <x:v>106.88</x:v>
      </x:c>
      <x:c r="AB212" t="n">
        <x:f>'Vendor Options'!K212</x:f>
        <x:v>0</x:v>
      </x:c>
      <x:c r="AC212" s="57" t="n">
        <x:f>'Vendor Options'!L212</x:f>
        <x:v>0</x:v>
      </x:c>
      <x:c r="AD212" s="57" t="n">
        <x:f>'Vendor Options'!M212</x:f>
        <x:v>0</x:v>
      </x:c>
      <x:c r="AE212" s="54" t="n">
        <x:f>'Vendor Options'!N212</x:f>
        <x:v>106.88</x:v>
      </x:c>
      <x:c r="AF212" t="str">
        <x:f>'Vendor Options'!O212</x:f>
        <x:v>USD</x:v>
      </x:c>
      <x:c r="AG212" t="str">
        <x:f>'Vendor Options'!P212</x:f>
        <x:v>PRICED</x:v>
      </x:c>
      <x:c r="AH212" t="str">
        <x:f>'Vendor Options'!Q212</x:f>
        <x:v>REVIEW</x:v>
      </x:c>
      <x:c r="AI212" t="str">
        <x:f>'Vendor Options'!R212</x:f>
        <x:v>POSSIBLE_PRICE_OUTLIER</x:v>
      </x:c>
      <x:c r="AJ212" t="n">
        <x:f>'Vendor Options'!S212</x:f>
        <x:v>125</x:v>
      </x:c>
    </x:row>
    <x:row r="213" ht="15" hidden="0" customHeight="1">
      <x:c r="A213" t="str">
        <x:f>'Vendor Options'!B213</x:f>
        <x:v>SPEC-4F3533C4A796</x:v>
      </x:c>
      <x:c r="B213" t="str">
        <x:f>XLOOKUP($A213,'Specs'!$A$2:$A$164,'Specs'!$B$2:$B$164,"")</x:f>
        <x:v>LOCK</x:v>
      </x:c>
      <x:c r="C213" t="str">
        <x:f>XLOOKUP($A213,'Specs'!$A$2:$A$164,'Specs'!$C$2:$C$164,"")</x:f>
        <x:v>CYLINDRICAL LOCK</x:v>
      </x:c>
      <x:c r="D213" t="str">
        <x:f>XLOOKUP($A213,'Specs'!$A$2:$A$164,'Specs'!$D$2:$D$164,"")</x:f>
        <x:v>CYLINDRICAL</x:v>
      </x:c>
      <x:c r="E213" t="str">
        <x:f>XLOOKUP($A213,'Specs'!$A$2:$A$164,'Specs'!$E$2:$E$164,"")</x:f>
        <x:v>ENTRY</x:v>
      </x:c>
      <x:c r="F213" t="str">
        <x:f>XLOOKUP($A213,'Specs'!$A$2:$A$164,'Specs'!$F$2:$F$164,"")</x:f>
        <x:v>STANDARD</x:v>
      </x:c>
      <x:c r="G213" t="str">
        <x:f>XLOOKUP($A213,'Specs'!$A$2:$A$164,'Specs'!$G$2:$G$164,"")</x:f>
      </x:c>
      <x:c r="H213" t="str">
        <x:f>XLOOKUP($A213,'Specs'!$A$2:$A$164,'Specs'!$H$2:$H$164,"")</x:f>
      </x:c>
      <x:c r="I213" t="str">
        <x:f>XLOOKUP($A213,'Specs'!$A$2:$A$164,'Specs'!$I$2:$I$164,"")</x:f>
      </x:c>
      <x:c r="J213" t="str">
        <x:f>XLOOKUP($A213,'Specs'!$A$2:$A$164,'Specs'!$J$2:$J$164,"")</x:f>
      </x:c>
      <x:c r="K213" t="str">
        <x:f>XLOOKUP($A213,'Specs'!$A$2:$A$164,'Specs'!$K$2:$K$164,"")</x:f>
      </x:c>
      <x:c r="L213" t="str">
        <x:f>XLOOKUP($A213,'Specs'!$A$2:$A$164,'Specs'!$L$2:$L$164,"")</x:f>
      </x:c>
      <x:c r="M213" t="n">
        <x:f>XLOOKUP($A213,'Specs'!$A$2:$A$164,'Specs'!$M$2:$M$164,"")</x:f>
        <x:v>626</x:v>
      </x:c>
      <x:c r="N213" t="str">
        <x:f>XLOOKUP($A213,'Specs'!$A$2:$A$164,'Specs'!$N$2:$N$164,"")</x:f>
        <x:v>FAIL SAFE</x:v>
      </x:c>
      <x:c r="O213" t="str">
        <x:f>XLOOKUP($A213,'Specs'!$A$2:$A$164,'Specs'!$O$2:$O$164,"")</x:f>
      </x:c>
      <x:c r="P213" t="str">
        <x:f>XLOOKUP($A213,'Specs'!$A$2:$A$164,'Specs'!$P$2:$P$164,"")</x:f>
        <x:v>HIGH</x:v>
      </x:c>
      <x:c r="Q213" s="53" t="n">
        <x:f>XLOOKUP($A213,'Specs'!$A$2:$A$164,'Specs'!$Q$2:$Q$164,"")</x:f>
        <x:v>1</x:v>
      </x:c>
      <x:c r="R213" s="53" t="n">
        <x:f>XLOOKUP($A213,'Specs'!$A$2:$A$164,'Specs'!$R$2:$R$164,"")</x:f>
        <x:v>1</x:v>
      </x:c>
      <x:c r="S213" t="str">
        <x:f>'Vendor Options'!A213</x:f>
        <x:v>OFFER-392B449BDFDB</x:v>
      </x:c>
      <x:c r="T213" t="str">
        <x:f>'Vendor Options'!C213</x:f>
        <x:v>DK</x:v>
      </x:c>
      <x:c r="U213" t="str">
        <x:f>'Vendor Options'!D213</x:f>
        <x:v>C180EL</x:v>
      </x:c>
      <x:c r="V213" t="str">
        <x:f>'Vendor Options'!E213</x:f>
        <x:v>F109-82</x:v>
      </x:c>
      <x:c r="W213" t="str">
        <x:f>'Vendor Options'!F213</x:f>
        <x:v>F109-82</x:v>
      </x:c>
      <x:c r="X213" t="str">
        <x:f>'Vendor Options'!G213</x:f>
        <x:v>C180EL-D-LR-C-*-*-10252-134-5001-1316</x:v>
      </x:c>
      <x:c r="Y213" t="str">
        <x:f>'Vendor Options'!H213</x:f>
        <x:v>C180EL-D-LR-C-*-*-10252-134-5001-1316</x:v>
      </x:c>
      <x:c r="Z213" t="str">
        <x:f>'Vendor Options'!I213</x:f>
      </x:c>
      <x:c r="AA213" s="54" t="n">
        <x:f>'Vendor Options'!J213</x:f>
        <x:v>116.88</x:v>
      </x:c>
      <x:c r="AB213" t="n">
        <x:f>'Vendor Options'!K213</x:f>
        <x:v>0</x:v>
      </x:c>
      <x:c r="AC213" s="57" t="n">
        <x:f>'Vendor Options'!L213</x:f>
        <x:v>0</x:v>
      </x:c>
      <x:c r="AD213" s="57" t="n">
        <x:f>'Vendor Options'!M213</x:f>
        <x:v>0</x:v>
      </x:c>
      <x:c r="AE213" s="54" t="n">
        <x:f>'Vendor Options'!N213</x:f>
        <x:v>116.88</x:v>
      </x:c>
      <x:c r="AF213" t="str">
        <x:f>'Vendor Options'!O213</x:f>
        <x:v>USD</x:v>
      </x:c>
      <x:c r="AG213" t="str">
        <x:f>'Vendor Options'!P213</x:f>
        <x:v>PRICED</x:v>
      </x:c>
      <x:c r="AH213" t="str">
        <x:f>'Vendor Options'!Q213</x:f>
        <x:v>REVIEW</x:v>
      </x:c>
      <x:c r="AI213" t="str">
        <x:f>'Vendor Options'!R213</x:f>
        <x:v>POSSIBLE_PRICE_OUTLIER</x:v>
      </x:c>
      <x:c r="AJ213" t="n">
        <x:f>'Vendor Options'!S213</x:f>
        <x:v>128</x:v>
      </x:c>
    </x:row>
    <x:row r="214" ht="15" hidden="0" customHeight="1">
      <x:c r="A214" t="str">
        <x:f>'Vendor Options'!B214</x:f>
        <x:v>SPEC-5446FAC943AB</x:v>
      </x:c>
      <x:c r="B214" t="str">
        <x:f>XLOOKUP($A214,'Specs'!$A$2:$A$164,'Specs'!$B$2:$B$164,"")</x:f>
        <x:v>LOCK</x:v>
      </x:c>
      <x:c r="C214" t="str">
        <x:f>XLOOKUP($A214,'Specs'!$A$2:$A$164,'Specs'!$C$2:$C$164,"")</x:f>
        <x:v>CYLINDRICAL LOCK</x:v>
      </x:c>
      <x:c r="D214" t="str">
        <x:f>XLOOKUP($A214,'Specs'!$A$2:$A$164,'Specs'!$D$2:$D$164,"")</x:f>
        <x:v>CYLINDRICAL</x:v>
      </x:c>
      <x:c r="E214" t="str">
        <x:f>XLOOKUP($A214,'Specs'!$A$2:$A$164,'Specs'!$E$2:$E$164,"")</x:f>
        <x:v>ENTRY</x:v>
      </x:c>
      <x:c r="F214" t="str">
        <x:f>XLOOKUP($A214,'Specs'!$A$2:$A$164,'Specs'!$F$2:$F$164,"")</x:f>
        <x:v>STANDARD</x:v>
      </x:c>
      <x:c r="G214" t="str">
        <x:f>XLOOKUP($A214,'Specs'!$A$2:$A$164,'Specs'!$G$2:$G$164,"")</x:f>
      </x:c>
      <x:c r="H214" t="str">
        <x:f>XLOOKUP($A214,'Specs'!$A$2:$A$164,'Specs'!$H$2:$H$164,"")</x:f>
      </x:c>
      <x:c r="I214" t="str">
        <x:f>XLOOKUP($A214,'Specs'!$A$2:$A$164,'Specs'!$I$2:$I$164,"")</x:f>
      </x:c>
      <x:c r="J214" t="str">
        <x:f>XLOOKUP($A214,'Specs'!$A$2:$A$164,'Specs'!$J$2:$J$164,"")</x:f>
      </x:c>
      <x:c r="K214" t="str">
        <x:f>XLOOKUP($A214,'Specs'!$A$2:$A$164,'Specs'!$K$2:$K$164,"")</x:f>
      </x:c>
      <x:c r="L214" t="str">
        <x:f>XLOOKUP($A214,'Specs'!$A$2:$A$164,'Specs'!$L$2:$L$164,"")</x:f>
      </x:c>
      <x:c r="M214" t="n">
        <x:f>XLOOKUP($A214,'Specs'!$A$2:$A$164,'Specs'!$M$2:$M$164,"")</x:f>
        <x:v>626</x:v>
      </x:c>
      <x:c r="N214" t="str">
        <x:f>XLOOKUP($A214,'Specs'!$A$2:$A$164,'Specs'!$N$2:$N$164,"")</x:f>
        <x:v>FAIL SECURE</x:v>
      </x:c>
      <x:c r="O214" t="str">
        <x:f>XLOOKUP($A214,'Specs'!$A$2:$A$164,'Specs'!$O$2:$O$164,"")</x:f>
      </x:c>
      <x:c r="P214" t="str">
        <x:f>XLOOKUP($A214,'Specs'!$A$2:$A$164,'Specs'!$P$2:$P$164,"")</x:f>
        <x:v>HIGH</x:v>
      </x:c>
      <x:c r="Q214" s="53" t="n">
        <x:f>XLOOKUP($A214,'Specs'!$A$2:$A$164,'Specs'!$Q$2:$Q$164,"")</x:f>
        <x:v>2</x:v>
      </x:c>
      <x:c r="R214" s="53" t="n">
        <x:f>XLOOKUP($A214,'Specs'!$A$2:$A$164,'Specs'!$R$2:$R$164,"")</x:f>
        <x:v>2</x:v>
      </x:c>
      <x:c r="S214" t="str">
        <x:f>'Vendor Options'!A214</x:f>
        <x:v>OFFER-BC06A3BF9397</x:v>
      </x:c>
      <x:c r="T214" t="str">
        <x:f>'Vendor Options'!C214</x:f>
        <x:v>DK</x:v>
      </x:c>
      <x:c r="U214" t="str">
        <x:f>'Vendor Options'!D214</x:f>
        <x:v>C180EU</x:v>
      </x:c>
      <x:c r="V214" t="str">
        <x:f>'Vendor Options'!E214</x:f>
        <x:v>F109-82</x:v>
      </x:c>
      <x:c r="W214" t="str">
        <x:f>'Vendor Options'!F214</x:f>
        <x:v>F109-82</x:v>
      </x:c>
      <x:c r="X214" t="str">
        <x:f>'Vendor Options'!G214</x:f>
        <x:v>C180EU-D-LR-C-*-*-10252-134-5001-1316</x:v>
      </x:c>
      <x:c r="Y214" t="str">
        <x:f>'Vendor Options'!H214</x:f>
        <x:v>C180EU-D-LR-C-*-*-10252-134-5001-1316</x:v>
      </x:c>
      <x:c r="Z214" t="str">
        <x:f>'Vendor Options'!I214</x:f>
      </x:c>
      <x:c r="AA214" s="54" t="n">
        <x:f>'Vendor Options'!J214</x:f>
        <x:v>106.88</x:v>
      </x:c>
      <x:c r="AB214" t="n">
        <x:f>'Vendor Options'!K214</x:f>
        <x:v>0</x:v>
      </x:c>
      <x:c r="AC214" s="57" t="n">
        <x:f>'Vendor Options'!L214</x:f>
        <x:v>0</x:v>
      </x:c>
      <x:c r="AD214" s="57" t="n">
        <x:f>'Vendor Options'!M214</x:f>
        <x:v>0</x:v>
      </x:c>
      <x:c r="AE214" s="54" t="n">
        <x:f>'Vendor Options'!N214</x:f>
        <x:v>106.88</x:v>
      </x:c>
      <x:c r="AF214" t="str">
        <x:f>'Vendor Options'!O214</x:f>
        <x:v>USD</x:v>
      </x:c>
      <x:c r="AG214" t="str">
        <x:f>'Vendor Options'!P214</x:f>
        <x:v>PRICED</x:v>
      </x:c>
      <x:c r="AH214" t="str">
        <x:f>'Vendor Options'!Q214</x:f>
        <x:v>REVIEW</x:v>
      </x:c>
      <x:c r="AI214" t="str">
        <x:f>'Vendor Options'!R214</x:f>
        <x:v>POSSIBLE_PRICE_OUTLIER</x:v>
      </x:c>
      <x:c r="AJ214" t="n">
        <x:f>'Vendor Options'!S214</x:f>
        <x:v>127</x:v>
      </x:c>
    </x:row>
    <x:row r="215" ht="15" hidden="0" customHeight="1">
      <x:c r="A215" t="str">
        <x:f>'Vendor Options'!B215</x:f>
        <x:v>SPEC-298651EAB3F0</x:v>
      </x:c>
      <x:c r="B215" t="str">
        <x:f>XLOOKUP($A215,'Specs'!$A$2:$A$164,'Specs'!$B$2:$B$164,"")</x:f>
        <x:v>LOCK</x:v>
      </x:c>
      <x:c r="C215" t="str">
        <x:f>XLOOKUP($A215,'Specs'!$A$2:$A$164,'Specs'!$C$2:$C$164,"")</x:f>
        <x:v>CYLINDRICAL LOCK</x:v>
      </x:c>
      <x:c r="D215" t="str">
        <x:f>XLOOKUP($A215,'Specs'!$A$2:$A$164,'Specs'!$D$2:$D$164,"")</x:f>
        <x:v>CYLINDRICAL</x:v>
      </x:c>
      <x:c r="E215" t="str">
        <x:f>XLOOKUP($A215,'Specs'!$A$2:$A$164,'Specs'!$E$2:$E$164,"")</x:f>
        <x:v>ENTRY</x:v>
      </x:c>
      <x:c r="F215" t="str">
        <x:f>XLOOKUP($A215,'Specs'!$A$2:$A$164,'Specs'!$F$2:$F$164,"")</x:f>
        <x:v>STANDARD</x:v>
      </x:c>
      <x:c r="G215" t="str">
        <x:f>XLOOKUP($A215,'Specs'!$A$2:$A$164,'Specs'!$G$2:$G$164,"")</x:f>
      </x:c>
      <x:c r="H215" t="str">
        <x:f>XLOOKUP($A215,'Specs'!$A$2:$A$164,'Specs'!$H$2:$H$164,"")</x:f>
      </x:c>
      <x:c r="I215" t="str">
        <x:f>XLOOKUP($A215,'Specs'!$A$2:$A$164,'Specs'!$I$2:$I$164,"")</x:f>
      </x:c>
      <x:c r="J215" t="str">
        <x:f>XLOOKUP($A215,'Specs'!$A$2:$A$164,'Specs'!$J$2:$J$164,"")</x:f>
      </x:c>
      <x:c r="K215" t="str">
        <x:f>XLOOKUP($A215,'Specs'!$A$2:$A$164,'Specs'!$K$2:$K$164,"")</x:f>
      </x:c>
      <x:c r="L215" t="str">
        <x:f>XLOOKUP($A215,'Specs'!$A$2:$A$164,'Specs'!$L$2:$L$164,"")</x:f>
      </x:c>
      <x:c r="M215" t="n">
        <x:f>XLOOKUP($A215,'Specs'!$A$2:$A$164,'Specs'!$M$2:$M$164,"")</x:f>
        <x:v>626</x:v>
      </x:c>
      <x:c r="N215" t="str">
        <x:f>XLOOKUP($A215,'Specs'!$A$2:$A$164,'Specs'!$N$2:$N$164,"")</x:f>
      </x:c>
      <x:c r="O215" t="str">
        <x:f>XLOOKUP($A215,'Specs'!$A$2:$A$164,'Specs'!$O$2:$O$164,"")</x:f>
      </x:c>
      <x:c r="P215" t="str">
        <x:f>XLOOKUP($A215,'Specs'!$A$2:$A$164,'Specs'!$P$2:$P$164,"")</x:f>
        <x:v>HIGH</x:v>
      </x:c>
      <x:c r="Q215" s="53" t="n">
        <x:f>XLOOKUP($A215,'Specs'!$A$2:$A$164,'Specs'!$Q$2:$Q$164,"")</x:f>
        <x:v>8</x:v>
      </x:c>
      <x:c r="R215" s="53" t="n">
        <x:f>XLOOKUP($A215,'Specs'!$A$2:$A$164,'Specs'!$R$2:$R$164,"")</x:f>
        <x:v>4</x:v>
      </x:c>
      <x:c r="S215" t="str">
        <x:f>'Vendor Options'!A215</x:f>
        <x:v>OFFER-52892FE41225</x:v>
      </x:c>
      <x:c r="T215" t="str">
        <x:f>'Vendor Options'!C215</x:f>
        <x:v>PHG</x:v>
      </x:c>
      <x:c r="U215" t="str">
        <x:f>'Vendor Options'!D215</x:f>
        <x:v>ES</x:v>
      </x:c>
      <x:c r="V215" t="str">
        <x:f>'Vendor Options'!E215</x:f>
        <x:v>F109-82</x:v>
      </x:c>
      <x:c r="W215" t="str">
        <x:f>'Vendor Options'!F215</x:f>
        <x:v>F109-82</x:v>
      </x:c>
      <x:c r="X215" t="str">
        <x:f>'Vendor Options'!G215</x:f>
        <x:v>ES500CT26D</x:v>
      </x:c>
      <x:c r="Y215" t="str">
        <x:f>'Vendor Options'!H215</x:f>
        <x:v>ES500CT26D ES-CT500 - Entry (F109)</x:v>
      </x:c>
      <x:c r="Z215" t="str">
        <x:f>'Vendor Options'!I215</x:f>
      </x:c>
      <x:c r="AA215" s="54" t="n">
        <x:f>'Vendor Options'!J215</x:f>
        <x:v>106.88</x:v>
      </x:c>
      <x:c r="AB215" t="n">
        <x:f>'Vendor Options'!K215</x:f>
        <x:v>0</x:v>
      </x:c>
      <x:c r="AC215" s="57" t="n">
        <x:f>'Vendor Options'!L215</x:f>
        <x:v>0</x:v>
      </x:c>
      <x:c r="AD215" s="57" t="n">
        <x:f>'Vendor Options'!M215</x:f>
        <x:v>0</x:v>
      </x:c>
      <x:c r="AE215" s="54" t="n">
        <x:f>'Vendor Options'!N215</x:f>
        <x:v>106.88</x:v>
      </x:c>
      <x:c r="AF215" t="str">
        <x:f>'Vendor Options'!O215</x:f>
        <x:v>USD</x:v>
      </x:c>
      <x:c r="AG215" t="str">
        <x:f>'Vendor Options'!P215</x:f>
        <x:v>PRICED</x:v>
      </x:c>
      <x:c r="AH215" t="str">
        <x:f>'Vendor Options'!Q215</x:f>
        <x:v>ACTIVE</x:v>
      </x:c>
      <x:c r="AI215" t="str">
        <x:f>'Vendor Options'!R215</x:f>
      </x:c>
      <x:c r="AJ215" t="n">
        <x:f>'Vendor Options'!S215</x:f>
        <x:v>178</x:v>
      </x:c>
    </x:row>
    <x:row r="216" ht="15" hidden="0" customHeight="1">
      <x:c r="A216" t="str">
        <x:f>'Vendor Options'!B216</x:f>
        <x:v>SPEC-5446FAC943AB</x:v>
      </x:c>
      <x:c r="B216" t="str">
        <x:f>XLOOKUP($A216,'Specs'!$A$2:$A$164,'Specs'!$B$2:$B$164,"")</x:f>
        <x:v>LOCK</x:v>
      </x:c>
      <x:c r="C216" t="str">
        <x:f>XLOOKUP($A216,'Specs'!$A$2:$A$164,'Specs'!$C$2:$C$164,"")</x:f>
        <x:v>CYLINDRICAL LOCK</x:v>
      </x:c>
      <x:c r="D216" t="str">
        <x:f>XLOOKUP($A216,'Specs'!$A$2:$A$164,'Specs'!$D$2:$D$164,"")</x:f>
        <x:v>CYLINDRICAL</x:v>
      </x:c>
      <x:c r="E216" t="str">
        <x:f>XLOOKUP($A216,'Specs'!$A$2:$A$164,'Specs'!$E$2:$E$164,"")</x:f>
        <x:v>ENTRY</x:v>
      </x:c>
      <x:c r="F216" t="str">
        <x:f>XLOOKUP($A216,'Specs'!$A$2:$A$164,'Specs'!$F$2:$F$164,"")</x:f>
        <x:v>STANDARD</x:v>
      </x:c>
      <x:c r="G216" t="str">
        <x:f>XLOOKUP($A216,'Specs'!$A$2:$A$164,'Specs'!$G$2:$G$164,"")</x:f>
      </x:c>
      <x:c r="H216" t="str">
        <x:f>XLOOKUP($A216,'Specs'!$A$2:$A$164,'Specs'!$H$2:$H$164,"")</x:f>
      </x:c>
      <x:c r="I216" t="str">
        <x:f>XLOOKUP($A216,'Specs'!$A$2:$A$164,'Specs'!$I$2:$I$164,"")</x:f>
      </x:c>
      <x:c r="J216" t="str">
        <x:f>XLOOKUP($A216,'Specs'!$A$2:$A$164,'Specs'!$J$2:$J$164,"")</x:f>
      </x:c>
      <x:c r="K216" t="str">
        <x:f>XLOOKUP($A216,'Specs'!$A$2:$A$164,'Specs'!$K$2:$K$164,"")</x:f>
      </x:c>
      <x:c r="L216" t="str">
        <x:f>XLOOKUP($A216,'Specs'!$A$2:$A$164,'Specs'!$L$2:$L$164,"")</x:f>
      </x:c>
      <x:c r="M216" t="n">
        <x:f>XLOOKUP($A216,'Specs'!$A$2:$A$164,'Specs'!$M$2:$M$164,"")</x:f>
        <x:v>626</x:v>
      </x:c>
      <x:c r="N216" t="str">
        <x:f>XLOOKUP($A216,'Specs'!$A$2:$A$164,'Specs'!$N$2:$N$164,"")</x:f>
        <x:v>FAIL SECURE</x:v>
      </x:c>
      <x:c r="O216" t="str">
        <x:f>XLOOKUP($A216,'Specs'!$A$2:$A$164,'Specs'!$O$2:$O$164,"")</x:f>
      </x:c>
      <x:c r="P216" t="str">
        <x:f>XLOOKUP($A216,'Specs'!$A$2:$A$164,'Specs'!$P$2:$P$164,"")</x:f>
        <x:v>HIGH</x:v>
      </x:c>
      <x:c r="Q216" s="53" t="n">
        <x:f>XLOOKUP($A216,'Specs'!$A$2:$A$164,'Specs'!$Q$2:$Q$164,"")</x:f>
        <x:v>2</x:v>
      </x:c>
      <x:c r="R216" s="53" t="n">
        <x:f>XLOOKUP($A216,'Specs'!$A$2:$A$164,'Specs'!$R$2:$R$164,"")</x:f>
        <x:v>2</x:v>
      </x:c>
      <x:c r="S216" t="str">
        <x:f>'Vendor Options'!A216</x:f>
        <x:v>OFFER-D062B55CD787</x:v>
      </x:c>
      <x:c r="T216" t="str">
        <x:f>'Vendor Options'!C216</x:f>
        <x:v>PHG</x:v>
      </x:c>
      <x:c r="U216" t="str">
        <x:f>'Vendor Options'!D216</x:f>
        <x:v>FC-EL</x:v>
      </x:c>
      <x:c r="V216" t="str">
        <x:f>'Vendor Options'!E216</x:f>
        <x:v>F90</x:v>
      </x:c>
      <x:c r="W216" t="str">
        <x:f>'Vendor Options'!F216</x:f>
        <x:v>F90</x:v>
      </x:c>
      <x:c r="X216" t="str">
        <x:f>'Vendor Options'!G216</x:f>
        <x:v>FC500CT26DEU</x:v>
      </x:c>
      <x:c r="Y216" t="str">
        <x:f>'Vendor Options'!H216</x:f>
        <x:v>FC500CT26DEU FC-CT500 - Electrified - EU (Fail Secure)</x:v>
      </x:c>
      <x:c r="Z216" t="str">
        <x:f>'Vendor Options'!I216</x:f>
      </x:c>
      <x:c r="AA216" s="54" t="n">
        <x:f>'Vendor Options'!J216</x:f>
        <x:v>359.08</x:v>
      </x:c>
      <x:c r="AB216" t="n">
        <x:f>'Vendor Options'!K216</x:f>
        <x:v>0</x:v>
      </x:c>
      <x:c r="AC216" s="57" t="n">
        <x:f>'Vendor Options'!L216</x:f>
        <x:v>0</x:v>
      </x:c>
      <x:c r="AD216" s="57" t="n">
        <x:f>'Vendor Options'!M216</x:f>
        <x:v>0</x:v>
      </x:c>
      <x:c r="AE216" s="54" t="n">
        <x:f>'Vendor Options'!N216</x:f>
        <x:v>359.08</x:v>
      </x:c>
      <x:c r="AF216" t="str">
        <x:f>'Vendor Options'!O216</x:f>
        <x:v>USD</x:v>
      </x:c>
      <x:c r="AG216" t="str">
        <x:f>'Vendor Options'!P216</x:f>
        <x:v>PRICED</x:v>
      </x:c>
      <x:c r="AH216" t="str">
        <x:f>'Vendor Options'!Q216</x:f>
        <x:v>ACTIVE</x:v>
      </x:c>
      <x:c r="AI216" t="str">
        <x:f>'Vendor Options'!R216</x:f>
      </x:c>
      <x:c r="AJ216" t="n">
        <x:f>'Vendor Options'!S216</x:f>
        <x:v>168</x:v>
      </x:c>
    </x:row>
    <x:row r="217" ht="15" hidden="0" customHeight="1">
      <x:c r="A217" t="str">
        <x:f>'Vendor Options'!B217</x:f>
        <x:v>SPEC-298651EAB3F0</x:v>
      </x:c>
      <x:c r="B217" t="str">
        <x:f>XLOOKUP($A217,'Specs'!$A$2:$A$164,'Specs'!$B$2:$B$164,"")</x:f>
        <x:v>LOCK</x:v>
      </x:c>
      <x:c r="C217" t="str">
        <x:f>XLOOKUP($A217,'Specs'!$A$2:$A$164,'Specs'!$C$2:$C$164,"")</x:f>
        <x:v>CYLINDRICAL LOCK</x:v>
      </x:c>
      <x:c r="D217" t="str">
        <x:f>XLOOKUP($A217,'Specs'!$A$2:$A$164,'Specs'!$D$2:$D$164,"")</x:f>
        <x:v>CYLINDRICAL</x:v>
      </x:c>
      <x:c r="E217" t="str">
        <x:f>XLOOKUP($A217,'Specs'!$A$2:$A$164,'Specs'!$E$2:$E$164,"")</x:f>
        <x:v>ENTRY</x:v>
      </x:c>
      <x:c r="F217" t="str">
        <x:f>XLOOKUP($A217,'Specs'!$A$2:$A$164,'Specs'!$F$2:$F$164,"")</x:f>
        <x:v>STANDARD</x:v>
      </x:c>
      <x:c r="G217" t="str">
        <x:f>XLOOKUP($A217,'Specs'!$A$2:$A$164,'Specs'!$G$2:$G$164,"")</x:f>
      </x:c>
      <x:c r="H217" t="str">
        <x:f>XLOOKUP($A217,'Specs'!$A$2:$A$164,'Specs'!$H$2:$H$164,"")</x:f>
      </x:c>
      <x:c r="I217" t="str">
        <x:f>XLOOKUP($A217,'Specs'!$A$2:$A$164,'Specs'!$I$2:$I$164,"")</x:f>
      </x:c>
      <x:c r="J217" t="str">
        <x:f>XLOOKUP($A217,'Specs'!$A$2:$A$164,'Specs'!$J$2:$J$164,"")</x:f>
      </x:c>
      <x:c r="K217" t="str">
        <x:f>XLOOKUP($A217,'Specs'!$A$2:$A$164,'Specs'!$K$2:$K$164,"")</x:f>
      </x:c>
      <x:c r="L217" t="str">
        <x:f>XLOOKUP($A217,'Specs'!$A$2:$A$164,'Specs'!$L$2:$L$164,"")</x:f>
      </x:c>
      <x:c r="M217" t="n">
        <x:f>XLOOKUP($A217,'Specs'!$A$2:$A$164,'Specs'!$M$2:$M$164,"")</x:f>
        <x:v>626</x:v>
      </x:c>
      <x:c r="N217" t="str">
        <x:f>XLOOKUP($A217,'Specs'!$A$2:$A$164,'Specs'!$N$2:$N$164,"")</x:f>
      </x:c>
      <x:c r="O217" t="str">
        <x:f>XLOOKUP($A217,'Specs'!$A$2:$A$164,'Specs'!$O$2:$O$164,"")</x:f>
      </x:c>
      <x:c r="P217" t="str">
        <x:f>XLOOKUP($A217,'Specs'!$A$2:$A$164,'Specs'!$P$2:$P$164,"")</x:f>
        <x:v>HIGH</x:v>
      </x:c>
      <x:c r="Q217" s="53" t="n">
        <x:f>XLOOKUP($A217,'Specs'!$A$2:$A$164,'Specs'!$Q$2:$Q$164,"")</x:f>
        <x:v>8</x:v>
      </x:c>
      <x:c r="R217" s="53" t="n">
        <x:f>XLOOKUP($A217,'Specs'!$A$2:$A$164,'Specs'!$R$2:$R$164,"")</x:f>
        <x:v>4</x:v>
      </x:c>
      <x:c r="S217" t="str">
        <x:f>'Vendor Options'!A217</x:f>
        <x:v>OFFER-30E3B9C65E78</x:v>
      </x:c>
      <x:c r="T217" t="str">
        <x:f>'Vendor Options'!C217</x:f>
        <x:v>PHG</x:v>
      </x:c>
      <x:c r="U217" t="str">
        <x:f>'Vendor Options'!D217</x:f>
        <x:v>FC</x:v>
      </x:c>
      <x:c r="V217" t="str">
        <x:f>'Vendor Options'!E217</x:f>
        <x:v>F109-82</x:v>
      </x:c>
      <x:c r="W217" t="str">
        <x:f>'Vendor Options'!F217</x:f>
        <x:v>F109-82</x:v>
      </x:c>
      <x:c r="X217" t="str">
        <x:f>'Vendor Options'!G217</x:f>
        <x:v>FC500CT26D</x:v>
      </x:c>
      <x:c r="Y217" t="str">
        <x:f>'Vendor Options'!H217</x:f>
        <x:v>FC500CT26D FC-CT500 - Entry (F109)</x:v>
      </x:c>
      <x:c r="Z217" t="str">
        <x:f>'Vendor Options'!I217</x:f>
      </x:c>
      <x:c r="AA217" s="54" t="n">
        <x:f>'Vendor Options'!J217</x:f>
        <x:v>168.53</x:v>
      </x:c>
      <x:c r="AB217" t="n">
        <x:f>'Vendor Options'!K217</x:f>
        <x:v>0</x:v>
      </x:c>
      <x:c r="AC217" s="57" t="n">
        <x:f>'Vendor Options'!L217</x:f>
        <x:v>0</x:v>
      </x:c>
      <x:c r="AD217" s="57" t="n">
        <x:f>'Vendor Options'!M217</x:f>
        <x:v>0</x:v>
      </x:c>
      <x:c r="AE217" s="54" t="n">
        <x:f>'Vendor Options'!N217</x:f>
        <x:v>168.53</x:v>
      </x:c>
      <x:c r="AF217" t="str">
        <x:f>'Vendor Options'!O217</x:f>
        <x:v>USD</x:v>
      </x:c>
      <x:c r="AG217" t="str">
        <x:f>'Vendor Options'!P217</x:f>
        <x:v>PRICED</x:v>
      </x:c>
      <x:c r="AH217" t="str">
        <x:f>'Vendor Options'!Q217</x:f>
        <x:v>ACTIVE</x:v>
      </x:c>
      <x:c r="AI217" t="str">
        <x:f>'Vendor Options'!R217</x:f>
      </x:c>
      <x:c r="AJ217" t="n">
        <x:f>'Vendor Options'!S217</x:f>
        <x:v>164</x:v>
      </x:c>
    </x:row>
    <x:row r="218" ht="15" hidden="0" customHeight="1">
      <x:c r="A218" t="str">
        <x:f>'Vendor Options'!B218</x:f>
        <x:v>SPEC-298651EAB3F0</x:v>
      </x:c>
      <x:c r="B218" t="str">
        <x:f>XLOOKUP($A218,'Specs'!$A$2:$A$164,'Specs'!$B$2:$B$164,"")</x:f>
        <x:v>LOCK</x:v>
      </x:c>
      <x:c r="C218" t="str">
        <x:f>XLOOKUP($A218,'Specs'!$A$2:$A$164,'Specs'!$C$2:$C$164,"")</x:f>
        <x:v>CYLINDRICAL LOCK</x:v>
      </x:c>
      <x:c r="D218" t="str">
        <x:f>XLOOKUP($A218,'Specs'!$A$2:$A$164,'Specs'!$D$2:$D$164,"")</x:f>
        <x:v>CYLINDRICAL</x:v>
      </x:c>
      <x:c r="E218" t="str">
        <x:f>XLOOKUP($A218,'Specs'!$A$2:$A$164,'Specs'!$E$2:$E$164,"")</x:f>
        <x:v>ENTRY</x:v>
      </x:c>
      <x:c r="F218" t="str">
        <x:f>XLOOKUP($A218,'Specs'!$A$2:$A$164,'Specs'!$F$2:$F$164,"")</x:f>
        <x:v>STANDARD</x:v>
      </x:c>
      <x:c r="G218" t="str">
        <x:f>XLOOKUP($A218,'Specs'!$A$2:$A$164,'Specs'!$G$2:$G$164,"")</x:f>
      </x:c>
      <x:c r="H218" t="str">
        <x:f>XLOOKUP($A218,'Specs'!$A$2:$A$164,'Specs'!$H$2:$H$164,"")</x:f>
      </x:c>
      <x:c r="I218" t="str">
        <x:f>XLOOKUP($A218,'Specs'!$A$2:$A$164,'Specs'!$I$2:$I$164,"")</x:f>
      </x:c>
      <x:c r="J218" t="str">
        <x:f>XLOOKUP($A218,'Specs'!$A$2:$A$164,'Specs'!$J$2:$J$164,"")</x:f>
      </x:c>
      <x:c r="K218" t="str">
        <x:f>XLOOKUP($A218,'Specs'!$A$2:$A$164,'Specs'!$K$2:$K$164,"")</x:f>
      </x:c>
      <x:c r="L218" t="str">
        <x:f>XLOOKUP($A218,'Specs'!$A$2:$A$164,'Specs'!$L$2:$L$164,"")</x:f>
      </x:c>
      <x:c r="M218" t="n">
        <x:f>XLOOKUP($A218,'Specs'!$A$2:$A$164,'Specs'!$M$2:$M$164,"")</x:f>
        <x:v>626</x:v>
      </x:c>
      <x:c r="N218" t="str">
        <x:f>XLOOKUP($A218,'Specs'!$A$2:$A$164,'Specs'!$N$2:$N$164,"")</x:f>
      </x:c>
      <x:c r="O218" t="str">
        <x:f>XLOOKUP($A218,'Specs'!$A$2:$A$164,'Specs'!$O$2:$O$164,"")</x:f>
      </x:c>
      <x:c r="P218" t="str">
        <x:f>XLOOKUP($A218,'Specs'!$A$2:$A$164,'Specs'!$P$2:$P$164,"")</x:f>
        <x:v>HIGH</x:v>
      </x:c>
      <x:c r="Q218" s="53" t="n">
        <x:f>XLOOKUP($A218,'Specs'!$A$2:$A$164,'Specs'!$Q$2:$Q$164,"")</x:f>
        <x:v>8</x:v>
      </x:c>
      <x:c r="R218" s="53" t="n">
        <x:f>XLOOKUP($A218,'Specs'!$A$2:$A$164,'Specs'!$R$2:$R$164,"")</x:f>
        <x:v>4</x:v>
      </x:c>
      <x:c r="S218" t="str">
        <x:f>'Vendor Options'!A218</x:f>
        <x:v>OFFER-162EB5CD493C</x:v>
      </x:c>
      <x:c r="T218" t="str">
        <x:f>'Vendor Options'!C218</x:f>
        <x:v>PHG</x:v>
      </x:c>
      <x:c r="U218" t="str">
        <x:f>'Vendor Options'!D218</x:f>
        <x:v>HS</x:v>
      </x:c>
      <x:c r="V218" t="str">
        <x:f>'Vendor Options'!E218</x:f>
        <x:v>F109-82</x:v>
      </x:c>
      <x:c r="W218" t="str">
        <x:f>'Vendor Options'!F218</x:f>
        <x:v>F109-82</x:v>
      </x:c>
      <x:c r="X218" t="str">
        <x:f>'Vendor Options'!G218</x:f>
        <x:v>HS500CT26D</x:v>
      </x:c>
      <x:c r="Y218" t="str">
        <x:f>'Vendor Options'!H218</x:f>
        <x:v>HS500CT26D HS-CT500 - Entry (F109)</x:v>
      </x:c>
      <x:c r="Z218" t="str">
        <x:f>'Vendor Options'!I218</x:f>
      </x:c>
      <x:c r="AA218" s="54" t="n">
        <x:f>'Vendor Options'!J218</x:f>
        <x:v>89.27</x:v>
      </x:c>
      <x:c r="AB218" t="str">
        <x:f>'Vendor Options'!K218</x:f>
      </x:c>
      <x:c r="AC218" s="57" t="n">
        <x:f>'Vendor Options'!L218</x:f>
        <x:v>0</x:v>
      </x:c>
      <x:c r="AD218" s="57" t="n">
        <x:f>'Vendor Options'!M218</x:f>
        <x:v>0</x:v>
      </x:c>
      <x:c r="AE218" s="54" t="n">
        <x:f>'Vendor Options'!N218</x:f>
        <x:v>89.27</x:v>
      </x:c>
      <x:c r="AF218" t="str">
        <x:f>'Vendor Options'!O218</x:f>
        <x:v>USD</x:v>
      </x:c>
      <x:c r="AG218" t="str">
        <x:f>'Vendor Options'!P218</x:f>
        <x:v>PRICED</x:v>
      </x:c>
      <x:c r="AH218" t="str">
        <x:f>'Vendor Options'!Q218</x:f>
        <x:v>ACTIVE</x:v>
      </x:c>
      <x:c r="AI218" t="str">
        <x:f>'Vendor Options'!R218</x:f>
      </x:c>
      <x:c r="AJ218" t="n">
        <x:f>'Vendor Options'!S218</x:f>
        <x:v>185</x:v>
      </x:c>
    </x:row>
    <x:row r="219" ht="15" hidden="0" customHeight="1">
      <x:c r="A219" t="str">
        <x:f>'Vendor Options'!B219</x:f>
        <x:v>SPEC-3B800FDF68F4</x:v>
      </x:c>
      <x:c r="B219" t="str">
        <x:f>XLOOKUP($A219,'Specs'!$A$2:$A$164,'Specs'!$B$2:$B$164,"")</x:f>
        <x:v>LOCK</x:v>
      </x:c>
      <x:c r="C219" t="str">
        <x:f>XLOOKUP($A219,'Specs'!$A$2:$A$164,'Specs'!$C$2:$C$164,"")</x:f>
        <x:v>CYLINDRICAL LOCK</x:v>
      </x:c>
      <x:c r="D219" t="str">
        <x:f>XLOOKUP($A219,'Specs'!$A$2:$A$164,'Specs'!$D$2:$D$164,"")</x:f>
        <x:v>CYLINDRICAL</x:v>
      </x:c>
      <x:c r="E219" t="str">
        <x:f>XLOOKUP($A219,'Specs'!$A$2:$A$164,'Specs'!$E$2:$E$164,"")</x:f>
        <x:v>STOREROOM</x:v>
      </x:c>
      <x:c r="F219" t="str">
        <x:f>XLOOKUP($A219,'Specs'!$A$2:$A$164,'Specs'!$F$2:$F$164,"")</x:f>
        <x:v>LFIC</x:v>
      </x:c>
      <x:c r="G219" t="str">
        <x:f>XLOOKUP($A219,'Specs'!$A$2:$A$164,'Specs'!$G$2:$G$164,"")</x:f>
      </x:c>
      <x:c r="H219" t="str">
        <x:f>XLOOKUP($A219,'Specs'!$A$2:$A$164,'Specs'!$H$2:$H$164,"")</x:f>
      </x:c>
      <x:c r="I219" t="str">
        <x:f>XLOOKUP($A219,'Specs'!$A$2:$A$164,'Specs'!$I$2:$I$164,"")</x:f>
      </x:c>
      <x:c r="J219" t="str">
        <x:f>XLOOKUP($A219,'Specs'!$A$2:$A$164,'Specs'!$J$2:$J$164,"")</x:f>
      </x:c>
      <x:c r="K219" t="str">
        <x:f>XLOOKUP($A219,'Specs'!$A$2:$A$164,'Specs'!$K$2:$K$164,"")</x:f>
      </x:c>
      <x:c r="L219" t="str">
        <x:f>XLOOKUP($A219,'Specs'!$A$2:$A$164,'Specs'!$L$2:$L$164,"")</x:f>
      </x:c>
      <x:c r="M219" t="n">
        <x:f>XLOOKUP($A219,'Specs'!$A$2:$A$164,'Specs'!$M$2:$M$164,"")</x:f>
        <x:v>626</x:v>
      </x:c>
      <x:c r="N219" t="str">
        <x:f>XLOOKUP($A219,'Specs'!$A$2:$A$164,'Specs'!$N$2:$N$164,"")</x:f>
      </x:c>
      <x:c r="O219" t="str">
        <x:f>XLOOKUP($A219,'Specs'!$A$2:$A$164,'Specs'!$O$2:$O$164,"")</x:f>
      </x:c>
      <x:c r="P219" t="str">
        <x:f>XLOOKUP($A219,'Specs'!$A$2:$A$164,'Specs'!$P$2:$P$164,"")</x:f>
        <x:v>HIGH</x:v>
      </x:c>
      <x:c r="Q219" s="53" t="n">
        <x:f>XLOOKUP($A219,'Specs'!$A$2:$A$164,'Specs'!$Q$2:$Q$164,"")</x:f>
        <x:v>2</x:v>
      </x:c>
      <x:c r="R219" s="53" t="n">
        <x:f>XLOOKUP($A219,'Specs'!$A$2:$A$164,'Specs'!$R$2:$R$164,"")</x:f>
        <x:v>2</x:v>
      </x:c>
      <x:c r="S219" t="str">
        <x:f>'Vendor Options'!A219</x:f>
        <x:v>OFFER-0E233393FCAC</x:v>
      </x:c>
      <x:c r="T219" t="str">
        <x:f>'Vendor Options'!C219</x:f>
        <x:v>BST</x:v>
      </x:c>
      <x:c r="U219" t="str">
        <x:f>'Vendor Options'!D219</x:f>
        <x:v>9K</x:v>
      </x:c>
      <x:c r="V219" t="str">
        <x:f>'Vendor Options'!E219</x:f>
        <x:v>D</x:v>
      </x:c>
      <x:c r="W219" t="str">
        <x:f>'Vendor Options'!F219</x:f>
        <x:v>D</x:v>
      </x:c>
      <x:c r="X219" t="str">
        <x:f>'Vendor Options'!G219</x:f>
        <x:v>9K-3-7-D-15-C3-STK-626 LFIC</x:v>
      </x:c>
      <x:c r="Y219" t="str">
        <x:f>'Vendor Options'!H219</x:f>
        <x:v>9K-3-7-D-15-C3-STK-626 LFIC</x:v>
      </x:c>
      <x:c r="Z219" t="str">
        <x:f>'Vendor Options'!I219</x:f>
      </x:c>
      <x:c r="AA219" s="54" t="n">
        <x:f>'Vendor Options'!J219</x:f>
        <x:v>1097</x:v>
      </x:c>
      <x:c r="AB219" t="str">
        <x:f>'Vendor Options'!K219</x:f>
        <x:v>0.24</x:v>
      </x:c>
      <x:c r="AC219" s="57" t="n">
        <x:f>'Vendor Options'!L219</x:f>
        <x:v>0.24</x:v>
      </x:c>
      <x:c r="AD219" s="57" t="n">
        <x:f>'Vendor Options'!M219</x:f>
        <x:v>0</x:v>
      </x:c>
      <x:c r="AE219" s="54" t="n">
        <x:f>'Vendor Options'!N219</x:f>
        <x:v>833.72</x:v>
      </x:c>
      <x:c r="AF219" t="str">
        <x:f>'Vendor Options'!O219</x:f>
        <x:v>USD</x:v>
      </x:c>
      <x:c r="AG219" t="str">
        <x:f>'Vendor Options'!P219</x:f>
        <x:v>PRICED</x:v>
      </x:c>
      <x:c r="AH219" t="str">
        <x:f>'Vendor Options'!Q219</x:f>
        <x:v>ACTIVE</x:v>
      </x:c>
      <x:c r="AI219" t="str">
        <x:f>'Vendor Options'!R219</x:f>
      </x:c>
      <x:c r="AJ219" t="n">
        <x:f>'Vendor Options'!S219</x:f>
        <x:v>111</x:v>
      </x:c>
    </x:row>
    <x:row r="220" ht="15" hidden="0" customHeight="1">
      <x:c r="A220" t="str">
        <x:f>'Vendor Options'!B220</x:f>
        <x:v>SPEC-3B800FDF68F4</x:v>
      </x:c>
      <x:c r="B220" t="str">
        <x:f>XLOOKUP($A220,'Specs'!$A$2:$A$164,'Specs'!$B$2:$B$164,"")</x:f>
        <x:v>LOCK</x:v>
      </x:c>
      <x:c r="C220" t="str">
        <x:f>XLOOKUP($A220,'Specs'!$A$2:$A$164,'Specs'!$C$2:$C$164,"")</x:f>
        <x:v>CYLINDRICAL LOCK</x:v>
      </x:c>
      <x:c r="D220" t="str">
        <x:f>XLOOKUP($A220,'Specs'!$A$2:$A$164,'Specs'!$D$2:$D$164,"")</x:f>
        <x:v>CYLINDRICAL</x:v>
      </x:c>
      <x:c r="E220" t="str">
        <x:f>XLOOKUP($A220,'Specs'!$A$2:$A$164,'Specs'!$E$2:$E$164,"")</x:f>
        <x:v>STOREROOM</x:v>
      </x:c>
      <x:c r="F220" t="str">
        <x:f>XLOOKUP($A220,'Specs'!$A$2:$A$164,'Specs'!$F$2:$F$164,"")</x:f>
        <x:v>LFIC</x:v>
      </x:c>
      <x:c r="G220" t="str">
        <x:f>XLOOKUP($A220,'Specs'!$A$2:$A$164,'Specs'!$G$2:$G$164,"")</x:f>
      </x:c>
      <x:c r="H220" t="str">
        <x:f>XLOOKUP($A220,'Specs'!$A$2:$A$164,'Specs'!$H$2:$H$164,"")</x:f>
      </x:c>
      <x:c r="I220" t="str">
        <x:f>XLOOKUP($A220,'Specs'!$A$2:$A$164,'Specs'!$I$2:$I$164,"")</x:f>
      </x:c>
      <x:c r="J220" t="str">
        <x:f>XLOOKUP($A220,'Specs'!$A$2:$A$164,'Specs'!$J$2:$J$164,"")</x:f>
      </x:c>
      <x:c r="K220" t="str">
        <x:f>XLOOKUP($A220,'Specs'!$A$2:$A$164,'Specs'!$K$2:$K$164,"")</x:f>
      </x:c>
      <x:c r="L220" t="str">
        <x:f>XLOOKUP($A220,'Specs'!$A$2:$A$164,'Specs'!$L$2:$L$164,"")</x:f>
      </x:c>
      <x:c r="M220" t="n">
        <x:f>XLOOKUP($A220,'Specs'!$A$2:$A$164,'Specs'!$M$2:$M$164,"")</x:f>
        <x:v>626</x:v>
      </x:c>
      <x:c r="N220" t="str">
        <x:f>XLOOKUP($A220,'Specs'!$A$2:$A$164,'Specs'!$N$2:$N$164,"")</x:f>
      </x:c>
      <x:c r="O220" t="str">
        <x:f>XLOOKUP($A220,'Specs'!$A$2:$A$164,'Specs'!$O$2:$O$164,"")</x:f>
      </x:c>
      <x:c r="P220" t="str">
        <x:f>XLOOKUP($A220,'Specs'!$A$2:$A$164,'Specs'!$P$2:$P$164,"")</x:f>
        <x:v>HIGH</x:v>
      </x:c>
      <x:c r="Q220" s="53" t="n">
        <x:f>XLOOKUP($A220,'Specs'!$A$2:$A$164,'Specs'!$Q$2:$Q$164,"")</x:f>
        <x:v>2</x:v>
      </x:c>
      <x:c r="R220" s="53" t="n">
        <x:f>XLOOKUP($A220,'Specs'!$A$2:$A$164,'Specs'!$R$2:$R$164,"")</x:f>
        <x:v>2</x:v>
      </x:c>
      <x:c r="S220" t="str">
        <x:f>'Vendor Options'!A220</x:f>
        <x:v>OFFER-BCD1ED5C9716</x:v>
      </x:c>
      <x:c r="T220" t="str">
        <x:f>'Vendor Options'!C220</x:f>
        <x:v>PHG</x:v>
      </x:c>
      <x:c r="U220" t="str">
        <x:f>'Vendor Options'!D220</x:f>
        <x:v>FC-ICS</x:v>
      </x:c>
      <x:c r="V220" t="str">
        <x:f>'Vendor Options'!E220</x:f>
        <x:v>F86</x:v>
      </x:c>
      <x:c r="W220" t="str">
        <x:f>'Vendor Options'!F220</x:f>
        <x:v>F86</x:v>
      </x:c>
      <x:c r="X220" t="str">
        <x:f>'Vendor Options'!G220</x:f>
        <x:v>FC504CT26DICS</x:v>
      </x:c>
      <x:c r="Y220" t="str">
        <x:f>'Vendor Options'!H220</x:f>
        <x:v>FC504CT26DICS FC-CT504 - Storeroom (F86) - ICS</x:v>
      </x:c>
      <x:c r="Z220" t="str">
        <x:f>'Vendor Options'!I220</x:f>
      </x:c>
      <x:c r="AA220" s="54" t="n">
        <x:f>'Vendor Options'!J220</x:f>
        <x:v>210.89</x:v>
      </x:c>
      <x:c r="AB220" t="str">
        <x:f>'Vendor Options'!K220</x:f>
      </x:c>
      <x:c r="AC220" s="57" t="n">
        <x:f>'Vendor Options'!L220</x:f>
        <x:v>0</x:v>
      </x:c>
      <x:c r="AD220" s="57" t="n">
        <x:f>'Vendor Options'!M220</x:f>
        <x:v>0</x:v>
      </x:c>
      <x:c r="AE220" s="54" t="n">
        <x:f>'Vendor Options'!N220</x:f>
        <x:v>210.89</x:v>
      </x:c>
      <x:c r="AF220" t="str">
        <x:f>'Vendor Options'!O220</x:f>
        <x:v>USD</x:v>
      </x:c>
      <x:c r="AG220" t="str">
        <x:f>'Vendor Options'!P220</x:f>
        <x:v>PRICED</x:v>
      </x:c>
      <x:c r="AH220" t="str">
        <x:f>'Vendor Options'!Q220</x:f>
        <x:v>ACTIVE</x:v>
      </x:c>
      <x:c r="AI220" t="str">
        <x:f>'Vendor Options'!R220</x:f>
      </x:c>
      <x:c r="AJ220" t="n">
        <x:f>'Vendor Options'!S220</x:f>
        <x:v>160</x:v>
      </x:c>
    </x:row>
    <x:row r="221" ht="15" hidden="0" customHeight="1">
      <x:c r="A221" t="str">
        <x:f>'Vendor Options'!B221</x:f>
        <x:v>SPEC-3AA63A49680F</x:v>
      </x:c>
      <x:c r="B221" t="str">
        <x:f>XLOOKUP($A221,'Specs'!$A$2:$A$164,'Specs'!$B$2:$B$164,"")</x:f>
        <x:v>LOCK</x:v>
      </x:c>
      <x:c r="C221" t="str">
        <x:f>XLOOKUP($A221,'Specs'!$A$2:$A$164,'Specs'!$C$2:$C$164,"")</x:f>
        <x:v>CYLINDRICAL LOCK</x:v>
      </x:c>
      <x:c r="D221" t="str">
        <x:f>XLOOKUP($A221,'Specs'!$A$2:$A$164,'Specs'!$D$2:$D$164,"")</x:f>
        <x:v>CYLINDRICAL</x:v>
      </x:c>
      <x:c r="E221" t="str">
        <x:f>XLOOKUP($A221,'Specs'!$A$2:$A$164,'Specs'!$E$2:$E$164,"")</x:f>
        <x:v>STOREROOM</x:v>
      </x:c>
      <x:c r="F221" t="str">
        <x:f>XLOOKUP($A221,'Specs'!$A$2:$A$164,'Specs'!$F$2:$F$164,"")</x:f>
        <x:v>SFIC</x:v>
      </x:c>
      <x:c r="G221" t="str">
        <x:f>XLOOKUP($A221,'Specs'!$A$2:$A$164,'Specs'!$G$2:$G$164,"")</x:f>
      </x:c>
      <x:c r="H221" t="str">
        <x:f>XLOOKUP($A221,'Specs'!$A$2:$A$164,'Specs'!$H$2:$H$164,"")</x:f>
      </x:c>
      <x:c r="I221" t="str">
        <x:f>XLOOKUP($A221,'Specs'!$A$2:$A$164,'Specs'!$I$2:$I$164,"")</x:f>
      </x:c>
      <x:c r="J221" t="str">
        <x:f>XLOOKUP($A221,'Specs'!$A$2:$A$164,'Specs'!$J$2:$J$164,"")</x:f>
      </x:c>
      <x:c r="K221" t="str">
        <x:f>XLOOKUP($A221,'Specs'!$A$2:$A$164,'Specs'!$K$2:$K$164,"")</x:f>
      </x:c>
      <x:c r="L221" t="str">
        <x:f>XLOOKUP($A221,'Specs'!$A$2:$A$164,'Specs'!$L$2:$L$164,"")</x:f>
      </x:c>
      <x:c r="M221" t="n">
        <x:f>XLOOKUP($A221,'Specs'!$A$2:$A$164,'Specs'!$M$2:$M$164,"")</x:f>
        <x:v>626</x:v>
      </x:c>
      <x:c r="N221" t="str">
        <x:f>XLOOKUP($A221,'Specs'!$A$2:$A$164,'Specs'!$N$2:$N$164,"")</x:f>
      </x:c>
      <x:c r="O221" t="str">
        <x:f>XLOOKUP($A221,'Specs'!$A$2:$A$164,'Specs'!$O$2:$O$164,"")</x:f>
      </x:c>
      <x:c r="P221" t="str">
        <x:f>XLOOKUP($A221,'Specs'!$A$2:$A$164,'Specs'!$P$2:$P$164,"")</x:f>
        <x:v>HIGH</x:v>
      </x:c>
      <x:c r="Q221" s="53" t="n">
        <x:f>XLOOKUP($A221,'Specs'!$A$2:$A$164,'Specs'!$Q$2:$Q$164,"")</x:f>
        <x:v>8</x:v>
      </x:c>
      <x:c r="R221" s="53" t="n">
        <x:f>XLOOKUP($A221,'Specs'!$A$2:$A$164,'Specs'!$R$2:$R$164,"")</x:f>
        <x:v>4</x:v>
      </x:c>
      <x:c r="S221" t="str">
        <x:f>'Vendor Options'!A221</x:f>
        <x:v>OFFER-C1639CDE094E</x:v>
      </x:c>
      <x:c r="T221" t="str">
        <x:f>'Vendor Options'!C221</x:f>
        <x:v>BST</x:v>
      </x:c>
      <x:c r="U221" t="str">
        <x:f>'Vendor Options'!D221</x:f>
        <x:v>9K</x:v>
      </x:c>
      <x:c r="V221" t="str">
        <x:f>'Vendor Options'!E221</x:f>
        <x:v>D</x:v>
      </x:c>
      <x:c r="W221" t="str">
        <x:f>'Vendor Options'!F221</x:f>
        <x:v>D</x:v>
      </x:c>
      <x:c r="X221" t="str">
        <x:f>'Vendor Options'!G221</x:f>
        <x:v>9K-3-7-D-15-C3-STK-626 SFIC</x:v>
      </x:c>
      <x:c r="Y221" t="str">
        <x:f>'Vendor Options'!H221</x:f>
        <x:v>9K-3-7-D-15-C3-STK-626 SFIC</x:v>
      </x:c>
      <x:c r="Z221" t="n">
        <x:f>'Vendor Options'!I221</x:f>
        <x:v>0</x:v>
      </x:c>
      <x:c r="AA221" s="54" t="n">
        <x:f>'Vendor Options'!J221</x:f>
        <x:v>1097</x:v>
      </x:c>
      <x:c r="AB221" t="str">
        <x:f>'Vendor Options'!K221</x:f>
        <x:v>0.24</x:v>
      </x:c>
      <x:c r="AC221" s="57" t="n">
        <x:f>'Vendor Options'!L221</x:f>
        <x:v>0.24</x:v>
      </x:c>
      <x:c r="AD221" s="57" t="n">
        <x:f>'Vendor Options'!M221</x:f>
        <x:v>0</x:v>
      </x:c>
      <x:c r="AE221" s="54" t="n">
        <x:f>'Vendor Options'!N221</x:f>
        <x:v>833.72</x:v>
      </x:c>
      <x:c r="AF221" t="str">
        <x:f>'Vendor Options'!O221</x:f>
        <x:v>USD</x:v>
      </x:c>
      <x:c r="AG221" t="str">
        <x:f>'Vendor Options'!P221</x:f>
        <x:v>PRICED</x:v>
      </x:c>
      <x:c r="AH221" t="str">
        <x:f>'Vendor Options'!Q221</x:f>
        <x:v>ACTIVE</x:v>
      </x:c>
      <x:c r="AI221" t="str">
        <x:f>'Vendor Options'!R221</x:f>
      </x:c>
      <x:c r="AJ221" t="n">
        <x:f>'Vendor Options'!S221</x:f>
        <x:v>110</x:v>
      </x:c>
    </x:row>
    <x:row r="222" ht="15" hidden="0" customHeight="1">
      <x:c r="A222" t="str">
        <x:f>'Vendor Options'!B222</x:f>
        <x:v>SPEC-3AA63A49680F</x:v>
      </x:c>
      <x:c r="B222" t="str">
        <x:f>XLOOKUP($A222,'Specs'!$A$2:$A$164,'Specs'!$B$2:$B$164,"")</x:f>
        <x:v>LOCK</x:v>
      </x:c>
      <x:c r="C222" t="str">
        <x:f>XLOOKUP($A222,'Specs'!$A$2:$A$164,'Specs'!$C$2:$C$164,"")</x:f>
        <x:v>CYLINDRICAL LOCK</x:v>
      </x:c>
      <x:c r="D222" t="str">
        <x:f>XLOOKUP($A222,'Specs'!$A$2:$A$164,'Specs'!$D$2:$D$164,"")</x:f>
        <x:v>CYLINDRICAL</x:v>
      </x:c>
      <x:c r="E222" t="str">
        <x:f>XLOOKUP($A222,'Specs'!$A$2:$A$164,'Specs'!$E$2:$E$164,"")</x:f>
        <x:v>STOREROOM</x:v>
      </x:c>
      <x:c r="F222" t="str">
        <x:f>XLOOKUP($A222,'Specs'!$A$2:$A$164,'Specs'!$F$2:$F$164,"")</x:f>
        <x:v>SFIC</x:v>
      </x:c>
      <x:c r="G222" t="str">
        <x:f>XLOOKUP($A222,'Specs'!$A$2:$A$164,'Specs'!$G$2:$G$164,"")</x:f>
      </x:c>
      <x:c r="H222" t="str">
        <x:f>XLOOKUP($A222,'Specs'!$A$2:$A$164,'Specs'!$H$2:$H$164,"")</x:f>
      </x:c>
      <x:c r="I222" t="str">
        <x:f>XLOOKUP($A222,'Specs'!$A$2:$A$164,'Specs'!$I$2:$I$164,"")</x:f>
      </x:c>
      <x:c r="J222" t="str">
        <x:f>XLOOKUP($A222,'Specs'!$A$2:$A$164,'Specs'!$J$2:$J$164,"")</x:f>
      </x:c>
      <x:c r="K222" t="str">
        <x:f>XLOOKUP($A222,'Specs'!$A$2:$A$164,'Specs'!$K$2:$K$164,"")</x:f>
      </x:c>
      <x:c r="L222" t="str">
        <x:f>XLOOKUP($A222,'Specs'!$A$2:$A$164,'Specs'!$L$2:$L$164,"")</x:f>
      </x:c>
      <x:c r="M222" t="n">
        <x:f>XLOOKUP($A222,'Specs'!$A$2:$A$164,'Specs'!$M$2:$M$164,"")</x:f>
        <x:v>626</x:v>
      </x:c>
      <x:c r="N222" t="str">
        <x:f>XLOOKUP($A222,'Specs'!$A$2:$A$164,'Specs'!$N$2:$N$164,"")</x:f>
      </x:c>
      <x:c r="O222" t="str">
        <x:f>XLOOKUP($A222,'Specs'!$A$2:$A$164,'Specs'!$O$2:$O$164,"")</x:f>
      </x:c>
      <x:c r="P222" t="str">
        <x:f>XLOOKUP($A222,'Specs'!$A$2:$A$164,'Specs'!$P$2:$P$164,"")</x:f>
        <x:v>HIGH</x:v>
      </x:c>
      <x:c r="Q222" s="53" t="n">
        <x:f>XLOOKUP($A222,'Specs'!$A$2:$A$164,'Specs'!$Q$2:$Q$164,"")</x:f>
        <x:v>8</x:v>
      </x:c>
      <x:c r="R222" s="53" t="n">
        <x:f>XLOOKUP($A222,'Specs'!$A$2:$A$164,'Specs'!$R$2:$R$164,"")</x:f>
        <x:v>4</x:v>
      </x:c>
      <x:c r="S222" t="str">
        <x:f>'Vendor Options'!A222</x:f>
        <x:v>OFFER-968E1816DDAC</x:v>
      </x:c>
      <x:c r="T222" t="str">
        <x:f>'Vendor Options'!C222</x:f>
        <x:v>DH</x:v>
      </x:c>
      <x:c r="U222" t="str">
        <x:f>'Vendor Options'!D222</x:f>
        <x:v>J-86 SFIC</x:v>
      </x:c>
      <x:c r="V222" t="str">
        <x:f>'Vendor Options'!E222</x:f>
        <x:v>F86</x:v>
      </x:c>
      <x:c r="W222" t="str">
        <x:f>'Vendor Options'!F222</x:f>
        <x:v>F86</x:v>
      </x:c>
      <x:c r="X222" t="str">
        <x:f>'Vendor Options'!G222</x:f>
        <x:v>78093759</x:v>
      </x:c>
      <x:c r="Y222" t="str">
        <x:f>'Vendor Options'!H222</x:f>
        <x:v>78093759 - J-86IC - F - Storeroom Function (SFIC - no core)</x:v>
      </x:c>
      <x:c r="Z222" t="n">
        <x:f>'Vendor Options'!I222</x:f>
        <x:v>0</x:v>
      </x:c>
      <x:c r="AA222" s="54" t="n">
        <x:f>'Vendor Options'!J222</x:f>
        <x:v>0</x:v>
      </x:c>
      <x:c r="AB222" t="n">
        <x:f>'Vendor Options'!K222</x:f>
        <x:v>0</x:v>
      </x:c>
      <x:c r="AC222" s="57" t="n">
        <x:f>'Vendor Options'!L222</x:f>
        <x:v>0</x:v>
      </x:c>
      <x:c r="AD222" s="57" t="n">
        <x:f>'Vendor Options'!M222</x:f>
        <x:v>0</x:v>
      </x:c>
      <x:c r="AE222" s="54" t="str">
        <x:f>'Vendor Options'!N222</x:f>
      </x:c>
      <x:c r="AF222" t="str">
        <x:f>'Vendor Options'!O222</x:f>
        <x:v>USD</x:v>
      </x:c>
      <x:c r="AG222" t="str">
        <x:f>'Vendor Options'!P222</x:f>
        <x:v>UNPRICED</x:v>
      </x:c>
      <x:c r="AH222" t="str">
        <x:f>'Vendor Options'!Q222</x:f>
        <x:v>ACTIVE</x:v>
      </x:c>
      <x:c r="AI222" t="str">
        <x:f>'Vendor Options'!R222</x:f>
        <x:v>MISSING_PRICE</x:v>
      </x:c>
      <x:c r="AJ222" t="n">
        <x:f>'Vendor Options'!S222</x:f>
        <x:v>149</x:v>
      </x:c>
    </x:row>
    <x:row r="223" ht="15" hidden="0" customHeight="1">
      <x:c r="A223" t="str">
        <x:f>'Vendor Options'!B223</x:f>
        <x:v>SPEC-3AA63A49680F</x:v>
      </x:c>
      <x:c r="B223" t="str">
        <x:f>XLOOKUP($A223,'Specs'!$A$2:$A$164,'Specs'!$B$2:$B$164,"")</x:f>
        <x:v>LOCK</x:v>
      </x:c>
      <x:c r="C223" t="str">
        <x:f>XLOOKUP($A223,'Specs'!$A$2:$A$164,'Specs'!$C$2:$C$164,"")</x:f>
        <x:v>CYLINDRICAL LOCK</x:v>
      </x:c>
      <x:c r="D223" t="str">
        <x:f>XLOOKUP($A223,'Specs'!$A$2:$A$164,'Specs'!$D$2:$D$164,"")</x:f>
        <x:v>CYLINDRICAL</x:v>
      </x:c>
      <x:c r="E223" t="str">
        <x:f>XLOOKUP($A223,'Specs'!$A$2:$A$164,'Specs'!$E$2:$E$164,"")</x:f>
        <x:v>STOREROOM</x:v>
      </x:c>
      <x:c r="F223" t="str">
        <x:f>XLOOKUP($A223,'Specs'!$A$2:$A$164,'Specs'!$F$2:$F$164,"")</x:f>
        <x:v>SFIC</x:v>
      </x:c>
      <x:c r="G223" t="str">
        <x:f>XLOOKUP($A223,'Specs'!$A$2:$A$164,'Specs'!$G$2:$G$164,"")</x:f>
      </x:c>
      <x:c r="H223" t="str">
        <x:f>XLOOKUP($A223,'Specs'!$A$2:$A$164,'Specs'!$H$2:$H$164,"")</x:f>
      </x:c>
      <x:c r="I223" t="str">
        <x:f>XLOOKUP($A223,'Specs'!$A$2:$A$164,'Specs'!$I$2:$I$164,"")</x:f>
      </x:c>
      <x:c r="J223" t="str">
        <x:f>XLOOKUP($A223,'Specs'!$A$2:$A$164,'Specs'!$J$2:$J$164,"")</x:f>
      </x:c>
      <x:c r="K223" t="str">
        <x:f>XLOOKUP($A223,'Specs'!$A$2:$A$164,'Specs'!$K$2:$K$164,"")</x:f>
      </x:c>
      <x:c r="L223" t="str">
        <x:f>XLOOKUP($A223,'Specs'!$A$2:$A$164,'Specs'!$L$2:$L$164,"")</x:f>
      </x:c>
      <x:c r="M223" t="n">
        <x:f>XLOOKUP($A223,'Specs'!$A$2:$A$164,'Specs'!$M$2:$M$164,"")</x:f>
        <x:v>626</x:v>
      </x:c>
      <x:c r="N223" t="str">
        <x:f>XLOOKUP($A223,'Specs'!$A$2:$A$164,'Specs'!$N$2:$N$164,"")</x:f>
      </x:c>
      <x:c r="O223" t="str">
        <x:f>XLOOKUP($A223,'Specs'!$A$2:$A$164,'Specs'!$O$2:$O$164,"")</x:f>
      </x:c>
      <x:c r="P223" t="str">
        <x:f>XLOOKUP($A223,'Specs'!$A$2:$A$164,'Specs'!$P$2:$P$164,"")</x:f>
        <x:v>HIGH</x:v>
      </x:c>
      <x:c r="Q223" s="53" t="n">
        <x:f>XLOOKUP($A223,'Specs'!$A$2:$A$164,'Specs'!$Q$2:$Q$164,"")</x:f>
        <x:v>8</x:v>
      </x:c>
      <x:c r="R223" s="53" t="n">
        <x:f>XLOOKUP($A223,'Specs'!$A$2:$A$164,'Specs'!$R$2:$R$164,"")</x:f>
        <x:v>4</x:v>
      </x:c>
      <x:c r="S223" t="str">
        <x:f>'Vendor Options'!A223</x:f>
        <x:v>OFFER-D001B5E1EE01</x:v>
      </x:c>
      <x:c r="T223" t="str">
        <x:f>'Vendor Options'!C223</x:f>
        <x:v>DH</x:v>
      </x:c>
      <x:c r="U223" t="str">
        <x:f>'Vendor Options'!D223</x:f>
        <x:v>X-86 SFIC</x:v>
      </x:c>
      <x:c r="V223" t="str">
        <x:f>'Vendor Options'!E223</x:f>
        <x:v>F86</x:v>
      </x:c>
      <x:c r="W223" t="str">
        <x:f>'Vendor Options'!F223</x:f>
        <x:v>F86</x:v>
      </x:c>
      <x:c r="X223" t="str">
        <x:f>'Vendor Options'!G223</x:f>
        <x:v>78001767</x:v>
      </x:c>
      <x:c r="Y223" t="str">
        <x:f>'Vendor Options'!H223</x:f>
        <x:v>78001767 - X-86IC - F - Storeroom (SFIC - no core)</x:v>
      </x:c>
      <x:c r="Z223" t="str">
        <x:f>'Vendor Options'!I223</x:f>
      </x:c>
      <x:c r="AA223" s="54" t="n">
        <x:f>'Vendor Options'!J223</x:f>
        <x:v>0</x:v>
      </x:c>
      <x:c r="AB223" t="str">
        <x:f>'Vendor Options'!K223</x:f>
      </x:c>
      <x:c r="AC223" s="57" t="n">
        <x:f>'Vendor Options'!L223</x:f>
        <x:v>0</x:v>
      </x:c>
      <x:c r="AD223" s="57" t="n">
        <x:f>'Vendor Options'!M223</x:f>
        <x:v>0</x:v>
      </x:c>
      <x:c r="AE223" s="54" t="str">
        <x:f>'Vendor Options'!N223</x:f>
      </x:c>
      <x:c r="AF223" t="str">
        <x:f>'Vendor Options'!O223</x:f>
        <x:v>USD</x:v>
      </x:c>
      <x:c r="AG223" t="str">
        <x:f>'Vendor Options'!P223</x:f>
        <x:v>UNPRICED</x:v>
      </x:c>
      <x:c r="AH223" t="str">
        <x:f>'Vendor Options'!Q223</x:f>
        <x:v>ACTIVE</x:v>
      </x:c>
      <x:c r="AI223" t="str">
        <x:f>'Vendor Options'!R223</x:f>
        <x:v>MISSING_PRICE</x:v>
      </x:c>
      <x:c r="AJ223" t="n">
        <x:f>'Vendor Options'!S223</x:f>
        <x:v>142</x:v>
      </x:c>
    </x:row>
    <x:row r="224" ht="15" hidden="0" customHeight="1">
      <x:c r="A224" t="str">
        <x:f>'Vendor Options'!B224</x:f>
        <x:v>SPEC-3AA63A49680F</x:v>
      </x:c>
      <x:c r="B224" t="str">
        <x:f>XLOOKUP($A224,'Specs'!$A$2:$A$164,'Specs'!$B$2:$B$164,"")</x:f>
        <x:v>LOCK</x:v>
      </x:c>
      <x:c r="C224" t="str">
        <x:f>XLOOKUP($A224,'Specs'!$A$2:$A$164,'Specs'!$C$2:$C$164,"")</x:f>
        <x:v>CYLINDRICAL LOCK</x:v>
      </x:c>
      <x:c r="D224" t="str">
        <x:f>XLOOKUP($A224,'Specs'!$A$2:$A$164,'Specs'!$D$2:$D$164,"")</x:f>
        <x:v>CYLINDRICAL</x:v>
      </x:c>
      <x:c r="E224" t="str">
        <x:f>XLOOKUP($A224,'Specs'!$A$2:$A$164,'Specs'!$E$2:$E$164,"")</x:f>
        <x:v>STOREROOM</x:v>
      </x:c>
      <x:c r="F224" t="str">
        <x:f>XLOOKUP($A224,'Specs'!$A$2:$A$164,'Specs'!$F$2:$F$164,"")</x:f>
        <x:v>SFIC</x:v>
      </x:c>
      <x:c r="G224" t="str">
        <x:f>XLOOKUP($A224,'Specs'!$A$2:$A$164,'Specs'!$G$2:$G$164,"")</x:f>
      </x:c>
      <x:c r="H224" t="str">
        <x:f>XLOOKUP($A224,'Specs'!$A$2:$A$164,'Specs'!$H$2:$H$164,"")</x:f>
      </x:c>
      <x:c r="I224" t="str">
        <x:f>XLOOKUP($A224,'Specs'!$A$2:$A$164,'Specs'!$I$2:$I$164,"")</x:f>
      </x:c>
      <x:c r="J224" t="str">
        <x:f>XLOOKUP($A224,'Specs'!$A$2:$A$164,'Specs'!$J$2:$J$164,"")</x:f>
      </x:c>
      <x:c r="K224" t="str">
        <x:f>XLOOKUP($A224,'Specs'!$A$2:$A$164,'Specs'!$K$2:$K$164,"")</x:f>
      </x:c>
      <x:c r="L224" t="str">
        <x:f>XLOOKUP($A224,'Specs'!$A$2:$A$164,'Specs'!$L$2:$L$164,"")</x:f>
      </x:c>
      <x:c r="M224" t="n">
        <x:f>XLOOKUP($A224,'Specs'!$A$2:$A$164,'Specs'!$M$2:$M$164,"")</x:f>
        <x:v>626</x:v>
      </x:c>
      <x:c r="N224" t="str">
        <x:f>XLOOKUP($A224,'Specs'!$A$2:$A$164,'Specs'!$N$2:$N$164,"")</x:f>
      </x:c>
      <x:c r="O224" t="str">
        <x:f>XLOOKUP($A224,'Specs'!$A$2:$A$164,'Specs'!$O$2:$O$164,"")</x:f>
      </x:c>
      <x:c r="P224" t="str">
        <x:f>XLOOKUP($A224,'Specs'!$A$2:$A$164,'Specs'!$P$2:$P$164,"")</x:f>
        <x:v>HIGH</x:v>
      </x:c>
      <x:c r="Q224" s="53" t="n">
        <x:f>XLOOKUP($A224,'Specs'!$A$2:$A$164,'Specs'!$Q$2:$Q$164,"")</x:f>
        <x:v>8</x:v>
      </x:c>
      <x:c r="R224" s="53" t="n">
        <x:f>XLOOKUP($A224,'Specs'!$A$2:$A$164,'Specs'!$R$2:$R$164,"")</x:f>
        <x:v>4</x:v>
      </x:c>
      <x:c r="S224" t="str">
        <x:f>'Vendor Options'!A224</x:f>
        <x:v>OFFER-E6D06E0AA358</x:v>
      </x:c>
      <x:c r="T224" t="str">
        <x:f>'Vendor Options'!C224</x:f>
        <x:v>DH</x:v>
      </x:c>
      <x:c r="U224" t="str">
        <x:f>'Vendor Options'!D224</x:f>
        <x:v>Z-86 SFIC</x:v>
      </x:c>
      <x:c r="V224" t="str">
        <x:f>'Vendor Options'!E224</x:f>
        <x:v>F86</x:v>
      </x:c>
      <x:c r="W224" t="str">
        <x:f>'Vendor Options'!F224</x:f>
        <x:v>F86</x:v>
      </x:c>
      <x:c r="X224" t="str">
        <x:f>'Vendor Options'!G224</x:f>
        <x:v>78001848</x:v>
      </x:c>
      <x:c r="Y224" t="str">
        <x:f>'Vendor Options'!H224</x:f>
        <x:v>78001848 - Z-86IC - F - Storeroom (SFIC - no core)</x:v>
      </x:c>
      <x:c r="Z224" t="str">
        <x:f>'Vendor Options'!I224</x:f>
      </x:c>
      <x:c r="AA224" s="54" t="n">
        <x:f>'Vendor Options'!J224</x:f>
        <x:v>290.7</x:v>
      </x:c>
      <x:c r="AB224" t="str">
        <x:f>'Vendor Options'!K224</x:f>
        <x:v>0.26</x:v>
      </x:c>
      <x:c r="AC224" s="57" t="n">
        <x:f>'Vendor Options'!L224</x:f>
        <x:v>0.26</x:v>
      </x:c>
      <x:c r="AD224" s="57" t="n">
        <x:f>'Vendor Options'!M224</x:f>
        <x:v>0</x:v>
      </x:c>
      <x:c r="AE224" s="54" t="n">
        <x:f>'Vendor Options'!N224</x:f>
        <x:v>215.118</x:v>
      </x:c>
      <x:c r="AF224" t="str">
        <x:f>'Vendor Options'!O224</x:f>
        <x:v>USD</x:v>
      </x:c>
      <x:c r="AG224" t="str">
        <x:f>'Vendor Options'!P224</x:f>
        <x:v>PRICED</x:v>
      </x:c>
      <x:c r="AH224" t="str">
        <x:f>'Vendor Options'!Q224</x:f>
        <x:v>ACTIVE</x:v>
      </x:c>
      <x:c r="AI224" t="str">
        <x:f>'Vendor Options'!R224</x:f>
      </x:c>
      <x:c r="AJ224" t="n">
        <x:f>'Vendor Options'!S224</x:f>
        <x:v>133</x:v>
      </x:c>
    </x:row>
    <x:row r="225" ht="15" hidden="0" customHeight="1">
      <x:c r="A225" t="str">
        <x:f>'Vendor Options'!B225</x:f>
        <x:v>SPEC-3AA63A49680F</x:v>
      </x:c>
      <x:c r="B225" t="str">
        <x:f>XLOOKUP($A225,'Specs'!$A$2:$A$164,'Specs'!$B$2:$B$164,"")</x:f>
        <x:v>LOCK</x:v>
      </x:c>
      <x:c r="C225" t="str">
        <x:f>XLOOKUP($A225,'Specs'!$A$2:$A$164,'Specs'!$C$2:$C$164,"")</x:f>
        <x:v>CYLINDRICAL LOCK</x:v>
      </x:c>
      <x:c r="D225" t="str">
        <x:f>XLOOKUP($A225,'Specs'!$A$2:$A$164,'Specs'!$D$2:$D$164,"")</x:f>
        <x:v>CYLINDRICAL</x:v>
      </x:c>
      <x:c r="E225" t="str">
        <x:f>XLOOKUP($A225,'Specs'!$A$2:$A$164,'Specs'!$E$2:$E$164,"")</x:f>
        <x:v>STOREROOM</x:v>
      </x:c>
      <x:c r="F225" t="str">
        <x:f>XLOOKUP($A225,'Specs'!$A$2:$A$164,'Specs'!$F$2:$F$164,"")</x:f>
        <x:v>SFIC</x:v>
      </x:c>
      <x:c r="G225" t="str">
        <x:f>XLOOKUP($A225,'Specs'!$A$2:$A$164,'Specs'!$G$2:$G$164,"")</x:f>
      </x:c>
      <x:c r="H225" t="str">
        <x:f>XLOOKUP($A225,'Specs'!$A$2:$A$164,'Specs'!$H$2:$H$164,"")</x:f>
      </x:c>
      <x:c r="I225" t="str">
        <x:f>XLOOKUP($A225,'Specs'!$A$2:$A$164,'Specs'!$I$2:$I$164,"")</x:f>
      </x:c>
      <x:c r="J225" t="str">
        <x:f>XLOOKUP($A225,'Specs'!$A$2:$A$164,'Specs'!$J$2:$J$164,"")</x:f>
      </x:c>
      <x:c r="K225" t="str">
        <x:f>XLOOKUP($A225,'Specs'!$A$2:$A$164,'Specs'!$K$2:$K$164,"")</x:f>
      </x:c>
      <x:c r="L225" t="str">
        <x:f>XLOOKUP($A225,'Specs'!$A$2:$A$164,'Specs'!$L$2:$L$164,"")</x:f>
      </x:c>
      <x:c r="M225" t="n">
        <x:f>XLOOKUP($A225,'Specs'!$A$2:$A$164,'Specs'!$M$2:$M$164,"")</x:f>
        <x:v>626</x:v>
      </x:c>
      <x:c r="N225" t="str">
        <x:f>XLOOKUP($A225,'Specs'!$A$2:$A$164,'Specs'!$N$2:$N$164,"")</x:f>
      </x:c>
      <x:c r="O225" t="str">
        <x:f>XLOOKUP($A225,'Specs'!$A$2:$A$164,'Specs'!$O$2:$O$164,"")</x:f>
      </x:c>
      <x:c r="P225" t="str">
        <x:f>XLOOKUP($A225,'Specs'!$A$2:$A$164,'Specs'!$P$2:$P$164,"")</x:f>
        <x:v>HIGH</x:v>
      </x:c>
      <x:c r="Q225" s="53" t="n">
        <x:f>XLOOKUP($A225,'Specs'!$A$2:$A$164,'Specs'!$Q$2:$Q$164,"")</x:f>
        <x:v>8</x:v>
      </x:c>
      <x:c r="R225" s="53" t="n">
        <x:f>XLOOKUP($A225,'Specs'!$A$2:$A$164,'Specs'!$R$2:$R$164,"")</x:f>
        <x:v>4</x:v>
      </x:c>
      <x:c r="S225" t="str">
        <x:f>'Vendor Options'!A225</x:f>
        <x:v>OFFER-3F26F8BAACC9</x:v>
      </x:c>
      <x:c r="T225" t="str">
        <x:f>'Vendor Options'!C225</x:f>
        <x:v>DK</x:v>
      </x:c>
      <x:c r="U225" t="str">
        <x:f>'Vendor Options'!D225</x:f>
        <x:v>C180J</x:v>
      </x:c>
      <x:c r="V225" t="str">
        <x:f>'Vendor Options'!E225</x:f>
        <x:v>F86</x:v>
      </x:c>
      <x:c r="W225" t="str">
        <x:f>'Vendor Options'!F225</x:f>
        <x:v>F86</x:v>
      </x:c>
      <x:c r="X225" t="str">
        <x:f>'Vendor Options'!G225</x:f>
        <x:v>C180-J-LR-C-*-*-10252-134-5001-1316</x:v>
      </x:c>
      <x:c r="Y225" t="str">
        <x:f>'Vendor Options'!H225</x:f>
        <x:v>C180-J-LR-C-*-*-10252-134-5001-1316</x:v>
      </x:c>
      <x:c r="Z225" t="str">
        <x:f>'Vendor Options'!I225</x:f>
      </x:c>
      <x:c r="AA225" s="54" t="n">
        <x:f>'Vendor Options'!J225</x:f>
        <x:v>893</x:v>
      </x:c>
      <x:c r="AB225" t="n">
        <x:f>'Vendor Options'!K225</x:f>
        <x:v>0</x:v>
      </x:c>
      <x:c r="AC225" s="57" t="n">
        <x:f>'Vendor Options'!L225</x:f>
        <x:v>0</x:v>
      </x:c>
      <x:c r="AD225" s="57" t="n">
        <x:f>'Vendor Options'!M225</x:f>
        <x:v>0</x:v>
      </x:c>
      <x:c r="AE225" s="54" t="n">
        <x:f>'Vendor Options'!N225</x:f>
        <x:v>893</x:v>
      </x:c>
      <x:c r="AF225" t="str">
        <x:f>'Vendor Options'!O225</x:f>
        <x:v>USD</x:v>
      </x:c>
      <x:c r="AG225" t="str">
        <x:f>'Vendor Options'!P225</x:f>
        <x:v>PRICED</x:v>
      </x:c>
      <x:c r="AH225" t="str">
        <x:f>'Vendor Options'!Q225</x:f>
        <x:v>ACTIVE</x:v>
      </x:c>
      <x:c r="AI225" t="str">
        <x:f>'Vendor Options'!R225</x:f>
      </x:c>
      <x:c r="AJ225" t="n">
        <x:f>'Vendor Options'!S225</x:f>
        <x:v>122</x:v>
      </x:c>
    </x:row>
    <x:row r="226" ht="15" hidden="0" customHeight="1">
      <x:c r="A226" t="str">
        <x:f>'Vendor Options'!B226</x:f>
        <x:v>SPEC-3AA63A49680F</x:v>
      </x:c>
      <x:c r="B226" t="str">
        <x:f>XLOOKUP($A226,'Specs'!$A$2:$A$164,'Specs'!$B$2:$B$164,"")</x:f>
        <x:v>LOCK</x:v>
      </x:c>
      <x:c r="C226" t="str">
        <x:f>XLOOKUP($A226,'Specs'!$A$2:$A$164,'Specs'!$C$2:$C$164,"")</x:f>
        <x:v>CYLINDRICAL LOCK</x:v>
      </x:c>
      <x:c r="D226" t="str">
        <x:f>XLOOKUP($A226,'Specs'!$A$2:$A$164,'Specs'!$D$2:$D$164,"")</x:f>
        <x:v>CYLINDRICAL</x:v>
      </x:c>
      <x:c r="E226" t="str">
        <x:f>XLOOKUP($A226,'Specs'!$A$2:$A$164,'Specs'!$E$2:$E$164,"")</x:f>
        <x:v>STOREROOM</x:v>
      </x:c>
      <x:c r="F226" t="str">
        <x:f>XLOOKUP($A226,'Specs'!$A$2:$A$164,'Specs'!$F$2:$F$164,"")</x:f>
        <x:v>SFIC</x:v>
      </x:c>
      <x:c r="G226" t="str">
        <x:f>XLOOKUP($A226,'Specs'!$A$2:$A$164,'Specs'!$G$2:$G$164,"")</x:f>
      </x:c>
      <x:c r="H226" t="str">
        <x:f>XLOOKUP($A226,'Specs'!$A$2:$A$164,'Specs'!$H$2:$H$164,"")</x:f>
      </x:c>
      <x:c r="I226" t="str">
        <x:f>XLOOKUP($A226,'Specs'!$A$2:$A$164,'Specs'!$I$2:$I$164,"")</x:f>
      </x:c>
      <x:c r="J226" t="str">
        <x:f>XLOOKUP($A226,'Specs'!$A$2:$A$164,'Specs'!$J$2:$J$164,"")</x:f>
      </x:c>
      <x:c r="K226" t="str">
        <x:f>XLOOKUP($A226,'Specs'!$A$2:$A$164,'Specs'!$K$2:$K$164,"")</x:f>
      </x:c>
      <x:c r="L226" t="str">
        <x:f>XLOOKUP($A226,'Specs'!$A$2:$A$164,'Specs'!$L$2:$L$164,"")</x:f>
      </x:c>
      <x:c r="M226" t="n">
        <x:f>XLOOKUP($A226,'Specs'!$A$2:$A$164,'Specs'!$M$2:$M$164,"")</x:f>
        <x:v>626</x:v>
      </x:c>
      <x:c r="N226" t="str">
        <x:f>XLOOKUP($A226,'Specs'!$A$2:$A$164,'Specs'!$N$2:$N$164,"")</x:f>
      </x:c>
      <x:c r="O226" t="str">
        <x:f>XLOOKUP($A226,'Specs'!$A$2:$A$164,'Specs'!$O$2:$O$164,"")</x:f>
      </x:c>
      <x:c r="P226" t="str">
        <x:f>XLOOKUP($A226,'Specs'!$A$2:$A$164,'Specs'!$P$2:$P$164,"")</x:f>
        <x:v>HIGH</x:v>
      </x:c>
      <x:c r="Q226" s="53" t="n">
        <x:f>XLOOKUP($A226,'Specs'!$A$2:$A$164,'Specs'!$Q$2:$Q$164,"")</x:f>
        <x:v>8</x:v>
      </x:c>
      <x:c r="R226" s="53" t="n">
        <x:f>XLOOKUP($A226,'Specs'!$A$2:$A$164,'Specs'!$R$2:$R$164,"")</x:f>
        <x:v>4</x:v>
      </x:c>
      <x:c r="S226" t="str">
        <x:f>'Vendor Options'!A226</x:f>
        <x:v>OFFER-411843109B33</x:v>
      </x:c>
      <x:c r="T226" t="str">
        <x:f>'Vendor Options'!C226</x:f>
        <x:v>PHG</x:v>
      </x:c>
      <x:c r="U226" t="str">
        <x:f>'Vendor Options'!D226</x:f>
        <x:v>ES-ICB</x:v>
      </x:c>
      <x:c r="V226" t="str">
        <x:f>'Vendor Options'!E226</x:f>
        <x:v>F86</x:v>
      </x:c>
      <x:c r="W226" t="str">
        <x:f>'Vendor Options'!F226</x:f>
        <x:v>F86</x:v>
      </x:c>
      <x:c r="X226" t="str">
        <x:f>'Vendor Options'!G226</x:f>
        <x:v>ES504CT26DICB</x:v>
      </x:c>
      <x:c r="Y226" t="str">
        <x:f>'Vendor Options'!H226</x:f>
        <x:v>ES504CT26DICB ES-CT504 - Storeroom (F86) - ICB</x:v>
      </x:c>
      <x:c r="Z226" t="str">
        <x:f>'Vendor Options'!I226</x:f>
      </x:c>
      <x:c r="AA226" s="54" t="n">
        <x:f>'Vendor Options'!J226</x:f>
        <x:v>116.88</x:v>
      </x:c>
      <x:c r="AB226" t="n">
        <x:f>'Vendor Options'!K226</x:f>
        <x:v>0</x:v>
      </x:c>
      <x:c r="AC226" s="57" t="n">
        <x:f>'Vendor Options'!L226</x:f>
        <x:v>0</x:v>
      </x:c>
      <x:c r="AD226" s="57" t="n">
        <x:f>'Vendor Options'!M226</x:f>
        <x:v>0</x:v>
      </x:c>
      <x:c r="AE226" s="54" t="n">
        <x:f>'Vendor Options'!N226</x:f>
        <x:v>116.88</x:v>
      </x:c>
      <x:c r="AF226" t="str">
        <x:f>'Vendor Options'!O226</x:f>
        <x:v>USD</x:v>
      </x:c>
      <x:c r="AG226" t="str">
        <x:f>'Vendor Options'!P226</x:f>
        <x:v>PRICED</x:v>
      </x:c>
      <x:c r="AH226" t="str">
        <x:f>'Vendor Options'!Q226</x:f>
        <x:v>ACTIVE</x:v>
      </x:c>
      <x:c r="AI226" t="str">
        <x:f>'Vendor Options'!R226</x:f>
      </x:c>
      <x:c r="AJ226" t="n">
        <x:f>'Vendor Options'!S226</x:f>
        <x:v>175</x:v>
      </x:c>
    </x:row>
    <x:row r="227" ht="15" hidden="0" customHeight="1">
      <x:c r="A227" t="str">
        <x:f>'Vendor Options'!B227</x:f>
        <x:v>SPEC-3AA63A49680F</x:v>
      </x:c>
      <x:c r="B227" t="str">
        <x:f>XLOOKUP($A227,'Specs'!$A$2:$A$164,'Specs'!$B$2:$B$164,"")</x:f>
        <x:v>LOCK</x:v>
      </x:c>
      <x:c r="C227" t="str">
        <x:f>XLOOKUP($A227,'Specs'!$A$2:$A$164,'Specs'!$C$2:$C$164,"")</x:f>
        <x:v>CYLINDRICAL LOCK</x:v>
      </x:c>
      <x:c r="D227" t="str">
        <x:f>XLOOKUP($A227,'Specs'!$A$2:$A$164,'Specs'!$D$2:$D$164,"")</x:f>
        <x:v>CYLINDRICAL</x:v>
      </x:c>
      <x:c r="E227" t="str">
        <x:f>XLOOKUP($A227,'Specs'!$A$2:$A$164,'Specs'!$E$2:$E$164,"")</x:f>
        <x:v>STOREROOM</x:v>
      </x:c>
      <x:c r="F227" t="str">
        <x:f>XLOOKUP($A227,'Specs'!$A$2:$A$164,'Specs'!$F$2:$F$164,"")</x:f>
        <x:v>SFIC</x:v>
      </x:c>
      <x:c r="G227" t="str">
        <x:f>XLOOKUP($A227,'Specs'!$A$2:$A$164,'Specs'!$G$2:$G$164,"")</x:f>
      </x:c>
      <x:c r="H227" t="str">
        <x:f>XLOOKUP($A227,'Specs'!$A$2:$A$164,'Specs'!$H$2:$H$164,"")</x:f>
      </x:c>
      <x:c r="I227" t="str">
        <x:f>XLOOKUP($A227,'Specs'!$A$2:$A$164,'Specs'!$I$2:$I$164,"")</x:f>
      </x:c>
      <x:c r="J227" t="str">
        <x:f>XLOOKUP($A227,'Specs'!$A$2:$A$164,'Specs'!$J$2:$J$164,"")</x:f>
      </x:c>
      <x:c r="K227" t="str">
        <x:f>XLOOKUP($A227,'Specs'!$A$2:$A$164,'Specs'!$K$2:$K$164,"")</x:f>
      </x:c>
      <x:c r="L227" t="str">
        <x:f>XLOOKUP($A227,'Specs'!$A$2:$A$164,'Specs'!$L$2:$L$164,"")</x:f>
      </x:c>
      <x:c r="M227" t="n">
        <x:f>XLOOKUP($A227,'Specs'!$A$2:$A$164,'Specs'!$M$2:$M$164,"")</x:f>
        <x:v>626</x:v>
      </x:c>
      <x:c r="N227" t="str">
        <x:f>XLOOKUP($A227,'Specs'!$A$2:$A$164,'Specs'!$N$2:$N$164,"")</x:f>
      </x:c>
      <x:c r="O227" t="str">
        <x:f>XLOOKUP($A227,'Specs'!$A$2:$A$164,'Specs'!$O$2:$O$164,"")</x:f>
      </x:c>
      <x:c r="P227" t="str">
        <x:f>XLOOKUP($A227,'Specs'!$A$2:$A$164,'Specs'!$P$2:$P$164,"")</x:f>
        <x:v>HIGH</x:v>
      </x:c>
      <x:c r="Q227" s="53" t="n">
        <x:f>XLOOKUP($A227,'Specs'!$A$2:$A$164,'Specs'!$Q$2:$Q$164,"")</x:f>
        <x:v>8</x:v>
      </x:c>
      <x:c r="R227" s="53" t="n">
        <x:f>XLOOKUP($A227,'Specs'!$A$2:$A$164,'Specs'!$R$2:$R$164,"")</x:f>
        <x:v>4</x:v>
      </x:c>
      <x:c r="S227" t="str">
        <x:f>'Vendor Options'!A227</x:f>
        <x:v>OFFER-5CB8EB38AAD5</x:v>
      </x:c>
      <x:c r="T227" t="str">
        <x:f>'Vendor Options'!C227</x:f>
        <x:v>PHG</x:v>
      </x:c>
      <x:c r="U227" t="str">
        <x:f>'Vendor Options'!D227</x:f>
        <x:v>FC-ICB</x:v>
      </x:c>
      <x:c r="V227" t="str">
        <x:f>'Vendor Options'!E227</x:f>
        <x:v>F86</x:v>
      </x:c>
      <x:c r="W227" t="str">
        <x:f>'Vendor Options'!F227</x:f>
        <x:v>F86</x:v>
      </x:c>
      <x:c r="X227" t="str">
        <x:f>'Vendor Options'!G227</x:f>
        <x:v>FC504CT26DICB</x:v>
      </x:c>
      <x:c r="Y227" t="str">
        <x:f>'Vendor Options'!H227</x:f>
        <x:v>FC504CT26DICB FC-CT504 - Storeroom (F86) - ICB</x:v>
      </x:c>
      <x:c r="Z227" t="str">
        <x:f>'Vendor Options'!I227</x:f>
      </x:c>
      <x:c r="AA227" s="54" t="n">
        <x:f>'Vendor Options'!J227</x:f>
        <x:v>168.53</x:v>
      </x:c>
      <x:c r="AB227" t="n">
        <x:f>'Vendor Options'!K227</x:f>
        <x:v>0</x:v>
      </x:c>
      <x:c r="AC227" s="57" t="n">
        <x:f>'Vendor Options'!L227</x:f>
        <x:v>0</x:v>
      </x:c>
      <x:c r="AD227" s="57" t="n">
        <x:f>'Vendor Options'!M227</x:f>
        <x:v>0</x:v>
      </x:c>
      <x:c r="AE227" s="54" t="n">
        <x:f>'Vendor Options'!N227</x:f>
        <x:v>168.53</x:v>
      </x:c>
      <x:c r="AF227" t="str">
        <x:f>'Vendor Options'!O227</x:f>
        <x:v>USD</x:v>
      </x:c>
      <x:c r="AG227" t="str">
        <x:f>'Vendor Options'!P227</x:f>
        <x:v>PRICED</x:v>
      </x:c>
      <x:c r="AH227" t="str">
        <x:f>'Vendor Options'!Q227</x:f>
        <x:v>ACTIVE</x:v>
      </x:c>
      <x:c r="AI227" t="str">
        <x:f>'Vendor Options'!R227</x:f>
      </x:c>
      <x:c r="AJ227" t="n">
        <x:f>'Vendor Options'!S227</x:f>
        <x:v>159</x:v>
      </x:c>
    </x:row>
    <x:row r="228" ht="15" hidden="0" customHeight="1">
      <x:c r="A228" t="str">
        <x:f>'Vendor Options'!B228</x:f>
        <x:v>SPEC-3AA63A49680F</x:v>
      </x:c>
      <x:c r="B228" t="str">
        <x:f>XLOOKUP($A228,'Specs'!$A$2:$A$164,'Specs'!$B$2:$B$164,"")</x:f>
        <x:v>LOCK</x:v>
      </x:c>
      <x:c r="C228" t="str">
        <x:f>XLOOKUP($A228,'Specs'!$A$2:$A$164,'Specs'!$C$2:$C$164,"")</x:f>
        <x:v>CYLINDRICAL LOCK</x:v>
      </x:c>
      <x:c r="D228" t="str">
        <x:f>XLOOKUP($A228,'Specs'!$A$2:$A$164,'Specs'!$D$2:$D$164,"")</x:f>
        <x:v>CYLINDRICAL</x:v>
      </x:c>
      <x:c r="E228" t="str">
        <x:f>XLOOKUP($A228,'Specs'!$A$2:$A$164,'Specs'!$E$2:$E$164,"")</x:f>
        <x:v>STOREROOM</x:v>
      </x:c>
      <x:c r="F228" t="str">
        <x:f>XLOOKUP($A228,'Specs'!$A$2:$A$164,'Specs'!$F$2:$F$164,"")</x:f>
        <x:v>SFIC</x:v>
      </x:c>
      <x:c r="G228" t="str">
        <x:f>XLOOKUP($A228,'Specs'!$A$2:$A$164,'Specs'!$G$2:$G$164,"")</x:f>
      </x:c>
      <x:c r="H228" t="str">
        <x:f>XLOOKUP($A228,'Specs'!$A$2:$A$164,'Specs'!$H$2:$H$164,"")</x:f>
      </x:c>
      <x:c r="I228" t="str">
        <x:f>XLOOKUP($A228,'Specs'!$A$2:$A$164,'Specs'!$I$2:$I$164,"")</x:f>
      </x:c>
      <x:c r="J228" t="str">
        <x:f>XLOOKUP($A228,'Specs'!$A$2:$A$164,'Specs'!$J$2:$J$164,"")</x:f>
      </x:c>
      <x:c r="K228" t="str">
        <x:f>XLOOKUP($A228,'Specs'!$A$2:$A$164,'Specs'!$K$2:$K$164,"")</x:f>
      </x:c>
      <x:c r="L228" t="str">
        <x:f>XLOOKUP($A228,'Specs'!$A$2:$A$164,'Specs'!$L$2:$L$164,"")</x:f>
      </x:c>
      <x:c r="M228" t="n">
        <x:f>XLOOKUP($A228,'Specs'!$A$2:$A$164,'Specs'!$M$2:$M$164,"")</x:f>
        <x:v>626</x:v>
      </x:c>
      <x:c r="N228" t="str">
        <x:f>XLOOKUP($A228,'Specs'!$A$2:$A$164,'Specs'!$N$2:$N$164,"")</x:f>
      </x:c>
      <x:c r="O228" t="str">
        <x:f>XLOOKUP($A228,'Specs'!$A$2:$A$164,'Specs'!$O$2:$O$164,"")</x:f>
      </x:c>
      <x:c r="P228" t="str">
        <x:f>XLOOKUP($A228,'Specs'!$A$2:$A$164,'Specs'!$P$2:$P$164,"")</x:f>
        <x:v>HIGH</x:v>
      </x:c>
      <x:c r="Q228" s="53" t="n">
        <x:f>XLOOKUP($A228,'Specs'!$A$2:$A$164,'Specs'!$Q$2:$Q$164,"")</x:f>
        <x:v>8</x:v>
      </x:c>
      <x:c r="R228" s="53" t="n">
        <x:f>XLOOKUP($A228,'Specs'!$A$2:$A$164,'Specs'!$R$2:$R$164,"")</x:f>
        <x:v>4</x:v>
      </x:c>
      <x:c r="S228" t="str">
        <x:f>'Vendor Options'!A228</x:f>
        <x:v>OFFER-27D202E3520B</x:v>
      </x:c>
      <x:c r="T228" t="str">
        <x:f>'Vendor Options'!C228</x:f>
        <x:v>PHG</x:v>
      </x:c>
      <x:c r="U228" t="str">
        <x:f>'Vendor Options'!D228</x:f>
        <x:v>HS-ICB</x:v>
      </x:c>
      <x:c r="V228" t="str">
        <x:f>'Vendor Options'!E228</x:f>
        <x:v>F86</x:v>
      </x:c>
      <x:c r="W228" t="str">
        <x:f>'Vendor Options'!F228</x:f>
        <x:v>F86</x:v>
      </x:c>
      <x:c r="X228" t="str">
        <x:f>'Vendor Options'!G228</x:f>
        <x:v>HS504CT26DICB</x:v>
      </x:c>
      <x:c r="Y228" t="str">
        <x:f>'Vendor Options'!H228</x:f>
        <x:v>HS504CT26DICB HS-CT504 - Storeroom (F86) - ICB</x:v>
      </x:c>
      <x:c r="Z228" t="str">
        <x:f>'Vendor Options'!I228</x:f>
      </x:c>
      <x:c r="AA228" s="54" t="n">
        <x:f>'Vendor Options'!J228</x:f>
        <x:v>100.76</x:v>
      </x:c>
      <x:c r="AB228" t="str">
        <x:f>'Vendor Options'!K228</x:f>
      </x:c>
      <x:c r="AC228" s="57" t="n">
        <x:f>'Vendor Options'!L228</x:f>
        <x:v>0</x:v>
      </x:c>
      <x:c r="AD228" s="57" t="n">
        <x:f>'Vendor Options'!M228</x:f>
        <x:v>0</x:v>
      </x:c>
      <x:c r="AE228" s="54" t="n">
        <x:f>'Vendor Options'!N228</x:f>
        <x:v>100.76</x:v>
      </x:c>
      <x:c r="AF228" t="str">
        <x:f>'Vendor Options'!O228</x:f>
        <x:v>USD</x:v>
      </x:c>
      <x:c r="AG228" t="str">
        <x:f>'Vendor Options'!P228</x:f>
        <x:v>PRICED</x:v>
      </x:c>
      <x:c r="AH228" t="str">
        <x:f>'Vendor Options'!Q228</x:f>
        <x:v>ACTIVE</x:v>
      </x:c>
      <x:c r="AI228" t="str">
        <x:f>'Vendor Options'!R228</x:f>
      </x:c>
      <x:c r="AJ228" t="n">
        <x:f>'Vendor Options'!S228</x:f>
        <x:v>182</x:v>
      </x:c>
    </x:row>
    <x:row r="229" ht="15" hidden="0" customHeight="1">
      <x:c r="A229" t="str">
        <x:f>'Vendor Options'!B229</x:f>
        <x:v>SPEC-882618A3F0C9</x:v>
      </x:c>
      <x:c r="B229" t="str">
        <x:f>XLOOKUP($A229,'Specs'!$A$2:$A$164,'Specs'!$B$2:$B$164,"")</x:f>
        <x:v>LOCK</x:v>
      </x:c>
      <x:c r="C229" t="str">
        <x:f>XLOOKUP($A229,'Specs'!$A$2:$A$164,'Specs'!$C$2:$C$164,"")</x:f>
        <x:v>CYLINDRICAL LOCK</x:v>
      </x:c>
      <x:c r="D229" t="str">
        <x:f>XLOOKUP($A229,'Specs'!$A$2:$A$164,'Specs'!$D$2:$D$164,"")</x:f>
        <x:v>CYLINDRICAL</x:v>
      </x:c>
      <x:c r="E229" t="str">
        <x:f>XLOOKUP($A229,'Specs'!$A$2:$A$164,'Specs'!$E$2:$E$164,"")</x:f>
        <x:v>STOREROOM</x:v>
      </x:c>
      <x:c r="F229" t="str">
        <x:f>XLOOKUP($A229,'Specs'!$A$2:$A$164,'Specs'!$F$2:$F$164,"")</x:f>
        <x:v>STANDARD</x:v>
      </x:c>
      <x:c r="G229" t="str">
        <x:f>XLOOKUP($A229,'Specs'!$A$2:$A$164,'Specs'!$G$2:$G$164,"")</x:f>
      </x:c>
      <x:c r="H229" t="str">
        <x:f>XLOOKUP($A229,'Specs'!$A$2:$A$164,'Specs'!$H$2:$H$164,"")</x:f>
      </x:c>
      <x:c r="I229" t="str">
        <x:f>XLOOKUP($A229,'Specs'!$A$2:$A$164,'Specs'!$I$2:$I$164,"")</x:f>
      </x:c>
      <x:c r="J229" t="str">
        <x:f>XLOOKUP($A229,'Specs'!$A$2:$A$164,'Specs'!$J$2:$J$164,"")</x:f>
      </x:c>
      <x:c r="K229" t="str">
        <x:f>XLOOKUP($A229,'Specs'!$A$2:$A$164,'Specs'!$K$2:$K$164,"")</x:f>
      </x:c>
      <x:c r="L229" t="str">
        <x:f>XLOOKUP($A229,'Specs'!$A$2:$A$164,'Specs'!$L$2:$L$164,"")</x:f>
      </x:c>
      <x:c r="M229" t="n">
        <x:f>XLOOKUP($A229,'Specs'!$A$2:$A$164,'Specs'!$M$2:$M$164,"")</x:f>
        <x:v>626</x:v>
      </x:c>
      <x:c r="N229" t="str">
        <x:f>XLOOKUP($A229,'Specs'!$A$2:$A$164,'Specs'!$N$2:$N$164,"")</x:f>
      </x:c>
      <x:c r="O229" t="str">
        <x:f>XLOOKUP($A229,'Specs'!$A$2:$A$164,'Specs'!$O$2:$O$164,"")</x:f>
      </x:c>
      <x:c r="P229" t="str">
        <x:f>XLOOKUP($A229,'Specs'!$A$2:$A$164,'Specs'!$P$2:$P$164,"")</x:f>
        <x:v>HIGH</x:v>
      </x:c>
      <x:c r="Q229" s="53" t="n">
        <x:f>XLOOKUP($A229,'Specs'!$A$2:$A$164,'Specs'!$Q$2:$Q$164,"")</x:f>
        <x:v>8</x:v>
      </x:c>
      <x:c r="R229" s="53" t="n">
        <x:f>XLOOKUP($A229,'Specs'!$A$2:$A$164,'Specs'!$R$2:$R$164,"")</x:f>
        <x:v>4</x:v>
      </x:c>
      <x:c r="S229" t="str">
        <x:f>'Vendor Options'!A229</x:f>
        <x:v>OFFER-D18A8BAA70C6</x:v>
      </x:c>
      <x:c r="T229" t="str">
        <x:f>'Vendor Options'!C229</x:f>
        <x:v>BST</x:v>
      </x:c>
      <x:c r="U229" t="str">
        <x:f>'Vendor Options'!D229</x:f>
        <x:v>9K</x:v>
      </x:c>
      <x:c r="V229" t="str">
        <x:f>'Vendor Options'!E229</x:f>
        <x:v>D</x:v>
      </x:c>
      <x:c r="W229" t="str">
        <x:f>'Vendor Options'!F229</x:f>
        <x:v>D</x:v>
      </x:c>
      <x:c r="X229" t="str">
        <x:f>'Vendor Options'!G229</x:f>
        <x:v>9K-3-7-D-15-C3-STK-626</x:v>
      </x:c>
      <x:c r="Y229" t="str">
        <x:f>'Vendor Options'!H229</x:f>
        <x:v>9K-3-7-D-15-C3-STK-626</x:v>
      </x:c>
      <x:c r="Z229" t="n">
        <x:f>'Vendor Options'!I229</x:f>
        <x:v>0</x:v>
      </x:c>
      <x:c r="AA229" s="54" t="n">
        <x:f>'Vendor Options'!J229</x:f>
        <x:v>1227</x:v>
      </x:c>
      <x:c r="AB229" t="str">
        <x:f>'Vendor Options'!K229</x:f>
        <x:v>0.24</x:v>
      </x:c>
      <x:c r="AC229" s="57" t="n">
        <x:f>'Vendor Options'!L229</x:f>
        <x:v>0.24</x:v>
      </x:c>
      <x:c r="AD229" s="57" t="n">
        <x:f>'Vendor Options'!M229</x:f>
        <x:v>0</x:v>
      </x:c>
      <x:c r="AE229" s="54" t="n">
        <x:f>'Vendor Options'!N229</x:f>
        <x:v>932.52</x:v>
      </x:c>
      <x:c r="AF229" t="str">
        <x:f>'Vendor Options'!O229</x:f>
        <x:v>USD</x:v>
      </x:c>
      <x:c r="AG229" t="str">
        <x:f>'Vendor Options'!P229</x:f>
        <x:v>PRICED</x:v>
      </x:c>
      <x:c r="AH229" t="str">
        <x:f>'Vendor Options'!Q229</x:f>
        <x:v>ACTIVE</x:v>
      </x:c>
      <x:c r="AI229" t="str">
        <x:f>'Vendor Options'!R229</x:f>
      </x:c>
      <x:c r="AJ229" t="n">
        <x:f>'Vendor Options'!S229</x:f>
        <x:v>109</x:v>
      </x:c>
    </x:row>
    <x:row r="230" ht="15" hidden="0" customHeight="1">
      <x:c r="A230" t="str">
        <x:f>'Vendor Options'!B230</x:f>
        <x:v>SPEC-882618A3F0C9</x:v>
      </x:c>
      <x:c r="B230" t="str">
        <x:f>XLOOKUP($A230,'Specs'!$A$2:$A$164,'Specs'!$B$2:$B$164,"")</x:f>
        <x:v>LOCK</x:v>
      </x:c>
      <x:c r="C230" t="str">
        <x:f>XLOOKUP($A230,'Specs'!$A$2:$A$164,'Specs'!$C$2:$C$164,"")</x:f>
        <x:v>CYLINDRICAL LOCK</x:v>
      </x:c>
      <x:c r="D230" t="str">
        <x:f>XLOOKUP($A230,'Specs'!$A$2:$A$164,'Specs'!$D$2:$D$164,"")</x:f>
        <x:v>CYLINDRICAL</x:v>
      </x:c>
      <x:c r="E230" t="str">
        <x:f>XLOOKUP($A230,'Specs'!$A$2:$A$164,'Specs'!$E$2:$E$164,"")</x:f>
        <x:v>STOREROOM</x:v>
      </x:c>
      <x:c r="F230" t="str">
        <x:f>XLOOKUP($A230,'Specs'!$A$2:$A$164,'Specs'!$F$2:$F$164,"")</x:f>
        <x:v>STANDARD</x:v>
      </x:c>
      <x:c r="G230" t="str">
        <x:f>XLOOKUP($A230,'Specs'!$A$2:$A$164,'Specs'!$G$2:$G$164,"")</x:f>
      </x:c>
      <x:c r="H230" t="str">
        <x:f>XLOOKUP($A230,'Specs'!$A$2:$A$164,'Specs'!$H$2:$H$164,"")</x:f>
      </x:c>
      <x:c r="I230" t="str">
        <x:f>XLOOKUP($A230,'Specs'!$A$2:$A$164,'Specs'!$I$2:$I$164,"")</x:f>
      </x:c>
      <x:c r="J230" t="str">
        <x:f>XLOOKUP($A230,'Specs'!$A$2:$A$164,'Specs'!$J$2:$J$164,"")</x:f>
      </x:c>
      <x:c r="K230" t="str">
        <x:f>XLOOKUP($A230,'Specs'!$A$2:$A$164,'Specs'!$K$2:$K$164,"")</x:f>
      </x:c>
      <x:c r="L230" t="str">
        <x:f>XLOOKUP($A230,'Specs'!$A$2:$A$164,'Specs'!$L$2:$L$164,"")</x:f>
      </x:c>
      <x:c r="M230" t="n">
        <x:f>XLOOKUP($A230,'Specs'!$A$2:$A$164,'Specs'!$M$2:$M$164,"")</x:f>
        <x:v>626</x:v>
      </x:c>
      <x:c r="N230" t="str">
        <x:f>XLOOKUP($A230,'Specs'!$A$2:$A$164,'Specs'!$N$2:$N$164,"")</x:f>
      </x:c>
      <x:c r="O230" t="str">
        <x:f>XLOOKUP($A230,'Specs'!$A$2:$A$164,'Specs'!$O$2:$O$164,"")</x:f>
      </x:c>
      <x:c r="P230" t="str">
        <x:f>XLOOKUP($A230,'Specs'!$A$2:$A$164,'Specs'!$P$2:$P$164,"")</x:f>
        <x:v>HIGH</x:v>
      </x:c>
      <x:c r="Q230" s="53" t="n">
        <x:f>XLOOKUP($A230,'Specs'!$A$2:$A$164,'Specs'!$Q$2:$Q$164,"")</x:f>
        <x:v>8</x:v>
      </x:c>
      <x:c r="R230" s="53" t="n">
        <x:f>XLOOKUP($A230,'Specs'!$A$2:$A$164,'Specs'!$R$2:$R$164,"")</x:f>
        <x:v>4</x:v>
      </x:c>
      <x:c r="S230" t="str">
        <x:f>'Vendor Options'!A230</x:f>
        <x:v>OFFER-BB10EC9F3FC2</x:v>
      </x:c>
      <x:c r="T230" t="str">
        <x:f>'Vendor Options'!C230</x:f>
        <x:v>DH</x:v>
      </x:c>
      <x:c r="U230" t="str">
        <x:f>'Vendor Options'!D230</x:f>
        <x:v>J-86</x:v>
      </x:c>
      <x:c r="V230" t="str">
        <x:f>'Vendor Options'!E230</x:f>
        <x:v>F86</x:v>
      </x:c>
      <x:c r="W230" t="str">
        <x:f>'Vendor Options'!F230</x:f>
        <x:v>F86</x:v>
      </x:c>
      <x:c r="X230" t="str">
        <x:f>'Vendor Options'!G230</x:f>
        <x:v>78093758</x:v>
      </x:c>
      <x:c r="Y230" t="str">
        <x:f>'Vendor Options'!H230</x:f>
        <x:v>78093758 - J-86 - F - Storeroom Function</x:v>
      </x:c>
      <x:c r="Z230" t="n">
        <x:f>'Vendor Options'!I230</x:f>
        <x:v>0</x:v>
      </x:c>
      <x:c r="AA230" s="54" t="n">
        <x:f>'Vendor Options'!J230</x:f>
        <x:v>0</x:v>
      </x:c>
      <x:c r="AB230" t="n">
        <x:f>'Vendor Options'!K230</x:f>
        <x:v>0</x:v>
      </x:c>
      <x:c r="AC230" s="57" t="n">
        <x:f>'Vendor Options'!L230</x:f>
        <x:v>0</x:v>
      </x:c>
      <x:c r="AD230" s="57" t="n">
        <x:f>'Vendor Options'!M230</x:f>
        <x:v>0</x:v>
      </x:c>
      <x:c r="AE230" s="54" t="str">
        <x:f>'Vendor Options'!N230</x:f>
      </x:c>
      <x:c r="AF230" t="str">
        <x:f>'Vendor Options'!O230</x:f>
        <x:v>USD</x:v>
      </x:c>
      <x:c r="AG230" t="str">
        <x:f>'Vendor Options'!P230</x:f>
        <x:v>UNPRICED</x:v>
      </x:c>
      <x:c r="AH230" t="str">
        <x:f>'Vendor Options'!Q230</x:f>
        <x:v>ACTIVE</x:v>
      </x:c>
      <x:c r="AI230" t="str">
        <x:f>'Vendor Options'!R230</x:f>
        <x:v>MISSING_PRICE</x:v>
      </x:c>
      <x:c r="AJ230" t="n">
        <x:f>'Vendor Options'!S230</x:f>
        <x:v>148</x:v>
      </x:c>
    </x:row>
    <x:row r="231" ht="15" hidden="0" customHeight="1">
      <x:c r="A231" t="str">
        <x:f>'Vendor Options'!B231</x:f>
        <x:v>SPEC-882618A3F0C9</x:v>
      </x:c>
      <x:c r="B231" t="str">
        <x:f>XLOOKUP($A231,'Specs'!$A$2:$A$164,'Specs'!$B$2:$B$164,"")</x:f>
        <x:v>LOCK</x:v>
      </x:c>
      <x:c r="C231" t="str">
        <x:f>XLOOKUP($A231,'Specs'!$A$2:$A$164,'Specs'!$C$2:$C$164,"")</x:f>
        <x:v>CYLINDRICAL LOCK</x:v>
      </x:c>
      <x:c r="D231" t="str">
        <x:f>XLOOKUP($A231,'Specs'!$A$2:$A$164,'Specs'!$D$2:$D$164,"")</x:f>
        <x:v>CYLINDRICAL</x:v>
      </x:c>
      <x:c r="E231" t="str">
        <x:f>XLOOKUP($A231,'Specs'!$A$2:$A$164,'Specs'!$E$2:$E$164,"")</x:f>
        <x:v>STOREROOM</x:v>
      </x:c>
      <x:c r="F231" t="str">
        <x:f>XLOOKUP($A231,'Specs'!$A$2:$A$164,'Specs'!$F$2:$F$164,"")</x:f>
        <x:v>STANDARD</x:v>
      </x:c>
      <x:c r="G231" t="str">
        <x:f>XLOOKUP($A231,'Specs'!$A$2:$A$164,'Specs'!$G$2:$G$164,"")</x:f>
      </x:c>
      <x:c r="H231" t="str">
        <x:f>XLOOKUP($A231,'Specs'!$A$2:$A$164,'Specs'!$H$2:$H$164,"")</x:f>
      </x:c>
      <x:c r="I231" t="str">
        <x:f>XLOOKUP($A231,'Specs'!$A$2:$A$164,'Specs'!$I$2:$I$164,"")</x:f>
      </x:c>
      <x:c r="J231" t="str">
        <x:f>XLOOKUP($A231,'Specs'!$A$2:$A$164,'Specs'!$J$2:$J$164,"")</x:f>
      </x:c>
      <x:c r="K231" t="str">
        <x:f>XLOOKUP($A231,'Specs'!$A$2:$A$164,'Specs'!$K$2:$K$164,"")</x:f>
      </x:c>
      <x:c r="L231" t="str">
        <x:f>XLOOKUP($A231,'Specs'!$A$2:$A$164,'Specs'!$L$2:$L$164,"")</x:f>
      </x:c>
      <x:c r="M231" t="n">
        <x:f>XLOOKUP($A231,'Specs'!$A$2:$A$164,'Specs'!$M$2:$M$164,"")</x:f>
        <x:v>626</x:v>
      </x:c>
      <x:c r="N231" t="str">
        <x:f>XLOOKUP($A231,'Specs'!$A$2:$A$164,'Specs'!$N$2:$N$164,"")</x:f>
      </x:c>
      <x:c r="O231" t="str">
        <x:f>XLOOKUP($A231,'Specs'!$A$2:$A$164,'Specs'!$O$2:$O$164,"")</x:f>
      </x:c>
      <x:c r="P231" t="str">
        <x:f>XLOOKUP($A231,'Specs'!$A$2:$A$164,'Specs'!$P$2:$P$164,"")</x:f>
        <x:v>HIGH</x:v>
      </x:c>
      <x:c r="Q231" s="53" t="n">
        <x:f>XLOOKUP($A231,'Specs'!$A$2:$A$164,'Specs'!$Q$2:$Q$164,"")</x:f>
        <x:v>8</x:v>
      </x:c>
      <x:c r="R231" s="53" t="n">
        <x:f>XLOOKUP($A231,'Specs'!$A$2:$A$164,'Specs'!$R$2:$R$164,"")</x:f>
        <x:v>4</x:v>
      </x:c>
      <x:c r="S231" t="str">
        <x:f>'Vendor Options'!A231</x:f>
        <x:v>OFFER-29650C600D8F</x:v>
      </x:c>
      <x:c r="T231" t="str">
        <x:f>'Vendor Options'!C231</x:f>
        <x:v>DH</x:v>
      </x:c>
      <x:c r="U231" t="str">
        <x:f>'Vendor Options'!D231</x:f>
        <x:v>X-86</x:v>
      </x:c>
      <x:c r="V231" t="str">
        <x:f>'Vendor Options'!E231</x:f>
        <x:v>F86</x:v>
      </x:c>
      <x:c r="W231" t="str">
        <x:f>'Vendor Options'!F231</x:f>
        <x:v>F86</x:v>
      </x:c>
      <x:c r="X231" t="str">
        <x:f>'Vendor Options'!G231</x:f>
        <x:v>78001764</x:v>
      </x:c>
      <x:c r="Y231" t="str">
        <x:f>'Vendor Options'!H231</x:f>
        <x:v>78001764 - X-86 - F - Storeroom Function</x:v>
      </x:c>
      <x:c r="Z231" t="str">
        <x:f>'Vendor Options'!I231</x:f>
      </x:c>
      <x:c r="AA231" s="54" t="n">
        <x:f>'Vendor Options'!J231</x:f>
        <x:v>0</x:v>
      </x:c>
      <x:c r="AB231" t="str">
        <x:f>'Vendor Options'!K231</x:f>
      </x:c>
      <x:c r="AC231" s="57" t="n">
        <x:f>'Vendor Options'!L231</x:f>
        <x:v>0</x:v>
      </x:c>
      <x:c r="AD231" s="57" t="n">
        <x:f>'Vendor Options'!M231</x:f>
        <x:v>0</x:v>
      </x:c>
      <x:c r="AE231" s="54" t="str">
        <x:f>'Vendor Options'!N231</x:f>
      </x:c>
      <x:c r="AF231" t="str">
        <x:f>'Vendor Options'!O231</x:f>
        <x:v>USD</x:v>
      </x:c>
      <x:c r="AG231" t="str">
        <x:f>'Vendor Options'!P231</x:f>
        <x:v>UNPRICED</x:v>
      </x:c>
      <x:c r="AH231" t="str">
        <x:f>'Vendor Options'!Q231</x:f>
        <x:v>ACTIVE</x:v>
      </x:c>
      <x:c r="AI231" t="str">
        <x:f>'Vendor Options'!R231</x:f>
        <x:v>MISSING_PRICE</x:v>
      </x:c>
      <x:c r="AJ231" t="n">
        <x:f>'Vendor Options'!S231</x:f>
        <x:v>141</x:v>
      </x:c>
    </x:row>
    <x:row r="232" ht="15" hidden="0" customHeight="1">
      <x:c r="A232" t="str">
        <x:f>'Vendor Options'!B232</x:f>
        <x:v>SPEC-882618A3F0C9</x:v>
      </x:c>
      <x:c r="B232" t="str">
        <x:f>XLOOKUP($A232,'Specs'!$A$2:$A$164,'Specs'!$B$2:$B$164,"")</x:f>
        <x:v>LOCK</x:v>
      </x:c>
      <x:c r="C232" t="str">
        <x:f>XLOOKUP($A232,'Specs'!$A$2:$A$164,'Specs'!$C$2:$C$164,"")</x:f>
        <x:v>CYLINDRICAL LOCK</x:v>
      </x:c>
      <x:c r="D232" t="str">
        <x:f>XLOOKUP($A232,'Specs'!$A$2:$A$164,'Specs'!$D$2:$D$164,"")</x:f>
        <x:v>CYLINDRICAL</x:v>
      </x:c>
      <x:c r="E232" t="str">
        <x:f>XLOOKUP($A232,'Specs'!$A$2:$A$164,'Specs'!$E$2:$E$164,"")</x:f>
        <x:v>STOREROOM</x:v>
      </x:c>
      <x:c r="F232" t="str">
        <x:f>XLOOKUP($A232,'Specs'!$A$2:$A$164,'Specs'!$F$2:$F$164,"")</x:f>
        <x:v>STANDARD</x:v>
      </x:c>
      <x:c r="G232" t="str">
        <x:f>XLOOKUP($A232,'Specs'!$A$2:$A$164,'Specs'!$G$2:$G$164,"")</x:f>
      </x:c>
      <x:c r="H232" t="str">
        <x:f>XLOOKUP($A232,'Specs'!$A$2:$A$164,'Specs'!$H$2:$H$164,"")</x:f>
      </x:c>
      <x:c r="I232" t="str">
        <x:f>XLOOKUP($A232,'Specs'!$A$2:$A$164,'Specs'!$I$2:$I$164,"")</x:f>
      </x:c>
      <x:c r="J232" t="str">
        <x:f>XLOOKUP($A232,'Specs'!$A$2:$A$164,'Specs'!$J$2:$J$164,"")</x:f>
      </x:c>
      <x:c r="K232" t="str">
        <x:f>XLOOKUP($A232,'Specs'!$A$2:$A$164,'Specs'!$K$2:$K$164,"")</x:f>
      </x:c>
      <x:c r="L232" t="str">
        <x:f>XLOOKUP($A232,'Specs'!$A$2:$A$164,'Specs'!$L$2:$L$164,"")</x:f>
      </x:c>
      <x:c r="M232" t="n">
        <x:f>XLOOKUP($A232,'Specs'!$A$2:$A$164,'Specs'!$M$2:$M$164,"")</x:f>
        <x:v>626</x:v>
      </x:c>
      <x:c r="N232" t="str">
        <x:f>XLOOKUP($A232,'Specs'!$A$2:$A$164,'Specs'!$N$2:$N$164,"")</x:f>
      </x:c>
      <x:c r="O232" t="str">
        <x:f>XLOOKUP($A232,'Specs'!$A$2:$A$164,'Specs'!$O$2:$O$164,"")</x:f>
      </x:c>
      <x:c r="P232" t="str">
        <x:f>XLOOKUP($A232,'Specs'!$A$2:$A$164,'Specs'!$P$2:$P$164,"")</x:f>
        <x:v>HIGH</x:v>
      </x:c>
      <x:c r="Q232" s="53" t="n">
        <x:f>XLOOKUP($A232,'Specs'!$A$2:$A$164,'Specs'!$Q$2:$Q$164,"")</x:f>
        <x:v>8</x:v>
      </x:c>
      <x:c r="R232" s="53" t="n">
        <x:f>XLOOKUP($A232,'Specs'!$A$2:$A$164,'Specs'!$R$2:$R$164,"")</x:f>
        <x:v>4</x:v>
      </x:c>
      <x:c r="S232" t="str">
        <x:f>'Vendor Options'!A232</x:f>
        <x:v>OFFER-5E45E9F23946</x:v>
      </x:c>
      <x:c r="T232" t="str">
        <x:f>'Vendor Options'!C232</x:f>
        <x:v>DH</x:v>
      </x:c>
      <x:c r="U232" t="str">
        <x:f>'Vendor Options'!D232</x:f>
        <x:v>Z-86</x:v>
      </x:c>
      <x:c r="V232" t="str">
        <x:f>'Vendor Options'!E232</x:f>
        <x:v>F86</x:v>
      </x:c>
      <x:c r="W232" t="str">
        <x:f>'Vendor Options'!F232</x:f>
        <x:v>F86</x:v>
      </x:c>
      <x:c r="X232" t="str">
        <x:f>'Vendor Options'!G232</x:f>
        <x:v>78001847</x:v>
      </x:c>
      <x:c r="Y232" t="str">
        <x:f>'Vendor Options'!H232</x:f>
        <x:v>78001847 - Z-86 - F - Storeroom Function</x:v>
      </x:c>
      <x:c r="Z232" t="str">
        <x:f>'Vendor Options'!I232</x:f>
      </x:c>
      <x:c r="AA232" s="54" t="n">
        <x:f>'Vendor Options'!J232</x:f>
        <x:v>290.7</x:v>
      </x:c>
      <x:c r="AB232" t="str">
        <x:f>'Vendor Options'!K232</x:f>
        <x:v>0.26</x:v>
      </x:c>
      <x:c r="AC232" s="57" t="n">
        <x:f>'Vendor Options'!L232</x:f>
        <x:v>0.26</x:v>
      </x:c>
      <x:c r="AD232" s="57" t="n">
        <x:f>'Vendor Options'!M232</x:f>
        <x:v>0</x:v>
      </x:c>
      <x:c r="AE232" s="54" t="n">
        <x:f>'Vendor Options'!N232</x:f>
        <x:v>215.118</x:v>
      </x:c>
      <x:c r="AF232" t="str">
        <x:f>'Vendor Options'!O232</x:f>
        <x:v>USD</x:v>
      </x:c>
      <x:c r="AG232" t="str">
        <x:f>'Vendor Options'!P232</x:f>
        <x:v>PRICED</x:v>
      </x:c>
      <x:c r="AH232" t="str">
        <x:f>'Vendor Options'!Q232</x:f>
        <x:v>ACTIVE</x:v>
      </x:c>
      <x:c r="AI232" t="str">
        <x:f>'Vendor Options'!R232</x:f>
      </x:c>
      <x:c r="AJ232" t="n">
        <x:f>'Vendor Options'!S232</x:f>
        <x:v>132</x:v>
      </x:c>
    </x:row>
    <x:row r="233" ht="15" hidden="0" customHeight="1">
      <x:c r="A233" t="str">
        <x:f>'Vendor Options'!B233</x:f>
        <x:v>SPEC-882618A3F0C9</x:v>
      </x:c>
      <x:c r="B233" t="str">
        <x:f>XLOOKUP($A233,'Specs'!$A$2:$A$164,'Specs'!$B$2:$B$164,"")</x:f>
        <x:v>LOCK</x:v>
      </x:c>
      <x:c r="C233" t="str">
        <x:f>XLOOKUP($A233,'Specs'!$A$2:$A$164,'Specs'!$C$2:$C$164,"")</x:f>
        <x:v>CYLINDRICAL LOCK</x:v>
      </x:c>
      <x:c r="D233" t="str">
        <x:f>XLOOKUP($A233,'Specs'!$A$2:$A$164,'Specs'!$D$2:$D$164,"")</x:f>
        <x:v>CYLINDRICAL</x:v>
      </x:c>
      <x:c r="E233" t="str">
        <x:f>XLOOKUP($A233,'Specs'!$A$2:$A$164,'Specs'!$E$2:$E$164,"")</x:f>
        <x:v>STOREROOM</x:v>
      </x:c>
      <x:c r="F233" t="str">
        <x:f>XLOOKUP($A233,'Specs'!$A$2:$A$164,'Specs'!$F$2:$F$164,"")</x:f>
        <x:v>STANDARD</x:v>
      </x:c>
      <x:c r="G233" t="str">
        <x:f>XLOOKUP($A233,'Specs'!$A$2:$A$164,'Specs'!$G$2:$G$164,"")</x:f>
      </x:c>
      <x:c r="H233" t="str">
        <x:f>XLOOKUP($A233,'Specs'!$A$2:$A$164,'Specs'!$H$2:$H$164,"")</x:f>
      </x:c>
      <x:c r="I233" t="str">
        <x:f>XLOOKUP($A233,'Specs'!$A$2:$A$164,'Specs'!$I$2:$I$164,"")</x:f>
      </x:c>
      <x:c r="J233" t="str">
        <x:f>XLOOKUP($A233,'Specs'!$A$2:$A$164,'Specs'!$J$2:$J$164,"")</x:f>
      </x:c>
      <x:c r="K233" t="str">
        <x:f>XLOOKUP($A233,'Specs'!$A$2:$A$164,'Specs'!$K$2:$K$164,"")</x:f>
      </x:c>
      <x:c r="L233" t="str">
        <x:f>XLOOKUP($A233,'Specs'!$A$2:$A$164,'Specs'!$L$2:$L$164,"")</x:f>
      </x:c>
      <x:c r="M233" t="n">
        <x:f>XLOOKUP($A233,'Specs'!$A$2:$A$164,'Specs'!$M$2:$M$164,"")</x:f>
        <x:v>626</x:v>
      </x:c>
      <x:c r="N233" t="str">
        <x:f>XLOOKUP($A233,'Specs'!$A$2:$A$164,'Specs'!$N$2:$N$164,"")</x:f>
      </x:c>
      <x:c r="O233" t="str">
        <x:f>XLOOKUP($A233,'Specs'!$A$2:$A$164,'Specs'!$O$2:$O$164,"")</x:f>
      </x:c>
      <x:c r="P233" t="str">
        <x:f>XLOOKUP($A233,'Specs'!$A$2:$A$164,'Specs'!$P$2:$P$164,"")</x:f>
        <x:v>HIGH</x:v>
      </x:c>
      <x:c r="Q233" s="53" t="n">
        <x:f>XLOOKUP($A233,'Specs'!$A$2:$A$164,'Specs'!$Q$2:$Q$164,"")</x:f>
        <x:v>8</x:v>
      </x:c>
      <x:c r="R233" s="53" t="n">
        <x:f>XLOOKUP($A233,'Specs'!$A$2:$A$164,'Specs'!$R$2:$R$164,"")</x:f>
        <x:v>4</x:v>
      </x:c>
      <x:c r="S233" t="str">
        <x:f>'Vendor Options'!A233</x:f>
        <x:v>OFFER-09C1F036F3FE</x:v>
      </x:c>
      <x:c r="T233" t="str">
        <x:f>'Vendor Options'!C233</x:f>
        <x:v>DK</x:v>
      </x:c>
      <x:c r="U233" t="str">
        <x:f>'Vendor Options'!D233</x:f>
        <x:v>C180J</x:v>
      </x:c>
      <x:c r="V233" t="str">
        <x:f>'Vendor Options'!E233</x:f>
        <x:v>F86</x:v>
      </x:c>
      <x:c r="W233" t="str">
        <x:f>'Vendor Options'!F233</x:f>
        <x:v>F86</x:v>
      </x:c>
      <x:c r="X233" t="str">
        <x:f>'Vendor Options'!G233</x:f>
        <x:v>C180-D-LR-C-*-*-10252-134-5001-1316</x:v>
      </x:c>
      <x:c r="Y233" t="str">
        <x:f>'Vendor Options'!H233</x:f>
        <x:v>C180-D-LR-C-*-*-10252-134-5001-1316</x:v>
      </x:c>
      <x:c r="Z233" t="str">
        <x:f>'Vendor Options'!I233</x:f>
      </x:c>
      <x:c r="AA233" s="54" t="n">
        <x:f>'Vendor Options'!J233</x:f>
        <x:v>893</x:v>
      </x:c>
      <x:c r="AB233" t="n">
        <x:f>'Vendor Options'!K233</x:f>
        <x:v>0</x:v>
      </x:c>
      <x:c r="AC233" s="57" t="n">
        <x:f>'Vendor Options'!L233</x:f>
        <x:v>0</x:v>
      </x:c>
      <x:c r="AD233" s="57" t="n">
        <x:f>'Vendor Options'!M233</x:f>
        <x:v>0</x:v>
      </x:c>
      <x:c r="AE233" s="54" t="n">
        <x:f>'Vendor Options'!N233</x:f>
        <x:v>893</x:v>
      </x:c>
      <x:c r="AF233" t="str">
        <x:f>'Vendor Options'!O233</x:f>
        <x:v>USD</x:v>
      </x:c>
      <x:c r="AG233" t="str">
        <x:f>'Vendor Options'!P233</x:f>
        <x:v>PRICED</x:v>
      </x:c>
      <x:c r="AH233" t="str">
        <x:f>'Vendor Options'!Q233</x:f>
        <x:v>ACTIVE</x:v>
      </x:c>
      <x:c r="AI233" t="str">
        <x:f>'Vendor Options'!R233</x:f>
      </x:c>
      <x:c r="AJ233" t="n">
        <x:f>'Vendor Options'!S233</x:f>
        <x:v>121</x:v>
      </x:c>
    </x:row>
    <x:row r="234" ht="15" hidden="0" customHeight="1">
      <x:c r="A234" t="str">
        <x:f>'Vendor Options'!B234</x:f>
        <x:v>SPEC-882618A3F0C9</x:v>
      </x:c>
      <x:c r="B234" t="str">
        <x:f>XLOOKUP($A234,'Specs'!$A$2:$A$164,'Specs'!$B$2:$B$164,"")</x:f>
        <x:v>LOCK</x:v>
      </x:c>
      <x:c r="C234" t="str">
        <x:f>XLOOKUP($A234,'Specs'!$A$2:$A$164,'Specs'!$C$2:$C$164,"")</x:f>
        <x:v>CYLINDRICAL LOCK</x:v>
      </x:c>
      <x:c r="D234" t="str">
        <x:f>XLOOKUP($A234,'Specs'!$A$2:$A$164,'Specs'!$D$2:$D$164,"")</x:f>
        <x:v>CYLINDRICAL</x:v>
      </x:c>
      <x:c r="E234" t="str">
        <x:f>XLOOKUP($A234,'Specs'!$A$2:$A$164,'Specs'!$E$2:$E$164,"")</x:f>
        <x:v>STOREROOM</x:v>
      </x:c>
      <x:c r="F234" t="str">
        <x:f>XLOOKUP($A234,'Specs'!$A$2:$A$164,'Specs'!$F$2:$F$164,"")</x:f>
        <x:v>STANDARD</x:v>
      </x:c>
      <x:c r="G234" t="str">
        <x:f>XLOOKUP($A234,'Specs'!$A$2:$A$164,'Specs'!$G$2:$G$164,"")</x:f>
      </x:c>
      <x:c r="H234" t="str">
        <x:f>XLOOKUP($A234,'Specs'!$A$2:$A$164,'Specs'!$H$2:$H$164,"")</x:f>
      </x:c>
      <x:c r="I234" t="str">
        <x:f>XLOOKUP($A234,'Specs'!$A$2:$A$164,'Specs'!$I$2:$I$164,"")</x:f>
      </x:c>
      <x:c r="J234" t="str">
        <x:f>XLOOKUP($A234,'Specs'!$A$2:$A$164,'Specs'!$J$2:$J$164,"")</x:f>
      </x:c>
      <x:c r="K234" t="str">
        <x:f>XLOOKUP($A234,'Specs'!$A$2:$A$164,'Specs'!$K$2:$K$164,"")</x:f>
      </x:c>
      <x:c r="L234" t="str">
        <x:f>XLOOKUP($A234,'Specs'!$A$2:$A$164,'Specs'!$L$2:$L$164,"")</x:f>
      </x:c>
      <x:c r="M234" t="n">
        <x:f>XLOOKUP($A234,'Specs'!$A$2:$A$164,'Specs'!$M$2:$M$164,"")</x:f>
        <x:v>626</x:v>
      </x:c>
      <x:c r="N234" t="str">
        <x:f>XLOOKUP($A234,'Specs'!$A$2:$A$164,'Specs'!$N$2:$N$164,"")</x:f>
      </x:c>
      <x:c r="O234" t="str">
        <x:f>XLOOKUP($A234,'Specs'!$A$2:$A$164,'Specs'!$O$2:$O$164,"")</x:f>
      </x:c>
      <x:c r="P234" t="str">
        <x:f>XLOOKUP($A234,'Specs'!$A$2:$A$164,'Specs'!$P$2:$P$164,"")</x:f>
        <x:v>HIGH</x:v>
      </x:c>
      <x:c r="Q234" s="53" t="n">
        <x:f>XLOOKUP($A234,'Specs'!$A$2:$A$164,'Specs'!$Q$2:$Q$164,"")</x:f>
        <x:v>8</x:v>
      </x:c>
      <x:c r="R234" s="53" t="n">
        <x:f>XLOOKUP($A234,'Specs'!$A$2:$A$164,'Specs'!$R$2:$R$164,"")</x:f>
        <x:v>4</x:v>
      </x:c>
      <x:c r="S234" t="str">
        <x:f>'Vendor Options'!A234</x:f>
        <x:v>OFFER-C7070ACC9200</x:v>
      </x:c>
      <x:c r="T234" t="str">
        <x:f>'Vendor Options'!C234</x:f>
        <x:v>PHG</x:v>
      </x:c>
      <x:c r="U234" t="str">
        <x:f>'Vendor Options'!D234</x:f>
        <x:v>ES</x:v>
      </x:c>
      <x:c r="V234" t="str">
        <x:f>'Vendor Options'!E234</x:f>
        <x:v>F86</x:v>
      </x:c>
      <x:c r="W234" t="str">
        <x:f>'Vendor Options'!F234</x:f>
        <x:v>F86</x:v>
      </x:c>
      <x:c r="X234" t="str">
        <x:f>'Vendor Options'!G234</x:f>
        <x:v>ES504CT26D</x:v>
      </x:c>
      <x:c r="Y234" t="str">
        <x:f>'Vendor Options'!H234</x:f>
        <x:v>ES504CT26D ES-CT504 - Storeroom (F86)</x:v>
      </x:c>
      <x:c r="Z234" t="str">
        <x:f>'Vendor Options'!I234</x:f>
      </x:c>
      <x:c r="AA234" s="54" t="n">
        <x:f>'Vendor Options'!J234</x:f>
        <x:v>106.68</x:v>
      </x:c>
      <x:c r="AB234" t="n">
        <x:f>'Vendor Options'!K234</x:f>
        <x:v>0</x:v>
      </x:c>
      <x:c r="AC234" s="57" t="n">
        <x:f>'Vendor Options'!L234</x:f>
        <x:v>0</x:v>
      </x:c>
      <x:c r="AD234" s="57" t="n">
        <x:f>'Vendor Options'!M234</x:f>
        <x:v>0</x:v>
      </x:c>
      <x:c r="AE234" s="54" t="n">
        <x:f>'Vendor Options'!N234</x:f>
        <x:v>106.68</x:v>
      </x:c>
      <x:c r="AF234" t="str">
        <x:f>'Vendor Options'!O234</x:f>
        <x:v>USD</x:v>
      </x:c>
      <x:c r="AG234" t="str">
        <x:f>'Vendor Options'!P234</x:f>
        <x:v>PRICED</x:v>
      </x:c>
      <x:c r="AH234" t="str">
        <x:f>'Vendor Options'!Q234</x:f>
        <x:v>ACTIVE</x:v>
      </x:c>
      <x:c r="AI234" t="str">
        <x:f>'Vendor Options'!R234</x:f>
      </x:c>
      <x:c r="AJ234" t="n">
        <x:f>'Vendor Options'!S234</x:f>
        <x:v>174</x:v>
      </x:c>
    </x:row>
    <x:row r="235" ht="15" hidden="0" customHeight="1">
      <x:c r="A235" t="str">
        <x:f>'Vendor Options'!B235</x:f>
        <x:v>SPEC-882618A3F0C9</x:v>
      </x:c>
      <x:c r="B235" t="str">
        <x:f>XLOOKUP($A235,'Specs'!$A$2:$A$164,'Specs'!$B$2:$B$164,"")</x:f>
        <x:v>LOCK</x:v>
      </x:c>
      <x:c r="C235" t="str">
        <x:f>XLOOKUP($A235,'Specs'!$A$2:$A$164,'Specs'!$C$2:$C$164,"")</x:f>
        <x:v>CYLINDRICAL LOCK</x:v>
      </x:c>
      <x:c r="D235" t="str">
        <x:f>XLOOKUP($A235,'Specs'!$A$2:$A$164,'Specs'!$D$2:$D$164,"")</x:f>
        <x:v>CYLINDRICAL</x:v>
      </x:c>
      <x:c r="E235" t="str">
        <x:f>XLOOKUP($A235,'Specs'!$A$2:$A$164,'Specs'!$E$2:$E$164,"")</x:f>
        <x:v>STOREROOM</x:v>
      </x:c>
      <x:c r="F235" t="str">
        <x:f>XLOOKUP($A235,'Specs'!$A$2:$A$164,'Specs'!$F$2:$F$164,"")</x:f>
        <x:v>STANDARD</x:v>
      </x:c>
      <x:c r="G235" t="str">
        <x:f>XLOOKUP($A235,'Specs'!$A$2:$A$164,'Specs'!$G$2:$G$164,"")</x:f>
      </x:c>
      <x:c r="H235" t="str">
        <x:f>XLOOKUP($A235,'Specs'!$A$2:$A$164,'Specs'!$H$2:$H$164,"")</x:f>
      </x:c>
      <x:c r="I235" t="str">
        <x:f>XLOOKUP($A235,'Specs'!$A$2:$A$164,'Specs'!$I$2:$I$164,"")</x:f>
      </x:c>
      <x:c r="J235" t="str">
        <x:f>XLOOKUP($A235,'Specs'!$A$2:$A$164,'Specs'!$J$2:$J$164,"")</x:f>
      </x:c>
      <x:c r="K235" t="str">
        <x:f>XLOOKUP($A235,'Specs'!$A$2:$A$164,'Specs'!$K$2:$K$164,"")</x:f>
      </x:c>
      <x:c r="L235" t="str">
        <x:f>XLOOKUP($A235,'Specs'!$A$2:$A$164,'Specs'!$L$2:$L$164,"")</x:f>
      </x:c>
      <x:c r="M235" t="n">
        <x:f>XLOOKUP($A235,'Specs'!$A$2:$A$164,'Specs'!$M$2:$M$164,"")</x:f>
        <x:v>626</x:v>
      </x:c>
      <x:c r="N235" t="str">
        <x:f>XLOOKUP($A235,'Specs'!$A$2:$A$164,'Specs'!$N$2:$N$164,"")</x:f>
      </x:c>
      <x:c r="O235" t="str">
        <x:f>XLOOKUP($A235,'Specs'!$A$2:$A$164,'Specs'!$O$2:$O$164,"")</x:f>
      </x:c>
      <x:c r="P235" t="str">
        <x:f>XLOOKUP($A235,'Specs'!$A$2:$A$164,'Specs'!$P$2:$P$164,"")</x:f>
        <x:v>HIGH</x:v>
      </x:c>
      <x:c r="Q235" s="53" t="n">
        <x:f>XLOOKUP($A235,'Specs'!$A$2:$A$164,'Specs'!$Q$2:$Q$164,"")</x:f>
        <x:v>8</x:v>
      </x:c>
      <x:c r="R235" s="53" t="n">
        <x:f>XLOOKUP($A235,'Specs'!$A$2:$A$164,'Specs'!$R$2:$R$164,"")</x:f>
        <x:v>4</x:v>
      </x:c>
      <x:c r="S235" t="str">
        <x:f>'Vendor Options'!A235</x:f>
        <x:v>OFFER-E2BCB89ECD67</x:v>
      </x:c>
      <x:c r="T235" t="str">
        <x:f>'Vendor Options'!C235</x:f>
        <x:v>PHG</x:v>
      </x:c>
      <x:c r="U235" t="str">
        <x:f>'Vendor Options'!D235</x:f>
        <x:v>FC</x:v>
      </x:c>
      <x:c r="V235" t="str">
        <x:f>'Vendor Options'!E235</x:f>
        <x:v>F86</x:v>
      </x:c>
      <x:c r="W235" t="str">
        <x:f>'Vendor Options'!F235</x:f>
        <x:v>F86</x:v>
      </x:c>
      <x:c r="X235" t="str">
        <x:f>'Vendor Options'!G235</x:f>
        <x:v>FC504CT26D</x:v>
      </x:c>
      <x:c r="Y235" t="str">
        <x:f>'Vendor Options'!H235</x:f>
        <x:v>FC504CT26D FC-CT504 - Storeroom (F86)</x:v>
      </x:c>
      <x:c r="Z235" t="str">
        <x:f>'Vendor Options'!I235</x:f>
      </x:c>
      <x:c r="AA235" s="54" t="n">
        <x:f>'Vendor Options'!J235</x:f>
        <x:v>168.53</x:v>
      </x:c>
      <x:c r="AB235" t="n">
        <x:f>'Vendor Options'!K235</x:f>
        <x:v>0</x:v>
      </x:c>
      <x:c r="AC235" s="57" t="n">
        <x:f>'Vendor Options'!L235</x:f>
        <x:v>0</x:v>
      </x:c>
      <x:c r="AD235" s="57" t="n">
        <x:f>'Vendor Options'!M235</x:f>
        <x:v>0</x:v>
      </x:c>
      <x:c r="AE235" s="54" t="n">
        <x:f>'Vendor Options'!N235</x:f>
        <x:v>168.53</x:v>
      </x:c>
      <x:c r="AF235" t="str">
        <x:f>'Vendor Options'!O235</x:f>
        <x:v>USD</x:v>
      </x:c>
      <x:c r="AG235" t="str">
        <x:f>'Vendor Options'!P235</x:f>
        <x:v>PRICED</x:v>
      </x:c>
      <x:c r="AH235" t="str">
        <x:f>'Vendor Options'!Q235</x:f>
        <x:v>ACTIVE</x:v>
      </x:c>
      <x:c r="AI235" t="str">
        <x:f>'Vendor Options'!R235</x:f>
      </x:c>
      <x:c r="AJ235" t="n">
        <x:f>'Vendor Options'!S235</x:f>
        <x:v>158</x:v>
      </x:c>
    </x:row>
    <x:row r="236" ht="15" hidden="0" customHeight="1">
      <x:c r="A236" t="str">
        <x:f>'Vendor Options'!B236</x:f>
        <x:v>SPEC-882618A3F0C9</x:v>
      </x:c>
      <x:c r="B236" t="str">
        <x:f>XLOOKUP($A236,'Specs'!$A$2:$A$164,'Specs'!$B$2:$B$164,"")</x:f>
        <x:v>LOCK</x:v>
      </x:c>
      <x:c r="C236" t="str">
        <x:f>XLOOKUP($A236,'Specs'!$A$2:$A$164,'Specs'!$C$2:$C$164,"")</x:f>
        <x:v>CYLINDRICAL LOCK</x:v>
      </x:c>
      <x:c r="D236" t="str">
        <x:f>XLOOKUP($A236,'Specs'!$A$2:$A$164,'Specs'!$D$2:$D$164,"")</x:f>
        <x:v>CYLINDRICAL</x:v>
      </x:c>
      <x:c r="E236" t="str">
        <x:f>XLOOKUP($A236,'Specs'!$A$2:$A$164,'Specs'!$E$2:$E$164,"")</x:f>
        <x:v>STOREROOM</x:v>
      </x:c>
      <x:c r="F236" t="str">
        <x:f>XLOOKUP($A236,'Specs'!$A$2:$A$164,'Specs'!$F$2:$F$164,"")</x:f>
        <x:v>STANDARD</x:v>
      </x:c>
      <x:c r="G236" t="str">
        <x:f>XLOOKUP($A236,'Specs'!$A$2:$A$164,'Specs'!$G$2:$G$164,"")</x:f>
      </x:c>
      <x:c r="H236" t="str">
        <x:f>XLOOKUP($A236,'Specs'!$A$2:$A$164,'Specs'!$H$2:$H$164,"")</x:f>
      </x:c>
      <x:c r="I236" t="str">
        <x:f>XLOOKUP($A236,'Specs'!$A$2:$A$164,'Specs'!$I$2:$I$164,"")</x:f>
      </x:c>
      <x:c r="J236" t="str">
        <x:f>XLOOKUP($A236,'Specs'!$A$2:$A$164,'Specs'!$J$2:$J$164,"")</x:f>
      </x:c>
      <x:c r="K236" t="str">
        <x:f>XLOOKUP($A236,'Specs'!$A$2:$A$164,'Specs'!$K$2:$K$164,"")</x:f>
      </x:c>
      <x:c r="L236" t="str">
        <x:f>XLOOKUP($A236,'Specs'!$A$2:$A$164,'Specs'!$L$2:$L$164,"")</x:f>
      </x:c>
      <x:c r="M236" t="n">
        <x:f>XLOOKUP($A236,'Specs'!$A$2:$A$164,'Specs'!$M$2:$M$164,"")</x:f>
        <x:v>626</x:v>
      </x:c>
      <x:c r="N236" t="str">
        <x:f>XLOOKUP($A236,'Specs'!$A$2:$A$164,'Specs'!$N$2:$N$164,"")</x:f>
      </x:c>
      <x:c r="O236" t="str">
        <x:f>XLOOKUP($A236,'Specs'!$A$2:$A$164,'Specs'!$O$2:$O$164,"")</x:f>
      </x:c>
      <x:c r="P236" t="str">
        <x:f>XLOOKUP($A236,'Specs'!$A$2:$A$164,'Specs'!$P$2:$P$164,"")</x:f>
        <x:v>HIGH</x:v>
      </x:c>
      <x:c r="Q236" s="53" t="n">
        <x:f>XLOOKUP($A236,'Specs'!$A$2:$A$164,'Specs'!$Q$2:$Q$164,"")</x:f>
        <x:v>8</x:v>
      </x:c>
      <x:c r="R236" s="53" t="n">
        <x:f>XLOOKUP($A236,'Specs'!$A$2:$A$164,'Specs'!$R$2:$R$164,"")</x:f>
        <x:v>4</x:v>
      </x:c>
      <x:c r="S236" t="str">
        <x:f>'Vendor Options'!A236</x:f>
        <x:v>OFFER-AB7E9DF0BD9A</x:v>
      </x:c>
      <x:c r="T236" t="str">
        <x:f>'Vendor Options'!C236</x:f>
        <x:v>PHG</x:v>
      </x:c>
      <x:c r="U236" t="str">
        <x:f>'Vendor Options'!D236</x:f>
        <x:v>HS</x:v>
      </x:c>
      <x:c r="V236" t="str">
        <x:f>'Vendor Options'!E236</x:f>
        <x:v>F86</x:v>
      </x:c>
      <x:c r="W236" t="str">
        <x:f>'Vendor Options'!F236</x:f>
        <x:v>F86</x:v>
      </x:c>
      <x:c r="X236" t="str">
        <x:f>'Vendor Options'!G236</x:f>
        <x:v>HS504CT26D</x:v>
      </x:c>
      <x:c r="Y236" t="str">
        <x:f>'Vendor Options'!H236</x:f>
        <x:v>HS504CT26D HS-CT504 - Storeroom (F86)</x:v>
      </x:c>
      <x:c r="Z236" t="n">
        <x:f>'Vendor Options'!I236</x:f>
        <x:v>0</x:v>
      </x:c>
      <x:c r="AA236" s="54" t="n">
        <x:f>'Vendor Options'!J236</x:f>
        <x:v>89.27</x:v>
      </x:c>
      <x:c r="AB236" t="n">
        <x:f>'Vendor Options'!K236</x:f>
        <x:v>0</x:v>
      </x:c>
      <x:c r="AC236" s="57" t="n">
        <x:f>'Vendor Options'!L236</x:f>
        <x:v>0</x:v>
      </x:c>
      <x:c r="AD236" s="57" t="n">
        <x:f>'Vendor Options'!M236</x:f>
        <x:v>0</x:v>
      </x:c>
      <x:c r="AE236" s="54" t="n">
        <x:f>'Vendor Options'!N236</x:f>
        <x:v>89.27</x:v>
      </x:c>
      <x:c r="AF236" t="str">
        <x:f>'Vendor Options'!O236</x:f>
        <x:v>USD</x:v>
      </x:c>
      <x:c r="AG236" t="str">
        <x:f>'Vendor Options'!P236</x:f>
        <x:v>PRICED</x:v>
      </x:c>
      <x:c r="AH236" t="str">
        <x:f>'Vendor Options'!Q236</x:f>
        <x:v>ACTIVE</x:v>
      </x:c>
      <x:c r="AI236" t="str">
        <x:f>'Vendor Options'!R236</x:f>
      </x:c>
      <x:c r="AJ236" t="n">
        <x:f>'Vendor Options'!S236</x:f>
        <x:v>181</x:v>
      </x:c>
    </x:row>
    <x:row r="237" ht="15" hidden="0" customHeight="1">
      <x:c r="A237" t="str">
        <x:f>'Vendor Options'!B237</x:f>
        <x:v>SPEC-E1BC0AC27D6E</x:v>
      </x:c>
      <x:c r="B237" t="str">
        <x:f>XLOOKUP($A237,'Specs'!$A$2:$A$164,'Specs'!$B$2:$B$164,"")</x:f>
        <x:v>LOCK</x:v>
      </x:c>
      <x:c r="C237" t="str">
        <x:f>XLOOKUP($A237,'Specs'!$A$2:$A$164,'Specs'!$C$2:$C$164,"")</x:f>
        <x:v>MORTISE LOCK</x:v>
      </x:c>
      <x:c r="D237" t="str">
        <x:f>XLOOKUP($A237,'Specs'!$A$2:$A$164,'Specs'!$D$2:$D$164,"")</x:f>
        <x:v>MORTISE</x:v>
      </x:c>
      <x:c r="E237" t="str">
        <x:f>XLOOKUP($A237,'Specs'!$A$2:$A$164,'Specs'!$E$2:$E$164,"")</x:f>
      </x:c>
      <x:c r="F237" t="str">
        <x:f>XLOOKUP($A237,'Specs'!$A$2:$A$164,'Specs'!$F$2:$F$164,"")</x:f>
        <x:v>STANDARD</x:v>
      </x:c>
      <x:c r="G237" t="str">
        <x:f>XLOOKUP($A237,'Specs'!$A$2:$A$164,'Specs'!$G$2:$G$164,"")</x:f>
      </x:c>
      <x:c r="H237" t="str">
        <x:f>XLOOKUP($A237,'Specs'!$A$2:$A$164,'Specs'!$H$2:$H$164,"")</x:f>
      </x:c>
      <x:c r="I237" t="str">
        <x:f>XLOOKUP($A237,'Specs'!$A$2:$A$164,'Specs'!$I$2:$I$164,"")</x:f>
      </x:c>
      <x:c r="J237" t="str">
        <x:f>XLOOKUP($A237,'Specs'!$A$2:$A$164,'Specs'!$J$2:$J$164,"")</x:f>
      </x:c>
      <x:c r="K237" t="str">
        <x:f>XLOOKUP($A237,'Specs'!$A$2:$A$164,'Specs'!$K$2:$K$164,"")</x:f>
      </x:c>
      <x:c r="L237" t="str">
        <x:f>XLOOKUP($A237,'Specs'!$A$2:$A$164,'Specs'!$L$2:$L$164,"")</x:f>
      </x:c>
      <x:c r="M237" t="n">
        <x:f>XLOOKUP($A237,'Specs'!$A$2:$A$164,'Specs'!$M$2:$M$164,"")</x:f>
        <x:v>626</x:v>
      </x:c>
      <x:c r="N237" t="str">
        <x:f>XLOOKUP($A237,'Specs'!$A$2:$A$164,'Specs'!$N$2:$N$164,"")</x:f>
      </x:c>
      <x:c r="O237" t="str">
        <x:f>XLOOKUP($A237,'Specs'!$A$2:$A$164,'Specs'!$O$2:$O$164,"")</x:f>
      </x:c>
      <x:c r="P237" t="str">
        <x:f>XLOOKUP($A237,'Specs'!$A$2:$A$164,'Specs'!$P$2:$P$164,"")</x:f>
        <x:v>MEDIUM</x:v>
      </x:c>
      <x:c r="Q237" s="53" t="n">
        <x:f>XLOOKUP($A237,'Specs'!$A$2:$A$164,'Specs'!$Q$2:$Q$164,"")</x:f>
        <x:v>1</x:v>
      </x:c>
      <x:c r="R237" s="53" t="n">
        <x:f>XLOOKUP($A237,'Specs'!$A$2:$A$164,'Specs'!$R$2:$R$164,"")</x:f>
        <x:v>1</x:v>
      </x:c>
      <x:c r="S237" t="str">
        <x:f>'Vendor Options'!A237</x:f>
        <x:v>OFFER-E0C8F557F087</x:v>
      </x:c>
      <x:c r="T237" t="str">
        <x:f>'Vendor Options'!C237</x:f>
        <x:v>DH</x:v>
      </x:c>
      <x:c r="U237" t="n">
        <x:f>'Vendor Options'!D237</x:f>
        <x:v>0</x:v>
      </x:c>
      <x:c r="V237" t="n">
        <x:f>'Vendor Options'!E237</x:f>
        <x:v>0</x:v>
      </x:c>
      <x:c r="W237" t="n">
        <x:f>'Vendor Options'!F237</x:f>
        <x:v>0</x:v>
      </x:c>
      <x:c r="X237" t="n">
        <x:f>'Vendor Options'!G237</x:f>
        <x:v>0</x:v>
      </x:c>
      <x:c r="Y237" t="n">
        <x:f>'Vendor Options'!H237</x:f>
        <x:v>0</x:v>
      </x:c>
      <x:c r="Z237" t="n">
        <x:f>'Vendor Options'!I237</x:f>
        <x:v>0</x:v>
      </x:c>
      <x:c r="AA237" s="54" t="n">
        <x:f>'Vendor Options'!J237</x:f>
        <x:v>0</x:v>
      </x:c>
      <x:c r="AB237" t="n">
        <x:f>'Vendor Options'!K237</x:f>
        <x:v>0</x:v>
      </x:c>
      <x:c r="AC237" s="57" t="n">
        <x:f>'Vendor Options'!L237</x:f>
        <x:v>0</x:v>
      </x:c>
      <x:c r="AD237" s="57" t="n">
        <x:f>'Vendor Options'!M237</x:f>
        <x:v>0</x:v>
      </x:c>
      <x:c r="AE237" s="54" t="str">
        <x:f>'Vendor Options'!N237</x:f>
      </x:c>
      <x:c r="AF237" t="str">
        <x:f>'Vendor Options'!O237</x:f>
        <x:v>USD</x:v>
      </x:c>
      <x:c r="AG237" t="str">
        <x:f>'Vendor Options'!P237</x:f>
        <x:v>UNPRICED</x:v>
      </x:c>
      <x:c r="AH237" t="str">
        <x:f>'Vendor Options'!Q237</x:f>
        <x:v>REVIEW</x:v>
      </x:c>
      <x:c r="AI237" t="str">
        <x:f>'Vendor Options'!R237</x:f>
        <x:v>MISSING_PRICE; MISSING_PART_NUMBER</x:v>
      </x:c>
      <x:c r="AJ237" t="n">
        <x:f>'Vendor Options'!S237</x:f>
        <x:v>194</x:v>
      </x:c>
    </x:row>
    <x:row r="238" ht="15" hidden="0" customHeight="1">
      <x:c r="A238" t="str">
        <x:f>'Vendor Options'!B238</x:f>
        <x:v>SPEC-4729E3036CB9</x:v>
      </x:c>
      <x:c r="B238" t="str">
        <x:f>XLOOKUP($A238,'Specs'!$A$2:$A$164,'Specs'!$B$2:$B$164,"")</x:f>
        <x:v>LOCK</x:v>
      </x:c>
      <x:c r="C238" t="str">
        <x:f>XLOOKUP($A238,'Specs'!$A$2:$A$164,'Specs'!$C$2:$C$164,"")</x:f>
        <x:v>MORTISE LOCK</x:v>
      </x:c>
      <x:c r="D238" t="str">
        <x:f>XLOOKUP($A238,'Specs'!$A$2:$A$164,'Specs'!$D$2:$D$164,"")</x:f>
        <x:v>MORTISE</x:v>
      </x:c>
      <x:c r="E238" t="str">
        <x:f>XLOOKUP($A238,'Specs'!$A$2:$A$164,'Specs'!$E$2:$E$164,"")</x:f>
      </x:c>
      <x:c r="F238" t="str">
        <x:f>XLOOKUP($A238,'Specs'!$A$2:$A$164,'Specs'!$F$2:$F$164,"")</x:f>
        <x:v>STANDARD</x:v>
      </x:c>
      <x:c r="G238" t="str">
        <x:f>XLOOKUP($A238,'Specs'!$A$2:$A$164,'Specs'!$G$2:$G$164,"")</x:f>
      </x:c>
      <x:c r="H238" t="str">
        <x:f>XLOOKUP($A238,'Specs'!$A$2:$A$164,'Specs'!$H$2:$H$164,"")</x:f>
      </x:c>
      <x:c r="I238" t="str">
        <x:f>XLOOKUP($A238,'Specs'!$A$2:$A$164,'Specs'!$I$2:$I$164,"")</x:f>
      </x:c>
      <x:c r="J238" t="str">
        <x:f>XLOOKUP($A238,'Specs'!$A$2:$A$164,'Specs'!$J$2:$J$164,"")</x:f>
      </x:c>
      <x:c r="K238" t="str">
        <x:f>XLOOKUP($A238,'Specs'!$A$2:$A$164,'Specs'!$K$2:$K$164,"")</x:f>
      </x:c>
      <x:c r="L238" t="str">
        <x:f>XLOOKUP($A238,'Specs'!$A$2:$A$164,'Specs'!$L$2:$L$164,"")</x:f>
      </x:c>
      <x:c r="M238" t="n">
        <x:f>XLOOKUP($A238,'Specs'!$A$2:$A$164,'Specs'!$M$2:$M$164,"")</x:f>
        <x:v>630</x:v>
      </x:c>
      <x:c r="N238" t="str">
        <x:f>XLOOKUP($A238,'Specs'!$A$2:$A$164,'Specs'!$N$2:$N$164,"")</x:f>
      </x:c>
      <x:c r="O238" t="str">
        <x:f>XLOOKUP($A238,'Specs'!$A$2:$A$164,'Specs'!$O$2:$O$164,"")</x:f>
      </x:c>
      <x:c r="P238" t="str">
        <x:f>XLOOKUP($A238,'Specs'!$A$2:$A$164,'Specs'!$P$2:$P$164,"")</x:f>
        <x:v>MEDIUM</x:v>
      </x:c>
      <x:c r="Q238" s="53" t="n">
        <x:f>XLOOKUP($A238,'Specs'!$A$2:$A$164,'Specs'!$Q$2:$Q$164,"")</x:f>
        <x:v>1</x:v>
      </x:c>
      <x:c r="R238" s="53" t="n">
        <x:f>XLOOKUP($A238,'Specs'!$A$2:$A$164,'Specs'!$R$2:$R$164,"")</x:f>
        <x:v>1</x:v>
      </x:c>
      <x:c r="S238" t="str">
        <x:f>'Vendor Options'!A238</x:f>
        <x:v>OFFER-0D78AFA6972C</x:v>
      </x:c>
      <x:c r="T238" t="str">
        <x:f>'Vendor Options'!C238</x:f>
        <x:v>BST</x:v>
      </x:c>
      <x:c r="U238" t="n">
        <x:f>'Vendor Options'!D238</x:f>
        <x:v>0</x:v>
      </x:c>
      <x:c r="V238" t="n">
        <x:f>'Vendor Options'!E238</x:f>
        <x:v>0</x:v>
      </x:c>
      <x:c r="W238" t="str">
        <x:f>'Vendor Options'!F238</x:f>
      </x:c>
      <x:c r="X238" t="str">
        <x:f>'Vendor Options'!G238</x:f>
      </x:c>
      <x:c r="Y238" t="n">
        <x:f>'Vendor Options'!H238</x:f>
        <x:v>0</x:v>
      </x:c>
      <x:c r="Z238" t="n">
        <x:f>'Vendor Options'!I238</x:f>
        <x:v>0</x:v>
      </x:c>
      <x:c r="AA238" s="54" t="n">
        <x:f>'Vendor Options'!J238</x:f>
        <x:v>0</x:v>
      </x:c>
      <x:c r="AB238" t="n">
        <x:f>'Vendor Options'!K238</x:f>
        <x:v>0</x:v>
      </x:c>
      <x:c r="AC238" s="57" t="n">
        <x:f>'Vendor Options'!L238</x:f>
        <x:v>0</x:v>
      </x:c>
      <x:c r="AD238" s="57" t="n">
        <x:f>'Vendor Options'!M238</x:f>
        <x:v>0</x:v>
      </x:c>
      <x:c r="AE238" s="54" t="str">
        <x:f>'Vendor Options'!N238</x:f>
      </x:c>
      <x:c r="AF238" t="str">
        <x:f>'Vendor Options'!O238</x:f>
        <x:v>USD</x:v>
      </x:c>
      <x:c r="AG238" t="str">
        <x:f>'Vendor Options'!P238</x:f>
        <x:v>UNPRICED</x:v>
      </x:c>
      <x:c r="AH238" t="str">
        <x:f>'Vendor Options'!Q238</x:f>
        <x:v>REVIEW</x:v>
      </x:c>
      <x:c r="AI238" t="str">
        <x:f>'Vendor Options'!R238</x:f>
        <x:v>MISSING_PRICE; MISSING_PART_NUMBER</x:v>
      </x:c>
      <x:c r="AJ238" t="n">
        <x:f>'Vendor Options'!S238</x:f>
        <x:v>192</x:v>
      </x:c>
    </x:row>
    <x:row r="239" ht="15" hidden="0" customHeight="1">
      <x:c r="A239" t="str">
        <x:f>'Vendor Options'!B239</x:f>
        <x:v>SPEC-71EA9B147D8B</x:v>
      </x:c>
      <x:c r="B239" t="str">
        <x:f>XLOOKUP($A239,'Specs'!$A$2:$A$164,'Specs'!$B$2:$B$164,"")</x:f>
        <x:v>LOCK</x:v>
      </x:c>
      <x:c r="C239" t="str">
        <x:f>XLOOKUP($A239,'Specs'!$A$2:$A$164,'Specs'!$C$2:$C$164,"")</x:f>
        <x:v>MORTISE LOCK</x:v>
      </x:c>
      <x:c r="D239" t="str">
        <x:f>XLOOKUP($A239,'Specs'!$A$2:$A$164,'Specs'!$D$2:$D$164,"")</x:f>
        <x:v>MORTISE</x:v>
      </x:c>
      <x:c r="E239" t="str">
        <x:f>XLOOKUP($A239,'Specs'!$A$2:$A$164,'Specs'!$E$2:$E$164,"")</x:f>
        <x:v>CLASSROOM</x:v>
      </x:c>
      <x:c r="F239" t="str">
        <x:f>XLOOKUP($A239,'Specs'!$A$2:$A$164,'Specs'!$F$2:$F$164,"")</x:f>
        <x:v>STANDARD</x:v>
      </x:c>
      <x:c r="G239" t="str">
        <x:f>XLOOKUP($A239,'Specs'!$A$2:$A$164,'Specs'!$G$2:$G$164,"")</x:f>
      </x:c>
      <x:c r="H239" t="str">
        <x:f>XLOOKUP($A239,'Specs'!$A$2:$A$164,'Specs'!$H$2:$H$164,"")</x:f>
      </x:c>
      <x:c r="I239" t="str">
        <x:f>XLOOKUP($A239,'Specs'!$A$2:$A$164,'Specs'!$I$2:$I$164,"")</x:f>
      </x:c>
      <x:c r="J239" t="str">
        <x:f>XLOOKUP($A239,'Specs'!$A$2:$A$164,'Specs'!$J$2:$J$164,"")</x:f>
      </x:c>
      <x:c r="K239" t="str">
        <x:f>XLOOKUP($A239,'Specs'!$A$2:$A$164,'Specs'!$K$2:$K$164,"")</x:f>
      </x:c>
      <x:c r="L239" t="str">
        <x:f>XLOOKUP($A239,'Specs'!$A$2:$A$164,'Specs'!$L$2:$L$164,"")</x:f>
      </x:c>
      <x:c r="M239" t="n">
        <x:f>XLOOKUP($A239,'Specs'!$A$2:$A$164,'Specs'!$M$2:$M$164,"")</x:f>
        <x:v>626</x:v>
      </x:c>
      <x:c r="N239" t="str">
        <x:f>XLOOKUP($A239,'Specs'!$A$2:$A$164,'Specs'!$N$2:$N$164,"")</x:f>
      </x:c>
      <x:c r="O239" t="str">
        <x:f>XLOOKUP($A239,'Specs'!$A$2:$A$164,'Specs'!$O$2:$O$164,"")</x:f>
      </x:c>
      <x:c r="P239" t="str">
        <x:f>XLOOKUP($A239,'Specs'!$A$2:$A$164,'Specs'!$P$2:$P$164,"")</x:f>
        <x:v>HIGH</x:v>
      </x:c>
      <x:c r="Q239" s="53" t="n">
        <x:f>XLOOKUP($A239,'Specs'!$A$2:$A$164,'Specs'!$Q$2:$Q$164,"")</x:f>
        <x:v>1</x:v>
      </x:c>
      <x:c r="R239" s="53" t="n">
        <x:f>XLOOKUP($A239,'Specs'!$A$2:$A$164,'Specs'!$R$2:$R$164,"")</x:f>
        <x:v>1</x:v>
      </x:c>
      <x:c r="S239" t="str">
        <x:f>'Vendor Options'!A239</x:f>
        <x:v>OFFER-EE0C01FAF1AA</x:v>
      </x:c>
      <x:c r="T239" t="str">
        <x:f>'Vendor Options'!C239</x:f>
        <x:v>PHG</x:v>
      </x:c>
      <x:c r="U239" t="str">
        <x:f>'Vendor Options'!D239</x:f>
        <x:v>MEW NO BOLT</x:v>
      </x:c>
      <x:c r="V239" t="n">
        <x:f>'Vendor Options'!E239</x:f>
        <x:v>0</x:v>
      </x:c>
      <x:c r="W239" t="str">
        <x:f>'Vendor Options'!F239</x:f>
      </x:c>
      <x:c r="X239" t="str">
        <x:f>'Vendor Options'!G239</x:f>
        <x:v>MEW705CT26D</x:v>
      </x:c>
      <x:c r="Y239" t="str">
        <x:f>'Vendor Options'!H239</x:f>
        <x:v>MEW705CT26D</x:v>
      </x:c>
      <x:c r="Z239" t="n">
        <x:f>'Vendor Options'!I239</x:f>
        <x:v>0</x:v>
      </x:c>
      <x:c r="AA239" s="54" t="n">
        <x:f>'Vendor Options'!J239</x:f>
        <x:v>0</x:v>
      </x:c>
      <x:c r="AB239" t="n">
        <x:f>'Vendor Options'!K239</x:f>
        <x:v>0</x:v>
      </x:c>
      <x:c r="AC239" s="57" t="n">
        <x:f>'Vendor Options'!L239</x:f>
        <x:v>0</x:v>
      </x:c>
      <x:c r="AD239" s="57" t="n">
        <x:f>'Vendor Options'!M239</x:f>
        <x:v>0</x:v>
      </x:c>
      <x:c r="AE239" s="54" t="str">
        <x:f>'Vendor Options'!N239</x:f>
      </x:c>
      <x:c r="AF239" t="str">
        <x:f>'Vendor Options'!O239</x:f>
        <x:v>USD</x:v>
      </x:c>
      <x:c r="AG239" t="str">
        <x:f>'Vendor Options'!P239</x:f>
        <x:v>UNPRICED</x:v>
      </x:c>
      <x:c r="AH239" t="str">
        <x:f>'Vendor Options'!Q239</x:f>
        <x:v>ACTIVE</x:v>
      </x:c>
      <x:c r="AI239" t="str">
        <x:f>'Vendor Options'!R239</x:f>
        <x:v>MISSING_PRICE</x:v>
      </x:c>
      <x:c r="AJ239" t="n">
        <x:f>'Vendor Options'!S239</x:f>
        <x:v>196</x:v>
      </x:c>
    </x:row>
    <x:row r="240" ht="15" hidden="0" customHeight="1">
      <x:c r="A240" t="str">
        <x:f>'Vendor Options'!B240</x:f>
        <x:v>SPEC-AA2D21F78E1A</x:v>
      </x:c>
      <x:c r="B240" t="str">
        <x:f>XLOOKUP($A240,'Specs'!$A$2:$A$164,'Specs'!$B$2:$B$164,"")</x:f>
        <x:v>LOCK</x:v>
      </x:c>
      <x:c r="C240" t="str">
        <x:f>XLOOKUP($A240,'Specs'!$A$2:$A$164,'Specs'!$C$2:$C$164,"")</x:f>
        <x:v>MORTISE LOCK</x:v>
      </x:c>
      <x:c r="D240" t="str">
        <x:f>XLOOKUP($A240,'Specs'!$A$2:$A$164,'Specs'!$D$2:$D$164,"")</x:f>
        <x:v>MORTISE</x:v>
      </x:c>
      <x:c r="E240" t="str">
        <x:f>XLOOKUP($A240,'Specs'!$A$2:$A$164,'Specs'!$E$2:$E$164,"")</x:f>
        <x:v>DORMITORY / CORRIDOR</x:v>
      </x:c>
      <x:c r="F240" t="str">
        <x:f>XLOOKUP($A240,'Specs'!$A$2:$A$164,'Specs'!$F$2:$F$164,"")</x:f>
        <x:v>STANDARD</x:v>
      </x:c>
      <x:c r="G240" t="str">
        <x:f>XLOOKUP($A240,'Specs'!$A$2:$A$164,'Specs'!$G$2:$G$164,"")</x:f>
      </x:c>
      <x:c r="H240" t="str">
        <x:f>XLOOKUP($A240,'Specs'!$A$2:$A$164,'Specs'!$H$2:$H$164,"")</x:f>
      </x:c>
      <x:c r="I240" t="str">
        <x:f>XLOOKUP($A240,'Specs'!$A$2:$A$164,'Specs'!$I$2:$I$164,"")</x:f>
      </x:c>
      <x:c r="J240" t="str">
        <x:f>XLOOKUP($A240,'Specs'!$A$2:$A$164,'Specs'!$J$2:$J$164,"")</x:f>
      </x:c>
      <x:c r="K240" t="str">
        <x:f>XLOOKUP($A240,'Specs'!$A$2:$A$164,'Specs'!$K$2:$K$164,"")</x:f>
      </x:c>
      <x:c r="L240" t="str">
        <x:f>XLOOKUP($A240,'Specs'!$A$2:$A$164,'Specs'!$L$2:$L$164,"")</x:f>
      </x:c>
      <x:c r="M240" t="n">
        <x:f>XLOOKUP($A240,'Specs'!$A$2:$A$164,'Specs'!$M$2:$M$164,"")</x:f>
        <x:v>626</x:v>
      </x:c>
      <x:c r="N240" t="str">
        <x:f>XLOOKUP($A240,'Specs'!$A$2:$A$164,'Specs'!$N$2:$N$164,"")</x:f>
      </x:c>
      <x:c r="O240" t="str">
        <x:f>XLOOKUP($A240,'Specs'!$A$2:$A$164,'Specs'!$O$2:$O$164,"")</x:f>
      </x:c>
      <x:c r="P240" t="str">
        <x:f>XLOOKUP($A240,'Specs'!$A$2:$A$164,'Specs'!$P$2:$P$164,"")</x:f>
        <x:v>HIGH</x:v>
      </x:c>
      <x:c r="Q240" s="53" t="n">
        <x:f>XLOOKUP($A240,'Specs'!$A$2:$A$164,'Specs'!$Q$2:$Q$164,"")</x:f>
        <x:v>1</x:v>
      </x:c>
      <x:c r="R240" s="53" t="n">
        <x:f>XLOOKUP($A240,'Specs'!$A$2:$A$164,'Specs'!$R$2:$R$164,"")</x:f>
        <x:v>1</x:v>
      </x:c>
      <x:c r="S240" t="str">
        <x:f>'Vendor Options'!A240</x:f>
        <x:v>OFFER-902A6592B544</x:v>
      </x:c>
      <x:c r="T240" t="str">
        <x:f>'Vendor Options'!C240</x:f>
        <x:v>PHG</x:v>
      </x:c>
      <x:c r="U240" t="str">
        <x:f>'Vendor Options'!D240</x:f>
        <x:v>MEW W BOLT</x:v>
      </x:c>
      <x:c r="V240" t="n">
        <x:f>'Vendor Options'!E240</x:f>
        <x:v>0</x:v>
      </x:c>
      <x:c r="W240" t="n">
        <x:f>'Vendor Options'!F240</x:f>
        <x:v>0</x:v>
      </x:c>
      <x:c r="X240" t="str">
        <x:f>'Vendor Options'!G240</x:f>
        <x:v>MEW713CT26D</x:v>
      </x:c>
      <x:c r="Y240" t="str">
        <x:f>'Vendor Options'!H240</x:f>
        <x:v>MEW713CT26D</x:v>
      </x:c>
      <x:c r="Z240" t="n">
        <x:f>'Vendor Options'!I240</x:f>
        <x:v>0</x:v>
      </x:c>
      <x:c r="AA240" s="54" t="n">
        <x:f>'Vendor Options'!J240</x:f>
        <x:v>0</x:v>
      </x:c>
      <x:c r="AB240" t="n">
        <x:f>'Vendor Options'!K240</x:f>
        <x:v>0</x:v>
      </x:c>
      <x:c r="AC240" s="57" t="n">
        <x:f>'Vendor Options'!L240</x:f>
        <x:v>0</x:v>
      </x:c>
      <x:c r="AD240" s="57" t="n">
        <x:f>'Vendor Options'!M240</x:f>
        <x:v>0</x:v>
      </x:c>
      <x:c r="AE240" s="54" t="str">
        <x:f>'Vendor Options'!N240</x:f>
      </x:c>
      <x:c r="AF240" t="str">
        <x:f>'Vendor Options'!O240</x:f>
        <x:v>USD</x:v>
      </x:c>
      <x:c r="AG240" t="str">
        <x:f>'Vendor Options'!P240</x:f>
        <x:v>UNPRICED</x:v>
      </x:c>
      <x:c r="AH240" t="str">
        <x:f>'Vendor Options'!Q240</x:f>
        <x:v>ACTIVE</x:v>
      </x:c>
      <x:c r="AI240" t="str">
        <x:f>'Vendor Options'!R240</x:f>
        <x:v>MISSING_PRICE</x:v>
      </x:c>
      <x:c r="AJ240" t="n">
        <x:f>'Vendor Options'!S240</x:f>
        <x:v>198</x:v>
      </x:c>
    </x:row>
    <x:row r="241" ht="15" hidden="0" customHeight="1">
      <x:c r="A241" t="str">
        <x:f>'Vendor Options'!B241</x:f>
        <x:v>SPEC-E66729F39E6C</x:v>
      </x:c>
      <x:c r="B241" t="str">
        <x:f>XLOOKUP($A241,'Specs'!$A$2:$A$164,'Specs'!$B$2:$B$164,"")</x:f>
        <x:v>LOCK</x:v>
      </x:c>
      <x:c r="C241" t="str">
        <x:f>XLOOKUP($A241,'Specs'!$A$2:$A$164,'Specs'!$C$2:$C$164,"")</x:f>
        <x:v>MORTISE LOCK</x:v>
      </x:c>
      <x:c r="D241" t="str">
        <x:f>XLOOKUP($A241,'Specs'!$A$2:$A$164,'Specs'!$D$2:$D$164,"")</x:f>
        <x:v>MORTISE</x:v>
      </x:c>
      <x:c r="E241" t="str">
        <x:f>XLOOKUP($A241,'Specs'!$A$2:$A$164,'Specs'!$E$2:$E$164,"")</x:f>
        <x:v>DORMITORY / CORRIDOR</x:v>
      </x:c>
      <x:c r="F241" t="str">
        <x:f>XLOOKUP($A241,'Specs'!$A$2:$A$164,'Specs'!$F$2:$F$164,"")</x:f>
        <x:v>STANDARD</x:v>
      </x:c>
      <x:c r="G241" t="str">
        <x:f>XLOOKUP($A241,'Specs'!$A$2:$A$164,'Specs'!$G$2:$G$164,"")</x:f>
      </x:c>
      <x:c r="H241" t="str">
        <x:f>XLOOKUP($A241,'Specs'!$A$2:$A$164,'Specs'!$H$2:$H$164,"")</x:f>
      </x:c>
      <x:c r="I241" t="str">
        <x:f>XLOOKUP($A241,'Specs'!$A$2:$A$164,'Specs'!$I$2:$I$164,"")</x:f>
      </x:c>
      <x:c r="J241" t="str">
        <x:f>XLOOKUP($A241,'Specs'!$A$2:$A$164,'Specs'!$J$2:$J$164,"")</x:f>
      </x:c>
      <x:c r="K241" t="str">
        <x:f>XLOOKUP($A241,'Specs'!$A$2:$A$164,'Specs'!$K$2:$K$164,"")</x:f>
      </x:c>
      <x:c r="L241" t="str">
        <x:f>XLOOKUP($A241,'Specs'!$A$2:$A$164,'Specs'!$L$2:$L$164,"")</x:f>
      </x:c>
      <x:c r="M241" t="n">
        <x:f>XLOOKUP($A241,'Specs'!$A$2:$A$164,'Specs'!$M$2:$M$164,"")</x:f>
        <x:v>630</x:v>
      </x:c>
      <x:c r="N241" t="str">
        <x:f>XLOOKUP($A241,'Specs'!$A$2:$A$164,'Specs'!$N$2:$N$164,"")</x:f>
      </x:c>
      <x:c r="O241" t="str">
        <x:f>XLOOKUP($A241,'Specs'!$A$2:$A$164,'Specs'!$O$2:$O$164,"")</x:f>
      </x:c>
      <x:c r="P241" t="str">
        <x:f>XLOOKUP($A241,'Specs'!$A$2:$A$164,'Specs'!$P$2:$P$164,"")</x:f>
        <x:v>HIGH</x:v>
      </x:c>
      <x:c r="Q241" s="53" t="n">
        <x:f>XLOOKUP($A241,'Specs'!$A$2:$A$164,'Specs'!$Q$2:$Q$164,"")</x:f>
        <x:v>1</x:v>
      </x:c>
      <x:c r="R241" s="53" t="n">
        <x:f>XLOOKUP($A241,'Specs'!$A$2:$A$164,'Specs'!$R$2:$R$164,"")</x:f>
        <x:v>1</x:v>
      </x:c>
      <x:c r="S241" t="str">
        <x:f>'Vendor Options'!A241</x:f>
        <x:v>OFFER-B6E25609C579</x:v>
      </x:c>
      <x:c r="T241" t="str">
        <x:f>'Vendor Options'!C241</x:f>
        <x:v>DK</x:v>
      </x:c>
      <x:c r="U241" t="n">
        <x:f>'Vendor Options'!D241</x:f>
        <x:v>0</x:v>
      </x:c>
      <x:c r="V241" t="n">
        <x:f>'Vendor Options'!E241</x:f>
        <x:v>0</x:v>
      </x:c>
      <x:c r="W241" t="n">
        <x:f>'Vendor Options'!F241</x:f>
        <x:v>0</x:v>
      </x:c>
      <x:c r="X241" t="n">
        <x:f>'Vendor Options'!G241</x:f>
        <x:v>0</x:v>
      </x:c>
      <x:c r="Y241" t="n">
        <x:f>'Vendor Options'!H241</x:f>
        <x:v>0</x:v>
      </x:c>
      <x:c r="Z241" t="n">
        <x:f>'Vendor Options'!I241</x:f>
        <x:v>0</x:v>
      </x:c>
      <x:c r="AA241" s="54" t="n">
        <x:f>'Vendor Options'!J241</x:f>
        <x:v>0</x:v>
      </x:c>
      <x:c r="AB241" t="n">
        <x:f>'Vendor Options'!K241</x:f>
        <x:v>0</x:v>
      </x:c>
      <x:c r="AC241" s="57" t="n">
        <x:f>'Vendor Options'!L241</x:f>
        <x:v>0</x:v>
      </x:c>
      <x:c r="AD241" s="57" t="n">
        <x:f>'Vendor Options'!M241</x:f>
        <x:v>0</x:v>
      </x:c>
      <x:c r="AE241" s="54" t="str">
        <x:f>'Vendor Options'!N241</x:f>
      </x:c>
      <x:c r="AF241" t="str">
        <x:f>'Vendor Options'!O241</x:f>
        <x:v>USD</x:v>
      </x:c>
      <x:c r="AG241" t="str">
        <x:f>'Vendor Options'!P241</x:f>
        <x:v>UNPRICED</x:v>
      </x:c>
      <x:c r="AH241" t="str">
        <x:f>'Vendor Options'!Q241</x:f>
        <x:v>REVIEW</x:v>
      </x:c>
      <x:c r="AI241" t="str">
        <x:f>'Vendor Options'!R241</x:f>
        <x:v>MISSING_PRICE; MISSING_PART_NUMBER</x:v>
      </x:c>
      <x:c r="AJ241" t="n">
        <x:f>'Vendor Options'!S241</x:f>
        <x:v>191</x:v>
      </x:c>
    </x:row>
    <x:row r="242" ht="15" hidden="0" customHeight="1">
      <x:c r="A242" t="str">
        <x:f>'Vendor Options'!B242</x:f>
        <x:v>SPEC-E036640F0FCE</x:v>
      </x:c>
      <x:c r="B242" t="str">
        <x:f>XLOOKUP($A242,'Specs'!$A$2:$A$164,'Specs'!$B$2:$B$164,"")</x:f>
        <x:v>LOCK</x:v>
      </x:c>
      <x:c r="C242" t="str">
        <x:f>XLOOKUP($A242,'Specs'!$A$2:$A$164,'Specs'!$C$2:$C$164,"")</x:f>
        <x:v>MORTISE LOCK</x:v>
      </x:c>
      <x:c r="D242" t="str">
        <x:f>XLOOKUP($A242,'Specs'!$A$2:$A$164,'Specs'!$D$2:$D$164,"")</x:f>
        <x:v>MORTISE</x:v>
      </x:c>
      <x:c r="E242" t="str">
        <x:f>XLOOKUP($A242,'Specs'!$A$2:$A$164,'Specs'!$E$2:$E$164,"")</x:f>
        <x:v>ENTRY</x:v>
      </x:c>
      <x:c r="F242" t="str">
        <x:f>XLOOKUP($A242,'Specs'!$A$2:$A$164,'Specs'!$F$2:$F$164,"")</x:f>
        <x:v>STANDARD</x:v>
      </x:c>
      <x:c r="G242" t="str">
        <x:f>XLOOKUP($A242,'Specs'!$A$2:$A$164,'Specs'!$G$2:$G$164,"")</x:f>
      </x:c>
      <x:c r="H242" t="str">
        <x:f>XLOOKUP($A242,'Specs'!$A$2:$A$164,'Specs'!$H$2:$H$164,"")</x:f>
      </x:c>
      <x:c r="I242" t="str">
        <x:f>XLOOKUP($A242,'Specs'!$A$2:$A$164,'Specs'!$I$2:$I$164,"")</x:f>
      </x:c>
      <x:c r="J242" t="str">
        <x:f>XLOOKUP($A242,'Specs'!$A$2:$A$164,'Specs'!$J$2:$J$164,"")</x:f>
      </x:c>
      <x:c r="K242" t="str">
        <x:f>XLOOKUP($A242,'Specs'!$A$2:$A$164,'Specs'!$K$2:$K$164,"")</x:f>
      </x:c>
      <x:c r="L242" t="str">
        <x:f>XLOOKUP($A242,'Specs'!$A$2:$A$164,'Specs'!$L$2:$L$164,"")</x:f>
      </x:c>
      <x:c r="M242" t="n">
        <x:f>XLOOKUP($A242,'Specs'!$A$2:$A$164,'Specs'!$M$2:$M$164,"")</x:f>
        <x:v>630</x:v>
      </x:c>
      <x:c r="N242" t="str">
        <x:f>XLOOKUP($A242,'Specs'!$A$2:$A$164,'Specs'!$N$2:$N$164,"")</x:f>
      </x:c>
      <x:c r="O242" t="str">
        <x:f>XLOOKUP($A242,'Specs'!$A$2:$A$164,'Specs'!$O$2:$O$164,"")</x:f>
      </x:c>
      <x:c r="P242" t="str">
        <x:f>XLOOKUP($A242,'Specs'!$A$2:$A$164,'Specs'!$P$2:$P$164,"")</x:f>
        <x:v>HIGH</x:v>
      </x:c>
      <x:c r="Q242" s="53" t="n">
        <x:f>XLOOKUP($A242,'Specs'!$A$2:$A$164,'Specs'!$Q$2:$Q$164,"")</x:f>
        <x:v>1</x:v>
      </x:c>
      <x:c r="R242" s="53" t="n">
        <x:f>XLOOKUP($A242,'Specs'!$A$2:$A$164,'Specs'!$R$2:$R$164,"")</x:f>
        <x:v>1</x:v>
      </x:c>
      <x:c r="S242" t="str">
        <x:f>'Vendor Options'!A242</x:f>
        <x:v>OFFER-5F9AD40AA0A1</x:v>
      </x:c>
      <x:c r="T242" t="str">
        <x:f>'Vendor Options'!C242</x:f>
        <x:v>DK</x:v>
      </x:c>
      <x:c r="U242" t="n">
        <x:f>'Vendor Options'!D242</x:f>
        <x:v>0</x:v>
      </x:c>
      <x:c r="V242" t="n">
        <x:f>'Vendor Options'!E242</x:f>
        <x:v>0</x:v>
      </x:c>
      <x:c r="W242" t="str">
        <x:f>'Vendor Options'!F242</x:f>
      </x:c>
      <x:c r="X242" t="str">
        <x:f>'Vendor Options'!G242</x:f>
      </x:c>
      <x:c r="Y242" t="n">
        <x:f>'Vendor Options'!H242</x:f>
        <x:v>0</x:v>
      </x:c>
      <x:c r="Z242" t="n">
        <x:f>'Vendor Options'!I242</x:f>
        <x:v>0</x:v>
      </x:c>
      <x:c r="AA242" s="54" t="n">
        <x:f>'Vendor Options'!J242</x:f>
        <x:v>0</x:v>
      </x:c>
      <x:c r="AB242" t="n">
        <x:f>'Vendor Options'!K242</x:f>
        <x:v>0</x:v>
      </x:c>
      <x:c r="AC242" s="57" t="n">
        <x:f>'Vendor Options'!L242</x:f>
        <x:v>0</x:v>
      </x:c>
      <x:c r="AD242" s="57" t="n">
        <x:f>'Vendor Options'!M242</x:f>
        <x:v>0</x:v>
      </x:c>
      <x:c r="AE242" s="54" t="str">
        <x:f>'Vendor Options'!N242</x:f>
      </x:c>
      <x:c r="AF242" t="str">
        <x:f>'Vendor Options'!O242</x:f>
        <x:v>USD</x:v>
      </x:c>
      <x:c r="AG242" t="str">
        <x:f>'Vendor Options'!P242</x:f>
        <x:v>UNPRICED</x:v>
      </x:c>
      <x:c r="AH242" t="str">
        <x:f>'Vendor Options'!Q242</x:f>
        <x:v>REVIEW</x:v>
      </x:c>
      <x:c r="AI242" t="str">
        <x:f>'Vendor Options'!R242</x:f>
        <x:v>MISSING_PRICE; MISSING_PART_NUMBER</x:v>
      </x:c>
      <x:c r="AJ242" t="n">
        <x:f>'Vendor Options'!S242</x:f>
        <x:v>190</x:v>
      </x:c>
    </x:row>
    <x:row r="243" ht="15" hidden="0" customHeight="1">
      <x:c r="A243" t="str">
        <x:f>'Vendor Options'!B243</x:f>
        <x:v>SPEC-01558E77D141</x:v>
      </x:c>
      <x:c r="B243" t="str">
        <x:f>XLOOKUP($A243,'Specs'!$A$2:$A$164,'Specs'!$B$2:$B$164,"")</x:f>
        <x:v>LOCK</x:v>
      </x:c>
      <x:c r="C243" t="str">
        <x:f>XLOOKUP($A243,'Specs'!$A$2:$A$164,'Specs'!$C$2:$C$164,"")</x:f>
        <x:v>MORTISE LOCK</x:v>
      </x:c>
      <x:c r="D243" t="str">
        <x:f>XLOOKUP($A243,'Specs'!$A$2:$A$164,'Specs'!$D$2:$D$164,"")</x:f>
        <x:v>MORTISE</x:v>
      </x:c>
      <x:c r="E243" t="str">
        <x:f>XLOOKUP($A243,'Specs'!$A$2:$A$164,'Specs'!$E$2:$E$164,"")</x:f>
        <x:v>STOREROOM</x:v>
      </x:c>
      <x:c r="F243" t="str">
        <x:f>XLOOKUP($A243,'Specs'!$A$2:$A$164,'Specs'!$F$2:$F$164,"")</x:f>
        <x:v>STANDARD</x:v>
      </x:c>
      <x:c r="G243" t="str">
        <x:f>XLOOKUP($A243,'Specs'!$A$2:$A$164,'Specs'!$G$2:$G$164,"")</x:f>
      </x:c>
      <x:c r="H243" t="str">
        <x:f>XLOOKUP($A243,'Specs'!$A$2:$A$164,'Specs'!$H$2:$H$164,"")</x:f>
      </x:c>
      <x:c r="I243" t="str">
        <x:f>XLOOKUP($A243,'Specs'!$A$2:$A$164,'Specs'!$I$2:$I$164,"")</x:f>
      </x:c>
      <x:c r="J243" t="str">
        <x:f>XLOOKUP($A243,'Specs'!$A$2:$A$164,'Specs'!$J$2:$J$164,"")</x:f>
      </x:c>
      <x:c r="K243" t="str">
        <x:f>XLOOKUP($A243,'Specs'!$A$2:$A$164,'Specs'!$K$2:$K$164,"")</x:f>
      </x:c>
      <x:c r="L243" t="str">
        <x:f>XLOOKUP($A243,'Specs'!$A$2:$A$164,'Specs'!$L$2:$L$164,"")</x:f>
      </x:c>
      <x:c r="M243" t="n">
        <x:f>XLOOKUP($A243,'Specs'!$A$2:$A$164,'Specs'!$M$2:$M$164,"")</x:f>
        <x:v>626</x:v>
      </x:c>
      <x:c r="N243" t="str">
        <x:f>XLOOKUP($A243,'Specs'!$A$2:$A$164,'Specs'!$N$2:$N$164,"")</x:f>
      </x:c>
      <x:c r="O243" t="str">
        <x:f>XLOOKUP($A243,'Specs'!$A$2:$A$164,'Specs'!$O$2:$O$164,"")</x:f>
      </x:c>
      <x:c r="P243" t="str">
        <x:f>XLOOKUP($A243,'Specs'!$A$2:$A$164,'Specs'!$P$2:$P$164,"")</x:f>
        <x:v>HIGH</x:v>
      </x:c>
      <x:c r="Q243" s="53" t="n">
        <x:f>XLOOKUP($A243,'Specs'!$A$2:$A$164,'Specs'!$Q$2:$Q$164,"")</x:f>
        <x:v>2</x:v>
      </x:c>
      <x:c r="R243" s="53" t="n">
        <x:f>XLOOKUP($A243,'Specs'!$A$2:$A$164,'Specs'!$R$2:$R$164,"")</x:f>
        <x:v>1</x:v>
      </x:c>
      <x:c r="S243" t="str">
        <x:f>'Vendor Options'!A243</x:f>
        <x:v>OFFER-51DE0707BC24</x:v>
      </x:c>
      <x:c r="T243" t="str">
        <x:f>'Vendor Options'!C243</x:f>
        <x:v>PHG</x:v>
      </x:c>
      <x:c r="U243" t="str">
        <x:f>'Vendor Options'!D243</x:f>
        <x:v>MEW NO BOLT</x:v>
      </x:c>
      <x:c r="V243" t="n">
        <x:f>'Vendor Options'!E243</x:f>
        <x:v>0</x:v>
      </x:c>
      <x:c r="W243" t="str">
        <x:f>'Vendor Options'!F243</x:f>
      </x:c>
      <x:c r="X243" t="str">
        <x:f>'Vendor Options'!G243</x:f>
        <x:v>MEW707CT26D</x:v>
      </x:c>
      <x:c r="Y243" t="str">
        <x:f>'Vendor Options'!H243</x:f>
        <x:v>MEW707CT26D</x:v>
      </x:c>
      <x:c r="Z243" t="n">
        <x:f>'Vendor Options'!I243</x:f>
        <x:v>0</x:v>
      </x:c>
      <x:c r="AA243" s="54" t="n">
        <x:f>'Vendor Options'!J243</x:f>
        <x:v>0</x:v>
      </x:c>
      <x:c r="AB243" t="n">
        <x:f>'Vendor Options'!K243</x:f>
        <x:v>0</x:v>
      </x:c>
      <x:c r="AC243" s="57" t="n">
        <x:f>'Vendor Options'!L243</x:f>
        <x:v>0</x:v>
      </x:c>
      <x:c r="AD243" s="57" t="n">
        <x:f>'Vendor Options'!M243</x:f>
        <x:v>0</x:v>
      </x:c>
      <x:c r="AE243" s="54" t="str">
        <x:f>'Vendor Options'!N243</x:f>
      </x:c>
      <x:c r="AF243" t="str">
        <x:f>'Vendor Options'!O243</x:f>
        <x:v>USD</x:v>
      </x:c>
      <x:c r="AG243" t="str">
        <x:f>'Vendor Options'!P243</x:f>
        <x:v>UNPRICED</x:v>
      </x:c>
      <x:c r="AH243" t="str">
        <x:f>'Vendor Options'!Q243</x:f>
        <x:v>ACTIVE</x:v>
      </x:c>
      <x:c r="AI243" t="str">
        <x:f>'Vendor Options'!R243</x:f>
        <x:v>MISSING_PRICE</x:v>
      </x:c>
      <x:c r="AJ243" t="n">
        <x:f>'Vendor Options'!S243</x:f>
        <x:v>197</x:v>
      </x:c>
    </x:row>
    <x:row r="244" ht="15" hidden="0" customHeight="1">
      <x:c r="A244" t="str">
        <x:f>'Vendor Options'!B244</x:f>
        <x:v>SPEC-01558E77D141</x:v>
      </x:c>
      <x:c r="B244" t="str">
        <x:f>XLOOKUP($A244,'Specs'!$A$2:$A$164,'Specs'!$B$2:$B$164,"")</x:f>
        <x:v>LOCK</x:v>
      </x:c>
      <x:c r="C244" t="str">
        <x:f>XLOOKUP($A244,'Specs'!$A$2:$A$164,'Specs'!$C$2:$C$164,"")</x:f>
        <x:v>MORTISE LOCK</x:v>
      </x:c>
      <x:c r="D244" t="str">
        <x:f>XLOOKUP($A244,'Specs'!$A$2:$A$164,'Specs'!$D$2:$D$164,"")</x:f>
        <x:v>MORTISE</x:v>
      </x:c>
      <x:c r="E244" t="str">
        <x:f>XLOOKUP($A244,'Specs'!$A$2:$A$164,'Specs'!$E$2:$E$164,"")</x:f>
        <x:v>STOREROOM</x:v>
      </x:c>
      <x:c r="F244" t="str">
        <x:f>XLOOKUP($A244,'Specs'!$A$2:$A$164,'Specs'!$F$2:$F$164,"")</x:f>
        <x:v>STANDARD</x:v>
      </x:c>
      <x:c r="G244" t="str">
        <x:f>XLOOKUP($A244,'Specs'!$A$2:$A$164,'Specs'!$G$2:$G$164,"")</x:f>
      </x:c>
      <x:c r="H244" t="str">
        <x:f>XLOOKUP($A244,'Specs'!$A$2:$A$164,'Specs'!$H$2:$H$164,"")</x:f>
      </x:c>
      <x:c r="I244" t="str">
        <x:f>XLOOKUP($A244,'Specs'!$A$2:$A$164,'Specs'!$I$2:$I$164,"")</x:f>
      </x:c>
      <x:c r="J244" t="str">
        <x:f>XLOOKUP($A244,'Specs'!$A$2:$A$164,'Specs'!$J$2:$J$164,"")</x:f>
      </x:c>
      <x:c r="K244" t="str">
        <x:f>XLOOKUP($A244,'Specs'!$A$2:$A$164,'Specs'!$K$2:$K$164,"")</x:f>
      </x:c>
      <x:c r="L244" t="str">
        <x:f>XLOOKUP($A244,'Specs'!$A$2:$A$164,'Specs'!$L$2:$L$164,"")</x:f>
      </x:c>
      <x:c r="M244" t="n">
        <x:f>XLOOKUP($A244,'Specs'!$A$2:$A$164,'Specs'!$M$2:$M$164,"")</x:f>
        <x:v>626</x:v>
      </x:c>
      <x:c r="N244" t="str">
        <x:f>XLOOKUP($A244,'Specs'!$A$2:$A$164,'Specs'!$N$2:$N$164,"")</x:f>
      </x:c>
      <x:c r="O244" t="str">
        <x:f>XLOOKUP($A244,'Specs'!$A$2:$A$164,'Specs'!$O$2:$O$164,"")</x:f>
      </x:c>
      <x:c r="P244" t="str">
        <x:f>XLOOKUP($A244,'Specs'!$A$2:$A$164,'Specs'!$P$2:$P$164,"")</x:f>
        <x:v>HIGH</x:v>
      </x:c>
      <x:c r="Q244" s="53" t="n">
        <x:f>XLOOKUP($A244,'Specs'!$A$2:$A$164,'Specs'!$Q$2:$Q$164,"")</x:f>
        <x:v>2</x:v>
      </x:c>
      <x:c r="R244" s="53" t="n">
        <x:f>XLOOKUP($A244,'Specs'!$A$2:$A$164,'Specs'!$R$2:$R$164,"")</x:f>
        <x:v>1</x:v>
      </x:c>
      <x:c r="S244" t="str">
        <x:f>'Vendor Options'!A244</x:f>
        <x:v>OFFER-1EA4A266EC28</x:v>
      </x:c>
      <x:c r="T244" t="str">
        <x:f>'Vendor Options'!C244</x:f>
        <x:v>PHG</x:v>
      </x:c>
      <x:c r="U244" t="str">
        <x:f>'Vendor Options'!D244</x:f>
        <x:v>MEW W BOLT</x:v>
      </x:c>
      <x:c r="V244" t="n">
        <x:f>'Vendor Options'!E244</x:f>
        <x:v>0</x:v>
      </x:c>
      <x:c r="W244" t="str">
        <x:f>'Vendor Options'!F244</x:f>
      </x:c>
      <x:c r="X244" t="str">
        <x:f>'Vendor Options'!G244</x:f>
        <x:v>MEW765CT26D</x:v>
      </x:c>
      <x:c r="Y244" t="str">
        <x:f>'Vendor Options'!H244</x:f>
        <x:v>MEW765CT26D</x:v>
      </x:c>
      <x:c r="Z244" t="n">
        <x:f>'Vendor Options'!I244</x:f>
        <x:v>0</x:v>
      </x:c>
      <x:c r="AA244" s="54" t="n">
        <x:f>'Vendor Options'!J244</x:f>
        <x:v>0</x:v>
      </x:c>
      <x:c r="AB244" t="n">
        <x:f>'Vendor Options'!K244</x:f>
        <x:v>0</x:v>
      </x:c>
      <x:c r="AC244" s="57" t="n">
        <x:f>'Vendor Options'!L244</x:f>
        <x:v>0</x:v>
      </x:c>
      <x:c r="AD244" s="57" t="n">
        <x:f>'Vendor Options'!M244</x:f>
        <x:v>0</x:v>
      </x:c>
      <x:c r="AE244" s="54" t="str">
        <x:f>'Vendor Options'!N244</x:f>
      </x:c>
      <x:c r="AF244" t="str">
        <x:f>'Vendor Options'!O244</x:f>
        <x:v>USD</x:v>
      </x:c>
      <x:c r="AG244" t="str">
        <x:f>'Vendor Options'!P244</x:f>
        <x:v>UNPRICED</x:v>
      </x:c>
      <x:c r="AH244" t="str">
        <x:f>'Vendor Options'!Q244</x:f>
        <x:v>ACTIVE</x:v>
      </x:c>
      <x:c r="AI244" t="str">
        <x:f>'Vendor Options'!R244</x:f>
        <x:v>MISSING_PRICE</x:v>
      </x:c>
      <x:c r="AJ244" t="n">
        <x:f>'Vendor Options'!S244</x:f>
        <x:v>199</x:v>
      </x:c>
    </x:row>
    <x:row r="245" ht="15" hidden="0" customHeight="1">
      <x:c r="A245" t="str">
        <x:f>'Vendor Options'!B245</x:f>
        <x:v>SPEC-15FDCC55AD13</x:v>
      </x:c>
      <x:c r="B245" t="str">
        <x:f>XLOOKUP($A245,'Specs'!$A$2:$A$164,'Specs'!$B$2:$B$164,"")</x:f>
        <x:v>LOCK</x:v>
      </x:c>
      <x:c r="C245" t="str">
        <x:f>XLOOKUP($A245,'Specs'!$A$2:$A$164,'Specs'!$C$2:$C$164,"")</x:f>
        <x:v>MORTISE LOCK</x:v>
      </x:c>
      <x:c r="D245" t="str">
        <x:f>XLOOKUP($A245,'Specs'!$A$2:$A$164,'Specs'!$D$2:$D$164,"")</x:f>
        <x:v>MORTISE</x:v>
      </x:c>
      <x:c r="E245" t="str">
        <x:f>XLOOKUP($A245,'Specs'!$A$2:$A$164,'Specs'!$E$2:$E$164,"")</x:f>
        <x:v>STOREROOM</x:v>
      </x:c>
      <x:c r="F245" t="str">
        <x:f>XLOOKUP($A245,'Specs'!$A$2:$A$164,'Specs'!$F$2:$F$164,"")</x:f>
        <x:v>STANDARD</x:v>
      </x:c>
      <x:c r="G245" t="str">
        <x:f>XLOOKUP($A245,'Specs'!$A$2:$A$164,'Specs'!$G$2:$G$164,"")</x:f>
      </x:c>
      <x:c r="H245" t="str">
        <x:f>XLOOKUP($A245,'Specs'!$A$2:$A$164,'Specs'!$H$2:$H$164,"")</x:f>
      </x:c>
      <x:c r="I245" t="str">
        <x:f>XLOOKUP($A245,'Specs'!$A$2:$A$164,'Specs'!$I$2:$I$164,"")</x:f>
      </x:c>
      <x:c r="J245" t="str">
        <x:f>XLOOKUP($A245,'Specs'!$A$2:$A$164,'Specs'!$J$2:$J$164,"")</x:f>
      </x:c>
      <x:c r="K245" t="str">
        <x:f>XLOOKUP($A245,'Specs'!$A$2:$A$164,'Specs'!$K$2:$K$164,"")</x:f>
      </x:c>
      <x:c r="L245" t="str">
        <x:f>XLOOKUP($A245,'Specs'!$A$2:$A$164,'Specs'!$L$2:$L$164,"")</x:f>
      </x:c>
      <x:c r="M245" t="n">
        <x:f>XLOOKUP($A245,'Specs'!$A$2:$A$164,'Specs'!$M$2:$M$164,"")</x:f>
        <x:v>630</x:v>
      </x:c>
      <x:c r="N245" t="str">
        <x:f>XLOOKUP($A245,'Specs'!$A$2:$A$164,'Specs'!$N$2:$N$164,"")</x:f>
      </x:c>
      <x:c r="O245" t="str">
        <x:f>XLOOKUP($A245,'Specs'!$A$2:$A$164,'Specs'!$O$2:$O$164,"")</x:f>
      </x:c>
      <x:c r="P245" t="str">
        <x:f>XLOOKUP($A245,'Specs'!$A$2:$A$164,'Specs'!$P$2:$P$164,"")</x:f>
        <x:v>HIGH</x:v>
      </x:c>
      <x:c r="Q245" s="53" t="n">
        <x:f>XLOOKUP($A245,'Specs'!$A$2:$A$164,'Specs'!$Q$2:$Q$164,"")</x:f>
        <x:v>1</x:v>
      </x:c>
      <x:c r="R245" s="53" t="n">
        <x:f>XLOOKUP($A245,'Specs'!$A$2:$A$164,'Specs'!$R$2:$R$164,"")</x:f>
        <x:v>1</x:v>
      </x:c>
      <x:c r="S245" t="str">
        <x:f>'Vendor Options'!A245</x:f>
        <x:v>OFFER-7B1D57249CFE</x:v>
      </x:c>
      <x:c r="T245" t="str">
        <x:f>'Vendor Options'!C245</x:f>
        <x:v>DK</x:v>
      </x:c>
      <x:c r="U245" t="str">
        <x:f>'Vendor Options'!D245</x:f>
      </x:c>
      <x:c r="V245" t="n">
        <x:f>'Vendor Options'!E245</x:f>
        <x:v>0</x:v>
      </x:c>
      <x:c r="W245" t="str">
        <x:f>'Vendor Options'!F245</x:f>
      </x:c>
      <x:c r="X245" t="str">
        <x:f>'Vendor Options'!G245</x:f>
        <x:v>M1-980-D-LR-M-*-HAND-134-5006-114</x:v>
      </x:c>
      <x:c r="Y245" t="str">
        <x:f>'Vendor Options'!H245</x:f>
        <x:v>M1-980-D-LR-M-*-HAND-134-5006-114</x:v>
      </x:c>
      <x:c r="Z245" t="str">
        <x:f>'Vendor Options'!I245</x:f>
      </x:c>
      <x:c r="AA245" s="54" t="n">
        <x:f>'Vendor Options'!J245</x:f>
        <x:v>0</x:v>
      </x:c>
      <x:c r="AB245" t="n">
        <x:f>'Vendor Options'!K245</x:f>
        <x:v>0</x:v>
      </x:c>
      <x:c r="AC245" s="57" t="n">
        <x:f>'Vendor Options'!L245</x:f>
        <x:v>0</x:v>
      </x:c>
      <x:c r="AD245" s="57" t="n">
        <x:f>'Vendor Options'!M245</x:f>
        <x:v>0</x:v>
      </x:c>
      <x:c r="AE245" s="54" t="str">
        <x:f>'Vendor Options'!N245</x:f>
      </x:c>
      <x:c r="AF245" t="str">
        <x:f>'Vendor Options'!O245</x:f>
        <x:v>USD</x:v>
      </x:c>
      <x:c r="AG245" t="str">
        <x:f>'Vendor Options'!P245</x:f>
        <x:v>UNPRICED</x:v>
      </x:c>
      <x:c r="AH245" t="str">
        <x:f>'Vendor Options'!Q245</x:f>
        <x:v>ACTIVE</x:v>
      </x:c>
      <x:c r="AI245" t="str">
        <x:f>'Vendor Options'!R245</x:f>
        <x:v>MISSING_PRICE</x:v>
      </x:c>
      <x:c r="AJ245" t="n">
        <x:f>'Vendor Options'!S245</x:f>
        <x:v>189</x:v>
      </x:c>
    </x:row>
    <x:row r="246" ht="15" hidden="0" customHeight="1">
      <x:c r="A246" t="str">
        <x:f>'Vendor Options'!B246</x:f>
        <x:v>SPEC-DCF3F116451F</x:v>
      </x:c>
      <x:c r="B246" t="str">
        <x:f>XLOOKUP($A246,'Specs'!$A$2:$A$164,'Specs'!$B$2:$B$164,"")</x:f>
        <x:v>PANIC TRIM</x:v>
      </x:c>
      <x:c r="C246" t="str">
        <x:f>XLOOKUP($A246,'Specs'!$A$2:$A$164,'Specs'!$C$2:$C$164,"")</x:f>
        <x:v>ESCUTCHEON TRIM</x:v>
      </x:c>
      <x:c r="D246" t="str">
        <x:f>XLOOKUP($A246,'Specs'!$A$2:$A$164,'Specs'!$D$2:$D$164,"")</x:f>
        <x:v>MORTISE</x:v>
      </x:c>
      <x:c r="E246" t="str">
        <x:f>XLOOKUP($A246,'Specs'!$A$2:$A$164,'Specs'!$E$2:$E$164,"")</x:f>
        <x:v>ENTRY</x:v>
      </x:c>
      <x:c r="F246" t="str">
        <x:f>XLOOKUP($A246,'Specs'!$A$2:$A$164,'Specs'!$F$2:$F$164,"")</x:f>
        <x:v>LFIC</x:v>
      </x:c>
      <x:c r="G246" t="str">
        <x:f>XLOOKUP($A246,'Specs'!$A$2:$A$164,'Specs'!$G$2:$G$164,"")</x:f>
      </x:c>
      <x:c r="H246" t="str">
        <x:f>XLOOKUP($A246,'Specs'!$A$2:$A$164,'Specs'!$H$2:$H$164,"")</x:f>
      </x:c>
      <x:c r="I246" t="str">
        <x:f>XLOOKUP($A246,'Specs'!$A$2:$A$164,'Specs'!$I$2:$I$164,"")</x:f>
      </x:c>
      <x:c r="J246" t="str">
        <x:f>XLOOKUP($A246,'Specs'!$A$2:$A$164,'Specs'!$J$2:$J$164,"")</x:f>
      </x:c>
      <x:c r="K246" t="str">
        <x:f>XLOOKUP($A246,'Specs'!$A$2:$A$164,'Specs'!$K$2:$K$164,"")</x:f>
      </x:c>
      <x:c r="L246" t="str">
        <x:f>XLOOKUP($A246,'Specs'!$A$2:$A$164,'Specs'!$L$2:$L$164,"")</x:f>
      </x:c>
      <x:c r="M246" t="str">
        <x:f>XLOOKUP($A246,'Specs'!$A$2:$A$164,'Specs'!$M$2:$M$164,"")</x:f>
      </x:c>
      <x:c r="N246" t="str">
        <x:f>XLOOKUP($A246,'Specs'!$A$2:$A$164,'Specs'!$N$2:$N$164,"")</x:f>
      </x:c>
      <x:c r="O246" t="str">
        <x:f>XLOOKUP($A246,'Specs'!$A$2:$A$164,'Specs'!$O$2:$O$164,"")</x:f>
      </x:c>
      <x:c r="P246" t="str">
        <x:f>XLOOKUP($A246,'Specs'!$A$2:$A$164,'Specs'!$P$2:$P$164,"")</x:f>
        <x:v>MEDIUM</x:v>
      </x:c>
      <x:c r="Q246" s="53" t="n">
        <x:f>XLOOKUP($A246,'Specs'!$A$2:$A$164,'Specs'!$Q$2:$Q$164,"")</x:f>
        <x:v>1</x:v>
      </x:c>
      <x:c r="R246" s="53" t="n">
        <x:f>XLOOKUP($A246,'Specs'!$A$2:$A$164,'Specs'!$R$2:$R$164,"")</x:f>
        <x:v>1</x:v>
      </x:c>
      <x:c r="S246" t="str">
        <x:f>'Vendor Options'!A246</x:f>
        <x:v>OFFER-F1993619AC19</x:v>
      </x:c>
      <x:c r="T246" t="str">
        <x:f>'Vendor Options'!C246</x:f>
        <x:v>PHG</x:v>
      </x:c>
      <x:c r="U246" t="str">
        <x:f>'Vendor Options'!D246</x:f>
        <x:v>HELM ESC TRIM-900ICS</x:v>
      </x:c>
      <x:c r="V246" t="str">
        <x:f>'Vendor Options'!E246</x:f>
        <x:v>HELM 9 SERIES TRIM (9800)</x:v>
      </x:c>
      <x:c r="W246" t="str">
        <x:f>'Vendor Options'!F246</x:f>
      </x:c>
      <x:c r="X246" t="str">
        <x:f>'Vendor Options'!G246</x:f>
        <x:v>HELM900CT32DICS</x:v>
      </x:c>
      <x:c r="Y246" t="str">
        <x:f>'Vendor Options'!H246</x:f>
        <x:v>HELM900CT32DICS</x:v>
      </x:c>
      <x:c r="Z246" t="str">
        <x:f>'Vendor Options'!I246</x:f>
      </x:c>
      <x:c r="AA246" s="54" t="n">
        <x:f>'Vendor Options'!J246</x:f>
        <x:v>274.07</x:v>
      </x:c>
      <x:c r="AB246" t="n">
        <x:f>'Vendor Options'!K246</x:f>
        <x:v>0</x:v>
      </x:c>
      <x:c r="AC246" s="57" t="n">
        <x:f>'Vendor Options'!L246</x:f>
        <x:v>0</x:v>
      </x:c>
      <x:c r="AD246" s="57" t="n">
        <x:f>'Vendor Options'!M246</x:f>
        <x:v>0</x:v>
      </x:c>
      <x:c r="AE246" s="54" t="n">
        <x:f>'Vendor Options'!N246</x:f>
        <x:v>274.07</x:v>
      </x:c>
      <x:c r="AF246" t="str">
        <x:f>'Vendor Options'!O246</x:f>
        <x:v>USD</x:v>
      </x:c>
      <x:c r="AG246" t="str">
        <x:f>'Vendor Options'!P246</x:f>
        <x:v>PRICED</x:v>
      </x:c>
      <x:c r="AH246" t="str">
        <x:f>'Vendor Options'!Q246</x:f>
        <x:v>ACTIVE</x:v>
      </x:c>
      <x:c r="AI246" t="str">
        <x:f>'Vendor Options'!R246</x:f>
      </x:c>
      <x:c r="AJ246" t="n">
        <x:f>'Vendor Options'!S246</x:f>
        <x:v>214</x:v>
      </x:c>
    </x:row>
    <x:row r="247" ht="15" hidden="0" customHeight="1">
      <x:c r="A247" t="str">
        <x:f>'Vendor Options'!B247</x:f>
        <x:v>SPEC-A6EFC30CD655</x:v>
      </x:c>
      <x:c r="B247" t="str">
        <x:f>XLOOKUP($A247,'Specs'!$A$2:$A$164,'Specs'!$B$2:$B$164,"")</x:f>
        <x:v>PANIC TRIM</x:v>
      </x:c>
      <x:c r="C247" t="str">
        <x:f>XLOOKUP($A247,'Specs'!$A$2:$A$164,'Specs'!$C$2:$C$164,"")</x:f>
        <x:v>ESCUTCHEON TRIM</x:v>
      </x:c>
      <x:c r="D247" t="str">
        <x:f>XLOOKUP($A247,'Specs'!$A$2:$A$164,'Specs'!$D$2:$D$164,"")</x:f>
        <x:v>MORTISE</x:v>
      </x:c>
      <x:c r="E247" t="str">
        <x:f>XLOOKUP($A247,'Specs'!$A$2:$A$164,'Specs'!$E$2:$E$164,"")</x:f>
        <x:v>ENTRY</x:v>
      </x:c>
      <x:c r="F247" t="str">
        <x:f>XLOOKUP($A247,'Specs'!$A$2:$A$164,'Specs'!$F$2:$F$164,"")</x:f>
        <x:v>SFIC</x:v>
      </x:c>
      <x:c r="G247" t="str">
        <x:f>XLOOKUP($A247,'Specs'!$A$2:$A$164,'Specs'!$G$2:$G$164,"")</x:f>
      </x:c>
      <x:c r="H247" t="str">
        <x:f>XLOOKUP($A247,'Specs'!$A$2:$A$164,'Specs'!$H$2:$H$164,"")</x:f>
      </x:c>
      <x:c r="I247" t="str">
        <x:f>XLOOKUP($A247,'Specs'!$A$2:$A$164,'Specs'!$I$2:$I$164,"")</x:f>
      </x:c>
      <x:c r="J247" t="str">
        <x:f>XLOOKUP($A247,'Specs'!$A$2:$A$164,'Specs'!$J$2:$J$164,"")</x:f>
      </x:c>
      <x:c r="K247" t="str">
        <x:f>XLOOKUP($A247,'Specs'!$A$2:$A$164,'Specs'!$K$2:$K$164,"")</x:f>
      </x:c>
      <x:c r="L247" t="str">
        <x:f>XLOOKUP($A247,'Specs'!$A$2:$A$164,'Specs'!$L$2:$L$164,"")</x:f>
      </x:c>
      <x:c r="M247" t="str">
        <x:f>XLOOKUP($A247,'Specs'!$A$2:$A$164,'Specs'!$M$2:$M$164,"")</x:f>
      </x:c>
      <x:c r="N247" t="str">
        <x:f>XLOOKUP($A247,'Specs'!$A$2:$A$164,'Specs'!$N$2:$N$164,"")</x:f>
      </x:c>
      <x:c r="O247" t="str">
        <x:f>XLOOKUP($A247,'Specs'!$A$2:$A$164,'Specs'!$O$2:$O$164,"")</x:f>
      </x:c>
      <x:c r="P247" t="str">
        <x:f>XLOOKUP($A247,'Specs'!$A$2:$A$164,'Specs'!$P$2:$P$164,"")</x:f>
        <x:v>MEDIUM</x:v>
      </x:c>
      <x:c r="Q247" s="53" t="n">
        <x:f>XLOOKUP($A247,'Specs'!$A$2:$A$164,'Specs'!$Q$2:$Q$164,"")</x:f>
        <x:v>1</x:v>
      </x:c>
      <x:c r="R247" s="53" t="n">
        <x:f>XLOOKUP($A247,'Specs'!$A$2:$A$164,'Specs'!$R$2:$R$164,"")</x:f>
        <x:v>1</x:v>
      </x:c>
      <x:c r="S247" t="str">
        <x:f>'Vendor Options'!A247</x:f>
        <x:v>OFFER-BAE79280D435</x:v>
      </x:c>
      <x:c r="T247" t="str">
        <x:f>'Vendor Options'!C247</x:f>
        <x:v>PHG</x:v>
      </x:c>
      <x:c r="U247" t="str">
        <x:f>'Vendor Options'!D247</x:f>
        <x:v>HELM ESC TRIM-900ICB</x:v>
      </x:c>
      <x:c r="V247" t="str">
        <x:f>'Vendor Options'!E247</x:f>
        <x:v>HELM 9 SERIES TRIM (9800)</x:v>
      </x:c>
      <x:c r="W247" t="str">
        <x:f>'Vendor Options'!F247</x:f>
      </x:c>
      <x:c r="X247" t="str">
        <x:f>'Vendor Options'!G247</x:f>
        <x:v>HELM900CT32DICB</x:v>
      </x:c>
      <x:c r="Y247" t="str">
        <x:f>'Vendor Options'!H247</x:f>
        <x:v>HELM900CT32DICB</x:v>
      </x:c>
      <x:c r="Z247" t="str">
        <x:f>'Vendor Options'!I247</x:f>
      </x:c>
      <x:c r="AA247" s="54" t="n">
        <x:f>'Vendor Options'!J247</x:f>
        <x:v>274.7</x:v>
      </x:c>
      <x:c r="AB247" t="n">
        <x:f>'Vendor Options'!K247</x:f>
        <x:v>0</x:v>
      </x:c>
      <x:c r="AC247" s="57" t="n">
        <x:f>'Vendor Options'!L247</x:f>
        <x:v>0</x:v>
      </x:c>
      <x:c r="AD247" s="57" t="n">
        <x:f>'Vendor Options'!M247</x:f>
        <x:v>0</x:v>
      </x:c>
      <x:c r="AE247" s="54" t="n">
        <x:f>'Vendor Options'!N247</x:f>
        <x:v>274.7</x:v>
      </x:c>
      <x:c r="AF247" t="str">
        <x:f>'Vendor Options'!O247</x:f>
        <x:v>USD</x:v>
      </x:c>
      <x:c r="AG247" t="str">
        <x:f>'Vendor Options'!P247</x:f>
        <x:v>PRICED</x:v>
      </x:c>
      <x:c r="AH247" t="str">
        <x:f>'Vendor Options'!Q247</x:f>
        <x:v>ACTIVE</x:v>
      </x:c>
      <x:c r="AI247" t="str">
        <x:f>'Vendor Options'!R247</x:f>
      </x:c>
      <x:c r="AJ247" t="n">
        <x:f>'Vendor Options'!S247</x:f>
        <x:v>213</x:v>
      </x:c>
    </x:row>
    <x:row r="248" ht="15" hidden="0" customHeight="1">
      <x:c r="A248" t="str">
        <x:f>'Vendor Options'!B248</x:f>
        <x:v>SPEC-99F287537EEF</x:v>
      </x:c>
      <x:c r="B248" t="str">
        <x:f>XLOOKUP($A248,'Specs'!$A$2:$A$164,'Specs'!$B$2:$B$164,"")</x:f>
        <x:v>PANIC TRIM</x:v>
      </x:c>
      <x:c r="C248" t="str">
        <x:f>XLOOKUP($A248,'Specs'!$A$2:$A$164,'Specs'!$C$2:$C$164,"")</x:f>
        <x:v>ESCUTCHEON TRIM</x:v>
      </x:c>
      <x:c r="D248" t="str">
        <x:f>XLOOKUP($A248,'Specs'!$A$2:$A$164,'Specs'!$D$2:$D$164,"")</x:f>
        <x:v>MORTISE</x:v>
      </x:c>
      <x:c r="E248" t="str">
        <x:f>XLOOKUP($A248,'Specs'!$A$2:$A$164,'Specs'!$E$2:$E$164,"")</x:f>
        <x:v>ENTRY</x:v>
      </x:c>
      <x:c r="F248" t="str">
        <x:f>XLOOKUP($A248,'Specs'!$A$2:$A$164,'Specs'!$F$2:$F$164,"")</x:f>
        <x:v>STANDARD</x:v>
      </x:c>
      <x:c r="G248" t="str">
        <x:f>XLOOKUP($A248,'Specs'!$A$2:$A$164,'Specs'!$G$2:$G$164,"")</x:f>
      </x:c>
      <x:c r="H248" t="str">
        <x:f>XLOOKUP($A248,'Specs'!$A$2:$A$164,'Specs'!$H$2:$H$164,"")</x:f>
      </x:c>
      <x:c r="I248" t="str">
        <x:f>XLOOKUP($A248,'Specs'!$A$2:$A$164,'Specs'!$I$2:$I$164,"")</x:f>
      </x:c>
      <x:c r="J248" t="str">
        <x:f>XLOOKUP($A248,'Specs'!$A$2:$A$164,'Specs'!$J$2:$J$164,"")</x:f>
      </x:c>
      <x:c r="K248" t="str">
        <x:f>XLOOKUP($A248,'Specs'!$A$2:$A$164,'Specs'!$K$2:$K$164,"")</x:f>
      </x:c>
      <x:c r="L248" t="str">
        <x:f>XLOOKUP($A248,'Specs'!$A$2:$A$164,'Specs'!$L$2:$L$164,"")</x:f>
      </x:c>
      <x:c r="M248" t="str">
        <x:f>XLOOKUP($A248,'Specs'!$A$2:$A$164,'Specs'!$M$2:$M$164,"")</x:f>
      </x:c>
      <x:c r="N248" t="str">
        <x:f>XLOOKUP($A248,'Specs'!$A$2:$A$164,'Specs'!$N$2:$N$164,"")</x:f>
      </x:c>
      <x:c r="O248" t="str">
        <x:f>XLOOKUP($A248,'Specs'!$A$2:$A$164,'Specs'!$O$2:$O$164,"")</x:f>
      </x:c>
      <x:c r="P248" t="str">
        <x:f>XLOOKUP($A248,'Specs'!$A$2:$A$164,'Specs'!$P$2:$P$164,"")</x:f>
        <x:v>MEDIUM</x:v>
      </x:c>
      <x:c r="Q248" s="53" t="n">
        <x:f>XLOOKUP($A248,'Specs'!$A$2:$A$164,'Specs'!$Q$2:$Q$164,"")</x:f>
        <x:v>1</x:v>
      </x:c>
      <x:c r="R248" s="53" t="n">
        <x:f>XLOOKUP($A248,'Specs'!$A$2:$A$164,'Specs'!$R$2:$R$164,"")</x:f>
        <x:v>1</x:v>
      </x:c>
      <x:c r="S248" t="str">
        <x:f>'Vendor Options'!A248</x:f>
        <x:v>OFFER-75A5F9B6DF14</x:v>
      </x:c>
      <x:c r="T248" t="str">
        <x:f>'Vendor Options'!C248</x:f>
        <x:v>PHG</x:v>
      </x:c>
      <x:c r="U248" t="str">
        <x:f>'Vendor Options'!D248</x:f>
        <x:v>HELM ESC TRIM-900</x:v>
      </x:c>
      <x:c r="V248" t="str">
        <x:f>'Vendor Options'!E248</x:f>
        <x:v>HELM 9 SERIES TRIM (9800)</x:v>
      </x:c>
      <x:c r="W248" t="str">
        <x:f>'Vendor Options'!F248</x:f>
      </x:c>
      <x:c r="X248" t="str">
        <x:f>'Vendor Options'!G248</x:f>
        <x:v>HELM900CT32D</x:v>
      </x:c>
      <x:c r="Y248" t="str">
        <x:f>'Vendor Options'!H248</x:f>
        <x:v>HELM900CT32D</x:v>
      </x:c>
      <x:c r="Z248" t="str">
        <x:f>'Vendor Options'!I248</x:f>
      </x:c>
      <x:c r="AA248" s="54" t="n">
        <x:f>'Vendor Options'!J248</x:f>
        <x:v>236.97</x:v>
      </x:c>
      <x:c r="AB248" t="n">
        <x:f>'Vendor Options'!K248</x:f>
        <x:v>0</x:v>
      </x:c>
      <x:c r="AC248" s="57" t="n">
        <x:f>'Vendor Options'!L248</x:f>
        <x:v>0</x:v>
      </x:c>
      <x:c r="AD248" s="57" t="n">
        <x:f>'Vendor Options'!M248</x:f>
        <x:v>0</x:v>
      </x:c>
      <x:c r="AE248" s="54" t="n">
        <x:f>'Vendor Options'!N248</x:f>
        <x:v>236.97</x:v>
      </x:c>
      <x:c r="AF248" t="str">
        <x:f>'Vendor Options'!O248</x:f>
        <x:v>USD</x:v>
      </x:c>
      <x:c r="AG248" t="str">
        <x:f>'Vendor Options'!P248</x:f>
        <x:v>PRICED</x:v>
      </x:c>
      <x:c r="AH248" t="str">
        <x:f>'Vendor Options'!Q248</x:f>
        <x:v>ACTIVE</x:v>
      </x:c>
      <x:c r="AI248" t="str">
        <x:f>'Vendor Options'!R248</x:f>
      </x:c>
      <x:c r="AJ248" t="n">
        <x:f>'Vendor Options'!S248</x:f>
        <x:v>212</x:v>
      </x:c>
    </x:row>
    <x:row r="249" ht="15" hidden="0" customHeight="1">
      <x:c r="A249" t="str">
        <x:f>'Vendor Options'!B249</x:f>
        <x:v>SPEC-AC12875358E2</x:v>
      </x:c>
      <x:c r="B249" t="str">
        <x:f>XLOOKUP($A249,'Specs'!$A$2:$A$164,'Specs'!$B$2:$B$164,"")</x:f>
        <x:v>PANIC TRIM</x:v>
      </x:c>
      <x:c r="C249" t="str">
        <x:f>XLOOKUP($A249,'Specs'!$A$2:$A$164,'Specs'!$C$2:$C$164,"")</x:f>
        <x:v>ESCUTCHEON TRIM</x:v>
      </x:c>
      <x:c r="D249" t="str">
        <x:f>XLOOKUP($A249,'Specs'!$A$2:$A$164,'Specs'!$D$2:$D$164,"")</x:f>
        <x:v>MORTISE</x:v>
      </x:c>
      <x:c r="E249" t="str">
        <x:f>XLOOKUP($A249,'Specs'!$A$2:$A$164,'Specs'!$E$2:$E$164,"")</x:f>
        <x:v>STOREROOM</x:v>
      </x:c>
      <x:c r="F249" t="str">
        <x:f>XLOOKUP($A249,'Specs'!$A$2:$A$164,'Specs'!$F$2:$F$164,"")</x:f>
        <x:v>LFIC</x:v>
      </x:c>
      <x:c r="G249" t="str">
        <x:f>XLOOKUP($A249,'Specs'!$A$2:$A$164,'Specs'!$G$2:$G$164,"")</x:f>
      </x:c>
      <x:c r="H249" t="str">
        <x:f>XLOOKUP($A249,'Specs'!$A$2:$A$164,'Specs'!$H$2:$H$164,"")</x:f>
      </x:c>
      <x:c r="I249" t="str">
        <x:f>XLOOKUP($A249,'Specs'!$A$2:$A$164,'Specs'!$I$2:$I$164,"")</x:f>
      </x:c>
      <x:c r="J249" t="str">
        <x:f>XLOOKUP($A249,'Specs'!$A$2:$A$164,'Specs'!$J$2:$J$164,"")</x:f>
      </x:c>
      <x:c r="K249" t="str">
        <x:f>XLOOKUP($A249,'Specs'!$A$2:$A$164,'Specs'!$K$2:$K$164,"")</x:f>
      </x:c>
      <x:c r="L249" t="str">
        <x:f>XLOOKUP($A249,'Specs'!$A$2:$A$164,'Specs'!$L$2:$L$164,"")</x:f>
      </x:c>
      <x:c r="M249" t="str">
        <x:f>XLOOKUP($A249,'Specs'!$A$2:$A$164,'Specs'!$M$2:$M$164,"")</x:f>
      </x:c>
      <x:c r="N249" t="str">
        <x:f>XLOOKUP($A249,'Specs'!$A$2:$A$164,'Specs'!$N$2:$N$164,"")</x:f>
      </x:c>
      <x:c r="O249" t="str">
        <x:f>XLOOKUP($A249,'Specs'!$A$2:$A$164,'Specs'!$O$2:$O$164,"")</x:f>
      </x:c>
      <x:c r="P249" t="str">
        <x:f>XLOOKUP($A249,'Specs'!$A$2:$A$164,'Specs'!$P$2:$P$164,"")</x:f>
        <x:v>MEDIUM</x:v>
      </x:c>
      <x:c r="Q249" s="53" t="n">
        <x:f>XLOOKUP($A249,'Specs'!$A$2:$A$164,'Specs'!$Q$2:$Q$164,"")</x:f>
        <x:v>1</x:v>
      </x:c>
      <x:c r="R249" s="53" t="n">
        <x:f>XLOOKUP($A249,'Specs'!$A$2:$A$164,'Specs'!$R$2:$R$164,"")</x:f>
        <x:v>1</x:v>
      </x:c>
      <x:c r="S249" t="str">
        <x:f>'Vendor Options'!A249</x:f>
        <x:v>OFFER-4093B9D7572F</x:v>
      </x:c>
      <x:c r="T249" t="str">
        <x:f>'Vendor Options'!C249</x:f>
        <x:v>PHG</x:v>
      </x:c>
      <x:c r="U249" t="str">
        <x:f>'Vendor Options'!D249</x:f>
        <x:v>HELM ESC TRIM-904ICS</x:v>
      </x:c>
      <x:c r="V249" t="str">
        <x:f>'Vendor Options'!E249</x:f>
        <x:v>HELM 9 SERIES TRIM (9800)</x:v>
      </x:c>
      <x:c r="W249" t="str">
        <x:f>'Vendor Options'!F249</x:f>
      </x:c>
      <x:c r="X249" t="str">
        <x:f>'Vendor Options'!G249</x:f>
        <x:v>HELM904CT32DICS</x:v>
      </x:c>
      <x:c r="Y249" t="str">
        <x:f>'Vendor Options'!H249</x:f>
        <x:v>HELM904CT32DICS</x:v>
      </x:c>
      <x:c r="Z249" t="str">
        <x:f>'Vendor Options'!I249</x:f>
      </x:c>
      <x:c r="AA249" s="54" t="n">
        <x:f>'Vendor Options'!J249</x:f>
        <x:v>274.7</x:v>
      </x:c>
      <x:c r="AB249" t="n">
        <x:f>'Vendor Options'!K249</x:f>
        <x:v>0</x:v>
      </x:c>
      <x:c r="AC249" s="57" t="n">
        <x:f>'Vendor Options'!L249</x:f>
        <x:v>0</x:v>
      </x:c>
      <x:c r="AD249" s="57" t="n">
        <x:f>'Vendor Options'!M249</x:f>
        <x:v>0</x:v>
      </x:c>
      <x:c r="AE249" s="54" t="n">
        <x:f>'Vendor Options'!N249</x:f>
        <x:v>274.7</x:v>
      </x:c>
      <x:c r="AF249" t="str">
        <x:f>'Vendor Options'!O249</x:f>
        <x:v>USD</x:v>
      </x:c>
      <x:c r="AG249" t="str">
        <x:f>'Vendor Options'!P249</x:f>
        <x:v>PRICED</x:v>
      </x:c>
      <x:c r="AH249" t="str">
        <x:f>'Vendor Options'!Q249</x:f>
        <x:v>ACTIVE</x:v>
      </x:c>
      <x:c r="AI249" t="str">
        <x:f>'Vendor Options'!R249</x:f>
      </x:c>
      <x:c r="AJ249" t="n">
        <x:f>'Vendor Options'!S249</x:f>
        <x:v>217</x:v>
      </x:c>
    </x:row>
    <x:row r="250" ht="15" hidden="0" customHeight="1">
      <x:c r="A250" t="str">
        <x:f>'Vendor Options'!B250</x:f>
        <x:v>SPEC-259D7AD04F0B</x:v>
      </x:c>
      <x:c r="B250" t="str">
        <x:f>XLOOKUP($A250,'Specs'!$A$2:$A$164,'Specs'!$B$2:$B$164,"")</x:f>
        <x:v>PANIC TRIM</x:v>
      </x:c>
      <x:c r="C250" t="str">
        <x:f>XLOOKUP($A250,'Specs'!$A$2:$A$164,'Specs'!$C$2:$C$164,"")</x:f>
        <x:v>ESCUTCHEON TRIM</x:v>
      </x:c>
      <x:c r="D250" t="str">
        <x:f>XLOOKUP($A250,'Specs'!$A$2:$A$164,'Specs'!$D$2:$D$164,"")</x:f>
        <x:v>MORTISE</x:v>
      </x:c>
      <x:c r="E250" t="str">
        <x:f>XLOOKUP($A250,'Specs'!$A$2:$A$164,'Specs'!$E$2:$E$164,"")</x:f>
        <x:v>STOREROOM</x:v>
      </x:c>
      <x:c r="F250" t="str">
        <x:f>XLOOKUP($A250,'Specs'!$A$2:$A$164,'Specs'!$F$2:$F$164,"")</x:f>
        <x:v>SFIC</x:v>
      </x:c>
      <x:c r="G250" t="str">
        <x:f>XLOOKUP($A250,'Specs'!$A$2:$A$164,'Specs'!$G$2:$G$164,"")</x:f>
      </x:c>
      <x:c r="H250" t="str">
        <x:f>XLOOKUP($A250,'Specs'!$A$2:$A$164,'Specs'!$H$2:$H$164,"")</x:f>
      </x:c>
      <x:c r="I250" t="str">
        <x:f>XLOOKUP($A250,'Specs'!$A$2:$A$164,'Specs'!$I$2:$I$164,"")</x:f>
      </x:c>
      <x:c r="J250" t="str">
        <x:f>XLOOKUP($A250,'Specs'!$A$2:$A$164,'Specs'!$J$2:$J$164,"")</x:f>
      </x:c>
      <x:c r="K250" t="str">
        <x:f>XLOOKUP($A250,'Specs'!$A$2:$A$164,'Specs'!$K$2:$K$164,"")</x:f>
      </x:c>
      <x:c r="L250" t="str">
        <x:f>XLOOKUP($A250,'Specs'!$A$2:$A$164,'Specs'!$L$2:$L$164,"")</x:f>
      </x:c>
      <x:c r="M250" t="str">
        <x:f>XLOOKUP($A250,'Specs'!$A$2:$A$164,'Specs'!$M$2:$M$164,"")</x:f>
      </x:c>
      <x:c r="N250" t="str">
        <x:f>XLOOKUP($A250,'Specs'!$A$2:$A$164,'Specs'!$N$2:$N$164,"")</x:f>
      </x:c>
      <x:c r="O250" t="str">
        <x:f>XLOOKUP($A250,'Specs'!$A$2:$A$164,'Specs'!$O$2:$O$164,"")</x:f>
      </x:c>
      <x:c r="P250" t="str">
        <x:f>XLOOKUP($A250,'Specs'!$A$2:$A$164,'Specs'!$P$2:$P$164,"")</x:f>
        <x:v>MEDIUM</x:v>
      </x:c>
      <x:c r="Q250" s="53" t="n">
        <x:f>XLOOKUP($A250,'Specs'!$A$2:$A$164,'Specs'!$Q$2:$Q$164,"")</x:f>
        <x:v>1</x:v>
      </x:c>
      <x:c r="R250" s="53" t="n">
        <x:f>XLOOKUP($A250,'Specs'!$A$2:$A$164,'Specs'!$R$2:$R$164,"")</x:f>
        <x:v>1</x:v>
      </x:c>
      <x:c r="S250" t="str">
        <x:f>'Vendor Options'!A250</x:f>
        <x:v>OFFER-FDD6E1288DCF</x:v>
      </x:c>
      <x:c r="T250" t="str">
        <x:f>'Vendor Options'!C250</x:f>
        <x:v>PHG</x:v>
      </x:c>
      <x:c r="U250" t="str">
        <x:f>'Vendor Options'!D250</x:f>
        <x:v>HELM ESC TRIM-904ICB</x:v>
      </x:c>
      <x:c r="V250" t="str">
        <x:f>'Vendor Options'!E250</x:f>
        <x:v>HELM 9 SERIES TRIM (9800)</x:v>
      </x:c>
      <x:c r="W250" t="str">
        <x:f>'Vendor Options'!F250</x:f>
      </x:c>
      <x:c r="X250" t="str">
        <x:f>'Vendor Options'!G250</x:f>
        <x:v>HELM904CT32DICB</x:v>
      </x:c>
      <x:c r="Y250" t="str">
        <x:f>'Vendor Options'!H250</x:f>
        <x:v>HELM904CT32DICB</x:v>
      </x:c>
      <x:c r="Z250" t="str">
        <x:f>'Vendor Options'!I250</x:f>
      </x:c>
      <x:c r="AA250" s="54" t="n">
        <x:f>'Vendor Options'!J250</x:f>
        <x:v>274.7</x:v>
      </x:c>
      <x:c r="AB250" t="n">
        <x:f>'Vendor Options'!K250</x:f>
        <x:v>0</x:v>
      </x:c>
      <x:c r="AC250" s="57" t="n">
        <x:f>'Vendor Options'!L250</x:f>
        <x:v>0</x:v>
      </x:c>
      <x:c r="AD250" s="57" t="n">
        <x:f>'Vendor Options'!M250</x:f>
        <x:v>0</x:v>
      </x:c>
      <x:c r="AE250" s="54" t="n">
        <x:f>'Vendor Options'!N250</x:f>
        <x:v>274.7</x:v>
      </x:c>
      <x:c r="AF250" t="str">
        <x:f>'Vendor Options'!O250</x:f>
        <x:v>USD</x:v>
      </x:c>
      <x:c r="AG250" t="str">
        <x:f>'Vendor Options'!P250</x:f>
        <x:v>PRICED</x:v>
      </x:c>
      <x:c r="AH250" t="str">
        <x:f>'Vendor Options'!Q250</x:f>
        <x:v>ACTIVE</x:v>
      </x:c>
      <x:c r="AI250" t="str">
        <x:f>'Vendor Options'!R250</x:f>
      </x:c>
      <x:c r="AJ250" t="n">
        <x:f>'Vendor Options'!S250</x:f>
        <x:v>216</x:v>
      </x:c>
    </x:row>
    <x:row r="251" ht="15" hidden="0" customHeight="1">
      <x:c r="A251" t="str">
        <x:f>'Vendor Options'!B251</x:f>
        <x:v>SPEC-E47F09380872</x:v>
      </x:c>
      <x:c r="B251" t="str">
        <x:f>XLOOKUP($A251,'Specs'!$A$2:$A$164,'Specs'!$B$2:$B$164,"")</x:f>
        <x:v>PANIC TRIM</x:v>
      </x:c>
      <x:c r="C251" t="str">
        <x:f>XLOOKUP($A251,'Specs'!$A$2:$A$164,'Specs'!$C$2:$C$164,"")</x:f>
        <x:v>ESCUTCHEON TRIM</x:v>
      </x:c>
      <x:c r="D251" t="str">
        <x:f>XLOOKUP($A251,'Specs'!$A$2:$A$164,'Specs'!$D$2:$D$164,"")</x:f>
        <x:v>MORTISE</x:v>
      </x:c>
      <x:c r="E251" t="str">
        <x:f>XLOOKUP($A251,'Specs'!$A$2:$A$164,'Specs'!$E$2:$E$164,"")</x:f>
        <x:v>STOREROOM</x:v>
      </x:c>
      <x:c r="F251" t="str">
        <x:f>XLOOKUP($A251,'Specs'!$A$2:$A$164,'Specs'!$F$2:$F$164,"")</x:f>
        <x:v>STANDARD</x:v>
      </x:c>
      <x:c r="G251" t="str">
        <x:f>XLOOKUP($A251,'Specs'!$A$2:$A$164,'Specs'!$G$2:$G$164,"")</x:f>
      </x:c>
      <x:c r="H251" t="str">
        <x:f>XLOOKUP($A251,'Specs'!$A$2:$A$164,'Specs'!$H$2:$H$164,"")</x:f>
      </x:c>
      <x:c r="I251" t="str">
        <x:f>XLOOKUP($A251,'Specs'!$A$2:$A$164,'Specs'!$I$2:$I$164,"")</x:f>
      </x:c>
      <x:c r="J251" t="str">
        <x:f>XLOOKUP($A251,'Specs'!$A$2:$A$164,'Specs'!$J$2:$J$164,"")</x:f>
      </x:c>
      <x:c r="K251" t="str">
        <x:f>XLOOKUP($A251,'Specs'!$A$2:$A$164,'Specs'!$K$2:$K$164,"")</x:f>
      </x:c>
      <x:c r="L251" t="str">
        <x:f>XLOOKUP($A251,'Specs'!$A$2:$A$164,'Specs'!$L$2:$L$164,"")</x:f>
      </x:c>
      <x:c r="M251" t="str">
        <x:f>XLOOKUP($A251,'Specs'!$A$2:$A$164,'Specs'!$M$2:$M$164,"")</x:f>
      </x:c>
      <x:c r="N251" t="str">
        <x:f>XLOOKUP($A251,'Specs'!$A$2:$A$164,'Specs'!$N$2:$N$164,"")</x:f>
      </x:c>
      <x:c r="O251" t="str">
        <x:f>XLOOKUP($A251,'Specs'!$A$2:$A$164,'Specs'!$O$2:$O$164,"")</x:f>
      </x:c>
      <x:c r="P251" t="str">
        <x:f>XLOOKUP($A251,'Specs'!$A$2:$A$164,'Specs'!$P$2:$P$164,"")</x:f>
        <x:v>MEDIUM</x:v>
      </x:c>
      <x:c r="Q251" s="53" t="n">
        <x:f>XLOOKUP($A251,'Specs'!$A$2:$A$164,'Specs'!$Q$2:$Q$164,"")</x:f>
        <x:v>1</x:v>
      </x:c>
      <x:c r="R251" s="53" t="n">
        <x:f>XLOOKUP($A251,'Specs'!$A$2:$A$164,'Specs'!$R$2:$R$164,"")</x:f>
        <x:v>1</x:v>
      </x:c>
      <x:c r="S251" t="str">
        <x:f>'Vendor Options'!A251</x:f>
        <x:v>OFFER-CD8DCB5D4EBB</x:v>
      </x:c>
      <x:c r="T251" t="str">
        <x:f>'Vendor Options'!C251</x:f>
        <x:v>PHG</x:v>
      </x:c>
      <x:c r="U251" t="str">
        <x:f>'Vendor Options'!D251</x:f>
        <x:v>HELM ESC TRIM-904</x:v>
      </x:c>
      <x:c r="V251" t="str">
        <x:f>'Vendor Options'!E251</x:f>
        <x:v>HELM 9 SERIES TRIM (9800)</x:v>
      </x:c>
      <x:c r="W251" t="str">
        <x:f>'Vendor Options'!F251</x:f>
      </x:c>
      <x:c r="X251" t="str">
        <x:f>'Vendor Options'!G251</x:f>
        <x:v>HELM904CT32D</x:v>
      </x:c>
      <x:c r="Y251" t="str">
        <x:f>'Vendor Options'!H251</x:f>
        <x:v>HELM904CT32D</x:v>
      </x:c>
      <x:c r="Z251" t="str">
        <x:f>'Vendor Options'!I251</x:f>
      </x:c>
      <x:c r="AA251" s="54" t="n">
        <x:f>'Vendor Options'!J251</x:f>
        <x:v>236.97</x:v>
      </x:c>
      <x:c r="AB251" t="n">
        <x:f>'Vendor Options'!K251</x:f>
        <x:v>0</x:v>
      </x:c>
      <x:c r="AC251" s="57" t="n">
        <x:f>'Vendor Options'!L251</x:f>
        <x:v>0</x:v>
      </x:c>
      <x:c r="AD251" s="57" t="n">
        <x:f>'Vendor Options'!M251</x:f>
        <x:v>0</x:v>
      </x:c>
      <x:c r="AE251" s="54" t="n">
        <x:f>'Vendor Options'!N251</x:f>
        <x:v>236.97</x:v>
      </x:c>
      <x:c r="AF251" t="str">
        <x:f>'Vendor Options'!O251</x:f>
        <x:v>USD</x:v>
      </x:c>
      <x:c r="AG251" t="str">
        <x:f>'Vendor Options'!P251</x:f>
        <x:v>PRICED</x:v>
      </x:c>
      <x:c r="AH251" t="str">
        <x:f>'Vendor Options'!Q251</x:f>
        <x:v>ACTIVE</x:v>
      </x:c>
      <x:c r="AI251" t="str">
        <x:f>'Vendor Options'!R251</x:f>
      </x:c>
      <x:c r="AJ251" t="n">
        <x:f>'Vendor Options'!S251</x:f>
        <x:v>215</x:v>
      </x:c>
    </x:row>
    <x:row r="252" ht="15" hidden="0" customHeight="1">
      <x:c r="A252" t="str">
        <x:f>'Vendor Options'!B252</x:f>
        <x:v>SPEC-1EEF3EEC4A24</x:v>
      </x:c>
      <x:c r="B252" t="str">
        <x:f>XLOOKUP($A252,'Specs'!$A$2:$A$164,'Specs'!$B$2:$B$164,"")</x:f>
        <x:v>PANIC TRIM</x:v>
      </x:c>
      <x:c r="C252" t="str">
        <x:f>XLOOKUP($A252,'Specs'!$A$2:$A$164,'Specs'!$C$2:$C$164,"")</x:f>
        <x:v>ESCUTCHEON TRIM</x:v>
      </x:c>
      <x:c r="D252" t="str">
        <x:f>XLOOKUP($A252,'Specs'!$A$2:$A$164,'Specs'!$D$2:$D$164,"")</x:f>
        <x:v>RIM</x:v>
      </x:c>
      <x:c r="E252" t="str">
        <x:f>XLOOKUP($A252,'Specs'!$A$2:$A$164,'Specs'!$E$2:$E$164,"")</x:f>
      </x:c>
      <x:c r="F252" t="str">
        <x:f>XLOOKUP($A252,'Specs'!$A$2:$A$164,'Specs'!$F$2:$F$164,"")</x:f>
        <x:v>SFIC</x:v>
      </x:c>
      <x:c r="G252" t="str">
        <x:f>XLOOKUP($A252,'Specs'!$A$2:$A$164,'Specs'!$G$2:$G$164,"")</x:f>
      </x:c>
      <x:c r="H252" t="str">
        <x:f>XLOOKUP($A252,'Specs'!$A$2:$A$164,'Specs'!$H$2:$H$164,"")</x:f>
      </x:c>
      <x:c r="I252" t="str">
        <x:f>XLOOKUP($A252,'Specs'!$A$2:$A$164,'Specs'!$I$2:$I$164,"")</x:f>
      </x:c>
      <x:c r="J252" t="str">
        <x:f>XLOOKUP($A252,'Specs'!$A$2:$A$164,'Specs'!$J$2:$J$164,"")</x:f>
      </x:c>
      <x:c r="K252" t="str">
        <x:f>XLOOKUP($A252,'Specs'!$A$2:$A$164,'Specs'!$K$2:$K$164,"")</x:f>
      </x:c>
      <x:c r="L252" t="str">
        <x:f>XLOOKUP($A252,'Specs'!$A$2:$A$164,'Specs'!$L$2:$L$164,"")</x:f>
      </x:c>
      <x:c r="M252" t="n">
        <x:f>XLOOKUP($A252,'Specs'!$A$2:$A$164,'Specs'!$M$2:$M$164,"")</x:f>
        <x:v>304</x:v>
      </x:c>
      <x:c r="N252" t="str">
        <x:f>XLOOKUP($A252,'Specs'!$A$2:$A$164,'Specs'!$N$2:$N$164,"")</x:f>
      </x:c>
      <x:c r="O252" t="str">
        <x:f>XLOOKUP($A252,'Specs'!$A$2:$A$164,'Specs'!$O$2:$O$164,"")</x:f>
      </x:c>
      <x:c r="P252" t="str">
        <x:f>XLOOKUP($A252,'Specs'!$A$2:$A$164,'Specs'!$P$2:$P$164,"")</x:f>
        <x:v>MEDIUM</x:v>
      </x:c>
      <x:c r="Q252" s="53" t="n">
        <x:f>XLOOKUP($A252,'Specs'!$A$2:$A$164,'Specs'!$Q$2:$Q$164,"")</x:f>
        <x:v>1</x:v>
      </x:c>
      <x:c r="R252" s="53" t="n">
        <x:f>XLOOKUP($A252,'Specs'!$A$2:$A$164,'Specs'!$R$2:$R$164,"")</x:f>
        <x:v>1</x:v>
      </x:c>
      <x:c r="S252" t="str">
        <x:f>'Vendor Options'!A252</x:f>
        <x:v>OFFER-4D36966A02F2</x:v>
      </x:c>
      <x:c r="T252" t="str">
        <x:f>'Vendor Options'!C252</x:f>
        <x:v>DH</x:v>
      </x:c>
      <x:c r="U252" t="str">
        <x:f>'Vendor Options'!D252</x:f>
        <x:v>ESC LVR TRIM SFIC 1.375 CYL</x:v>
      </x:c>
      <x:c r="V252" t="str">
        <x:f>'Vendor Options'!E252</x:f>
        <x:v>LD-08 SFIC</x:v>
      </x:c>
      <x:c r="W252" t="str">
        <x:f>'Vendor Options'!F252</x:f>
      </x:c>
      <x:c r="X252" t="str">
        <x:f>'Vendor Options'!G252</x:f>
        <x:v>78000659</x:v>
      </x:c>
      <x:c r="Y252" t="str">
        <x:f>'Vendor Options'!H252</x:f>
        <x:v>78000659 - LE-08IC Flat Entry Lever Escutcheon (includes 1 3/8" SFIC Housing+2 shims)</x:v>
      </x:c>
      <x:c r="Z252" t="str">
        <x:f>'Vendor Options'!I252</x:f>
      </x:c>
      <x:c r="AA252" s="54" t="n">
        <x:f>'Vendor Options'!J252</x:f>
        <x:v>251.55</x:v>
      </x:c>
      <x:c r="AB252" t="n">
        <x:f>'Vendor Options'!K252</x:f>
        <x:v>0</x:v>
      </x:c>
      <x:c r="AC252" s="57" t="n">
        <x:f>'Vendor Options'!L252</x:f>
        <x:v>0</x:v>
      </x:c>
      <x:c r="AD252" s="57" t="n">
        <x:f>'Vendor Options'!M252</x:f>
        <x:v>0</x:v>
      </x:c>
      <x:c r="AE252" s="54" t="n">
        <x:f>'Vendor Options'!N252</x:f>
        <x:v>251.55</x:v>
      </x:c>
      <x:c r="AF252" t="str">
        <x:f>'Vendor Options'!O252</x:f>
        <x:v>USD</x:v>
      </x:c>
      <x:c r="AG252" t="str">
        <x:f>'Vendor Options'!P252</x:f>
        <x:v>PRICED</x:v>
      </x:c>
      <x:c r="AH252" t="str">
        <x:f>'Vendor Options'!Q252</x:f>
        <x:v>ACTIVE</x:v>
      </x:c>
      <x:c r="AI252" t="str">
        <x:f>'Vendor Options'!R252</x:f>
      </x:c>
      <x:c r="AJ252" t="n">
        <x:f>'Vendor Options'!S252</x:f>
        <x:v>299</x:v>
      </x:c>
    </x:row>
    <x:row r="253" ht="15" hidden="0" customHeight="1">
      <x:c r="A253" t="str">
        <x:f>'Vendor Options'!B253</x:f>
        <x:v>SPEC-69C6410D5BA4</x:v>
      </x:c>
      <x:c r="B253" t="str">
        <x:f>XLOOKUP($A253,'Specs'!$A$2:$A$164,'Specs'!$B$2:$B$164,"")</x:f>
        <x:v>PANIC TRIM</x:v>
      </x:c>
      <x:c r="C253" t="str">
        <x:f>XLOOKUP($A253,'Specs'!$A$2:$A$164,'Specs'!$C$2:$C$164,"")</x:f>
        <x:v>ESCUTCHEON TRIM</x:v>
      </x:c>
      <x:c r="D253" t="str">
        <x:f>XLOOKUP($A253,'Specs'!$A$2:$A$164,'Specs'!$D$2:$D$164,"")</x:f>
        <x:v>RIM</x:v>
      </x:c>
      <x:c r="E253" t="str">
        <x:f>XLOOKUP($A253,'Specs'!$A$2:$A$164,'Specs'!$E$2:$E$164,"")</x:f>
      </x:c>
      <x:c r="F253" t="str">
        <x:f>XLOOKUP($A253,'Specs'!$A$2:$A$164,'Specs'!$F$2:$F$164,"")</x:f>
        <x:v>STANDARD</x:v>
      </x:c>
      <x:c r="G253" t="str">
        <x:f>XLOOKUP($A253,'Specs'!$A$2:$A$164,'Specs'!$G$2:$G$164,"")</x:f>
      </x:c>
      <x:c r="H253" t="str">
        <x:f>XLOOKUP($A253,'Specs'!$A$2:$A$164,'Specs'!$H$2:$H$164,"")</x:f>
      </x:c>
      <x:c r="I253" t="str">
        <x:f>XLOOKUP($A253,'Specs'!$A$2:$A$164,'Specs'!$I$2:$I$164,"")</x:f>
      </x:c>
      <x:c r="J253" t="str">
        <x:f>XLOOKUP($A253,'Specs'!$A$2:$A$164,'Specs'!$J$2:$J$164,"")</x:f>
      </x:c>
      <x:c r="K253" t="str">
        <x:f>XLOOKUP($A253,'Specs'!$A$2:$A$164,'Specs'!$K$2:$K$164,"")</x:f>
      </x:c>
      <x:c r="L253" t="str">
        <x:f>XLOOKUP($A253,'Specs'!$A$2:$A$164,'Specs'!$L$2:$L$164,"")</x:f>
      </x:c>
      <x:c r="M253" t="n">
        <x:f>XLOOKUP($A253,'Specs'!$A$2:$A$164,'Specs'!$M$2:$M$164,"")</x:f>
        <x:v>304</x:v>
      </x:c>
      <x:c r="N253" t="str">
        <x:f>XLOOKUP($A253,'Specs'!$A$2:$A$164,'Specs'!$N$2:$N$164,"")</x:f>
      </x:c>
      <x:c r="O253" t="str">
        <x:f>XLOOKUP($A253,'Specs'!$A$2:$A$164,'Specs'!$O$2:$O$164,"")</x:f>
      </x:c>
      <x:c r="P253" t="str">
        <x:f>XLOOKUP($A253,'Specs'!$A$2:$A$164,'Specs'!$P$2:$P$164,"")</x:f>
        <x:v>MEDIUM</x:v>
      </x:c>
      <x:c r="Q253" s="53" t="n">
        <x:f>XLOOKUP($A253,'Specs'!$A$2:$A$164,'Specs'!$Q$2:$Q$164,"")</x:f>
        <x:v>1</x:v>
      </x:c>
      <x:c r="R253" s="53" t="n">
        <x:f>XLOOKUP($A253,'Specs'!$A$2:$A$164,'Specs'!$R$2:$R$164,"")</x:f>
        <x:v>1</x:v>
      </x:c>
      <x:c r="S253" t="str">
        <x:f>'Vendor Options'!A253</x:f>
        <x:v>OFFER-3215AE13B3C7</x:v>
      </x:c>
      <x:c r="T253" t="str">
        <x:f>'Vendor Options'!C253</x:f>
        <x:v>DH</x:v>
      </x:c>
      <x:c r="U253" t="str">
        <x:f>'Vendor Options'!D253</x:f>
        <x:v>ESC LVR TRIM 1.125 M CYL</x:v>
      </x:c>
      <x:c r="V253" t="str">
        <x:f>'Vendor Options'!E253</x:f>
        <x:v>LE-08</x:v>
      </x:c>
      <x:c r="W253" t="str">
        <x:f>'Vendor Options'!F253</x:f>
      </x:c>
      <x:c r="X253" t="str">
        <x:f>'Vendor Options'!G253</x:f>
        <x:v>78002459</x:v>
      </x:c>
      <x:c r="Y253" t="str">
        <x:f>'Vendor Options'!H253</x:f>
        <x:v>78002459 - LE-08 Flat Entry Lever Escutcheon (includes 1 1/8" Mort Cyl.)</x:v>
      </x:c>
      <x:c r="Z253" t="str">
        <x:f>'Vendor Options'!I253</x:f>
      </x:c>
      <x:c r="AA253" s="54" t="n">
        <x:f>'Vendor Options'!J253</x:f>
        <x:v>251.55</x:v>
      </x:c>
      <x:c r="AB253" t="n">
        <x:f>'Vendor Options'!K253</x:f>
        <x:v>0</x:v>
      </x:c>
      <x:c r="AC253" s="57" t="n">
        <x:f>'Vendor Options'!L253</x:f>
        <x:v>0</x:v>
      </x:c>
      <x:c r="AD253" s="57" t="n">
        <x:f>'Vendor Options'!M253</x:f>
        <x:v>0</x:v>
      </x:c>
      <x:c r="AE253" s="54" t="n">
        <x:f>'Vendor Options'!N253</x:f>
        <x:v>251.55</x:v>
      </x:c>
      <x:c r="AF253" t="str">
        <x:f>'Vendor Options'!O253</x:f>
        <x:v>USD</x:v>
      </x:c>
      <x:c r="AG253" t="str">
        <x:f>'Vendor Options'!P253</x:f>
        <x:v>PRICED</x:v>
      </x:c>
      <x:c r="AH253" t="str">
        <x:f>'Vendor Options'!Q253</x:f>
        <x:v>ACTIVE</x:v>
      </x:c>
      <x:c r="AI253" t="str">
        <x:f>'Vendor Options'!R253</x:f>
      </x:c>
      <x:c r="AJ253" t="n">
        <x:f>'Vendor Options'!S253</x:f>
        <x:v>298</x:v>
      </x:c>
    </x:row>
    <x:row r="254" ht="15" hidden="0" customHeight="1">
      <x:c r="A254" t="str">
        <x:f>'Vendor Options'!B254</x:f>
        <x:v>SPEC-5A6D704C5CA6</x:v>
      </x:c>
      <x:c r="B254" t="str">
        <x:f>XLOOKUP($A254,'Specs'!$A$2:$A$164,'Specs'!$B$2:$B$164,"")</x:f>
        <x:v>PANIC TRIM</x:v>
      </x:c>
      <x:c r="C254" t="str">
        <x:f>XLOOKUP($A254,'Specs'!$A$2:$A$164,'Specs'!$C$2:$C$164,"")</x:f>
        <x:v>ESCUTCHEON TRIM</x:v>
      </x:c>
      <x:c r="D254" t="str">
        <x:f>XLOOKUP($A254,'Specs'!$A$2:$A$164,'Specs'!$D$2:$D$164,"")</x:f>
        <x:v>RIM</x:v>
      </x:c>
      <x:c r="E254" t="str">
        <x:f>XLOOKUP($A254,'Specs'!$A$2:$A$164,'Specs'!$E$2:$E$164,"")</x:f>
        <x:v>ENTRY</x:v>
      </x:c>
      <x:c r="F254" t="str">
        <x:f>XLOOKUP($A254,'Specs'!$A$2:$A$164,'Specs'!$F$2:$F$164,"")</x:f>
        <x:v>LFIC</x:v>
      </x:c>
      <x:c r="G254" t="str">
        <x:f>XLOOKUP($A254,'Specs'!$A$2:$A$164,'Specs'!$G$2:$G$164,"")</x:f>
      </x:c>
      <x:c r="H254" t="str">
        <x:f>XLOOKUP($A254,'Specs'!$A$2:$A$164,'Specs'!$H$2:$H$164,"")</x:f>
      </x:c>
      <x:c r="I254" t="str">
        <x:f>XLOOKUP($A254,'Specs'!$A$2:$A$164,'Specs'!$I$2:$I$164,"")</x:f>
      </x:c>
      <x:c r="J254" t="str">
        <x:f>XLOOKUP($A254,'Specs'!$A$2:$A$164,'Specs'!$J$2:$J$164,"")</x:f>
      </x:c>
      <x:c r="K254" t="str">
        <x:f>XLOOKUP($A254,'Specs'!$A$2:$A$164,'Specs'!$K$2:$K$164,"")</x:f>
      </x:c>
      <x:c r="L254" t="str">
        <x:f>XLOOKUP($A254,'Specs'!$A$2:$A$164,'Specs'!$L$2:$L$164,"")</x:f>
      </x:c>
      <x:c r="M254" t="n">
        <x:f>XLOOKUP($A254,'Specs'!$A$2:$A$164,'Specs'!$M$2:$M$164,"")</x:f>
        <x:v>630</x:v>
      </x:c>
      <x:c r="N254" t="str">
        <x:f>XLOOKUP($A254,'Specs'!$A$2:$A$164,'Specs'!$N$2:$N$164,"")</x:f>
      </x:c>
      <x:c r="O254" t="str">
        <x:f>XLOOKUP($A254,'Specs'!$A$2:$A$164,'Specs'!$O$2:$O$164,"")</x:f>
      </x:c>
      <x:c r="P254" t="str">
        <x:f>XLOOKUP($A254,'Specs'!$A$2:$A$164,'Specs'!$P$2:$P$164,"")</x:f>
        <x:v>HIGH</x:v>
      </x:c>
      <x:c r="Q254" s="53" t="n">
        <x:f>XLOOKUP($A254,'Specs'!$A$2:$A$164,'Specs'!$Q$2:$Q$164,"")</x:f>
        <x:v>1</x:v>
      </x:c>
      <x:c r="R254" s="53" t="n">
        <x:f>XLOOKUP($A254,'Specs'!$A$2:$A$164,'Specs'!$R$2:$R$164,"")</x:f>
        <x:v>1</x:v>
      </x:c>
      <x:c r="S254" t="str">
        <x:f>'Vendor Options'!A254</x:f>
        <x:v>OFFER-8A903449DD9C</x:v>
      </x:c>
      <x:c r="T254" t="str">
        <x:f>'Vendor Options'!C254</x:f>
        <x:v>PHG</x:v>
      </x:c>
      <x:c r="U254" t="str">
        <x:f>'Vendor Options'!D254</x:f>
        <x:v>HETL9 ESC TRIM-900ICS</x:v>
      </x:c>
      <x:c r="V254" t="str">
        <x:f>'Vendor Options'!E254</x:f>
        <x:v>HETL9 9 SERIES TRIM (9500)</x:v>
      </x:c>
      <x:c r="W254" t="str">
        <x:f>'Vendor Options'!F254</x:f>
      </x:c>
      <x:c r="X254" t="str">
        <x:f>'Vendor Options'!G254</x:f>
        <x:v>HETL900CT32DICS</x:v>
      </x:c>
      <x:c r="Y254" t="str">
        <x:f>'Vendor Options'!H254</x:f>
        <x:v>HETL900CT32DICS</x:v>
      </x:c>
      <x:c r="Z254" t="str">
        <x:f>'Vendor Options'!I254</x:f>
      </x:c>
      <x:c r="AA254" s="54" t="n">
        <x:f>'Vendor Options'!J254</x:f>
        <x:v>252.36</x:v>
      </x:c>
      <x:c r="AB254" t="n">
        <x:f>'Vendor Options'!K254</x:f>
        <x:v>0</x:v>
      </x:c>
      <x:c r="AC254" s="57" t="n">
        <x:f>'Vendor Options'!L254</x:f>
        <x:v>0</x:v>
      </x:c>
      <x:c r="AD254" s="57" t="n">
        <x:f>'Vendor Options'!M254</x:f>
        <x:v>0</x:v>
      </x:c>
      <x:c r="AE254" s="54" t="n">
        <x:f>'Vendor Options'!N254</x:f>
        <x:v>252.36</x:v>
      </x:c>
      <x:c r="AF254" t="str">
        <x:f>'Vendor Options'!O254</x:f>
        <x:v>USD</x:v>
      </x:c>
      <x:c r="AG254" t="str">
        <x:f>'Vendor Options'!P254</x:f>
        <x:v>PRICED</x:v>
      </x:c>
      <x:c r="AH254" t="str">
        <x:f>'Vendor Options'!Q254</x:f>
        <x:v>ACTIVE</x:v>
      </x:c>
      <x:c r="AI254" t="str">
        <x:f>'Vendor Options'!R254</x:f>
      </x:c>
      <x:c r="AJ254" t="n">
        <x:f>'Vendor Options'!S254</x:f>
        <x:v>312</x:v>
      </x:c>
    </x:row>
    <x:row r="255" ht="15" hidden="0" customHeight="1">
      <x:c r="A255" t="str">
        <x:f>'Vendor Options'!B255</x:f>
        <x:v>SPEC-B535D0CC63C5</x:v>
      </x:c>
      <x:c r="B255" t="str">
        <x:f>XLOOKUP($A255,'Specs'!$A$2:$A$164,'Specs'!$B$2:$B$164,"")</x:f>
        <x:v>PANIC TRIM</x:v>
      </x:c>
      <x:c r="C255" t="str">
        <x:f>XLOOKUP($A255,'Specs'!$A$2:$A$164,'Specs'!$C$2:$C$164,"")</x:f>
        <x:v>ESCUTCHEON TRIM</x:v>
      </x:c>
      <x:c r="D255" t="str">
        <x:f>XLOOKUP($A255,'Specs'!$A$2:$A$164,'Specs'!$D$2:$D$164,"")</x:f>
        <x:v>RIM</x:v>
      </x:c>
      <x:c r="E255" t="str">
        <x:f>XLOOKUP($A255,'Specs'!$A$2:$A$164,'Specs'!$E$2:$E$164,"")</x:f>
        <x:v>ENTRY</x:v>
      </x:c>
      <x:c r="F255" t="str">
        <x:f>XLOOKUP($A255,'Specs'!$A$2:$A$164,'Specs'!$F$2:$F$164,"")</x:f>
        <x:v>SFIC</x:v>
      </x:c>
      <x:c r="G255" t="str">
        <x:f>XLOOKUP($A255,'Specs'!$A$2:$A$164,'Specs'!$G$2:$G$164,"")</x:f>
      </x:c>
      <x:c r="H255" t="str">
        <x:f>XLOOKUP($A255,'Specs'!$A$2:$A$164,'Specs'!$H$2:$H$164,"")</x:f>
      </x:c>
      <x:c r="I255" t="str">
        <x:f>XLOOKUP($A255,'Specs'!$A$2:$A$164,'Specs'!$I$2:$I$164,"")</x:f>
      </x:c>
      <x:c r="J255" t="str">
        <x:f>XLOOKUP($A255,'Specs'!$A$2:$A$164,'Specs'!$J$2:$J$164,"")</x:f>
      </x:c>
      <x:c r="K255" t="str">
        <x:f>XLOOKUP($A255,'Specs'!$A$2:$A$164,'Specs'!$K$2:$K$164,"")</x:f>
      </x:c>
      <x:c r="L255" t="str">
        <x:f>XLOOKUP($A255,'Specs'!$A$2:$A$164,'Specs'!$L$2:$L$164,"")</x:f>
      </x:c>
      <x:c r="M255" t="n">
        <x:f>XLOOKUP($A255,'Specs'!$A$2:$A$164,'Specs'!$M$2:$M$164,"")</x:f>
        <x:v>630</x:v>
      </x:c>
      <x:c r="N255" t="str">
        <x:f>XLOOKUP($A255,'Specs'!$A$2:$A$164,'Specs'!$N$2:$N$164,"")</x:f>
      </x:c>
      <x:c r="O255" t="str">
        <x:f>XLOOKUP($A255,'Specs'!$A$2:$A$164,'Specs'!$O$2:$O$164,"")</x:f>
      </x:c>
      <x:c r="P255" t="str">
        <x:f>XLOOKUP($A255,'Specs'!$A$2:$A$164,'Specs'!$P$2:$P$164,"")</x:f>
        <x:v>HIGH</x:v>
      </x:c>
      <x:c r="Q255" s="53" t="n">
        <x:f>XLOOKUP($A255,'Specs'!$A$2:$A$164,'Specs'!$Q$2:$Q$164,"")</x:f>
        <x:v>1</x:v>
      </x:c>
      <x:c r="R255" s="53" t="n">
        <x:f>XLOOKUP($A255,'Specs'!$A$2:$A$164,'Specs'!$R$2:$R$164,"")</x:f>
        <x:v>1</x:v>
      </x:c>
      <x:c r="S255" t="str">
        <x:f>'Vendor Options'!A255</x:f>
        <x:v>OFFER-0A4D39C37BCA</x:v>
      </x:c>
      <x:c r="T255" t="str">
        <x:f>'Vendor Options'!C255</x:f>
        <x:v>PHG</x:v>
      </x:c>
      <x:c r="U255" t="str">
        <x:f>'Vendor Options'!D255</x:f>
        <x:v>HETL9 ESC TRIM-900ICB</x:v>
      </x:c>
      <x:c r="V255" t="str">
        <x:f>'Vendor Options'!E255</x:f>
        <x:v>HETL9 9 SERIES TRIM (9500)</x:v>
      </x:c>
      <x:c r="W255" t="str">
        <x:f>'Vendor Options'!F255</x:f>
      </x:c>
      <x:c r="X255" t="str">
        <x:f>'Vendor Options'!G255</x:f>
        <x:v>HETL900CT32DICB</x:v>
      </x:c>
      <x:c r="Y255" t="str">
        <x:f>'Vendor Options'!H255</x:f>
        <x:v>HETL900CT32DICB</x:v>
      </x:c>
      <x:c r="Z255" t="str">
        <x:f>'Vendor Options'!I255</x:f>
      </x:c>
      <x:c r="AA255" s="54" t="n">
        <x:f>'Vendor Options'!J255</x:f>
        <x:v>252.36</x:v>
      </x:c>
      <x:c r="AB255" t="n">
        <x:f>'Vendor Options'!K255</x:f>
        <x:v>0</x:v>
      </x:c>
      <x:c r="AC255" s="57" t="n">
        <x:f>'Vendor Options'!L255</x:f>
        <x:v>0</x:v>
      </x:c>
      <x:c r="AD255" s="57" t="n">
        <x:f>'Vendor Options'!M255</x:f>
        <x:v>0</x:v>
      </x:c>
      <x:c r="AE255" s="54" t="n">
        <x:f>'Vendor Options'!N255</x:f>
        <x:v>252.36</x:v>
      </x:c>
      <x:c r="AF255" t="str">
        <x:f>'Vendor Options'!O255</x:f>
        <x:v>USD</x:v>
      </x:c>
      <x:c r="AG255" t="str">
        <x:f>'Vendor Options'!P255</x:f>
        <x:v>PRICED</x:v>
      </x:c>
      <x:c r="AH255" t="str">
        <x:f>'Vendor Options'!Q255</x:f>
        <x:v>ACTIVE</x:v>
      </x:c>
      <x:c r="AI255" t="str">
        <x:f>'Vendor Options'!R255</x:f>
      </x:c>
      <x:c r="AJ255" t="n">
        <x:f>'Vendor Options'!S255</x:f>
        <x:v>311</x:v>
      </x:c>
    </x:row>
    <x:row r="256" ht="15" hidden="0" customHeight="1">
      <x:c r="A256" t="str">
        <x:f>'Vendor Options'!B256</x:f>
        <x:v>SPEC-4E095B175796</x:v>
      </x:c>
      <x:c r="B256" t="str">
        <x:f>XLOOKUP($A256,'Specs'!$A$2:$A$164,'Specs'!$B$2:$B$164,"")</x:f>
        <x:v>PANIC TRIM</x:v>
      </x:c>
      <x:c r="C256" t="str">
        <x:f>XLOOKUP($A256,'Specs'!$A$2:$A$164,'Specs'!$C$2:$C$164,"")</x:f>
        <x:v>ESCUTCHEON TRIM</x:v>
      </x:c>
      <x:c r="D256" t="str">
        <x:f>XLOOKUP($A256,'Specs'!$A$2:$A$164,'Specs'!$D$2:$D$164,"")</x:f>
        <x:v>RIM</x:v>
      </x:c>
      <x:c r="E256" t="str">
        <x:f>XLOOKUP($A256,'Specs'!$A$2:$A$164,'Specs'!$E$2:$E$164,"")</x:f>
        <x:v>ENTRY</x:v>
      </x:c>
      <x:c r="F256" t="str">
        <x:f>XLOOKUP($A256,'Specs'!$A$2:$A$164,'Specs'!$F$2:$F$164,"")</x:f>
        <x:v>STANDARD</x:v>
      </x:c>
      <x:c r="G256" t="str">
        <x:f>XLOOKUP($A256,'Specs'!$A$2:$A$164,'Specs'!$G$2:$G$164,"")</x:f>
      </x:c>
      <x:c r="H256" t="str">
        <x:f>XLOOKUP($A256,'Specs'!$A$2:$A$164,'Specs'!$H$2:$H$164,"")</x:f>
      </x:c>
      <x:c r="I256" t="str">
        <x:f>XLOOKUP($A256,'Specs'!$A$2:$A$164,'Specs'!$I$2:$I$164,"")</x:f>
      </x:c>
      <x:c r="J256" t="str">
        <x:f>XLOOKUP($A256,'Specs'!$A$2:$A$164,'Specs'!$J$2:$J$164,"")</x:f>
      </x:c>
      <x:c r="K256" t="str">
        <x:f>XLOOKUP($A256,'Specs'!$A$2:$A$164,'Specs'!$K$2:$K$164,"")</x:f>
      </x:c>
      <x:c r="L256" t="str">
        <x:f>XLOOKUP($A256,'Specs'!$A$2:$A$164,'Specs'!$L$2:$L$164,"")</x:f>
      </x:c>
      <x:c r="M256" t="n">
        <x:f>XLOOKUP($A256,'Specs'!$A$2:$A$164,'Specs'!$M$2:$M$164,"")</x:f>
        <x:v>630</x:v>
      </x:c>
      <x:c r="N256" t="str">
        <x:f>XLOOKUP($A256,'Specs'!$A$2:$A$164,'Specs'!$N$2:$N$164,"")</x:f>
      </x:c>
      <x:c r="O256" t="str">
        <x:f>XLOOKUP($A256,'Specs'!$A$2:$A$164,'Specs'!$O$2:$O$164,"")</x:f>
      </x:c>
      <x:c r="P256" t="str">
        <x:f>XLOOKUP($A256,'Specs'!$A$2:$A$164,'Specs'!$P$2:$P$164,"")</x:f>
        <x:v>HIGH</x:v>
      </x:c>
      <x:c r="Q256" s="53" t="n">
        <x:f>XLOOKUP($A256,'Specs'!$A$2:$A$164,'Specs'!$Q$2:$Q$164,"")</x:f>
        <x:v>1</x:v>
      </x:c>
      <x:c r="R256" s="53" t="n">
        <x:f>XLOOKUP($A256,'Specs'!$A$2:$A$164,'Specs'!$R$2:$R$164,"")</x:f>
        <x:v>1</x:v>
      </x:c>
      <x:c r="S256" t="str">
        <x:f>'Vendor Options'!A256</x:f>
        <x:v>OFFER-14E56D35C06D</x:v>
      </x:c>
      <x:c r="T256" t="str">
        <x:f>'Vendor Options'!C256</x:f>
        <x:v>PHG</x:v>
      </x:c>
      <x:c r="U256" t="str">
        <x:f>'Vendor Options'!D256</x:f>
        <x:v>HETL9 ESC TRIM-900</x:v>
      </x:c>
      <x:c r="V256" t="str">
        <x:f>'Vendor Options'!E256</x:f>
        <x:v>HETL9 9 SERIES TRIM (9500)</x:v>
      </x:c>
      <x:c r="W256" t="str">
        <x:f>'Vendor Options'!F256</x:f>
      </x:c>
      <x:c r="X256" t="str">
        <x:f>'Vendor Options'!G256</x:f>
        <x:v>HETL900CT32D</x:v>
      </x:c>
      <x:c r="Y256" t="str">
        <x:f>'Vendor Options'!H256</x:f>
        <x:v>HETL900CT32D</x:v>
      </x:c>
      <x:c r="Z256" t="str">
        <x:f>'Vendor Options'!I256</x:f>
      </x:c>
      <x:c r="AA256" s="54" t="n">
        <x:f>'Vendor Options'!J256</x:f>
        <x:v>214.63</x:v>
      </x:c>
      <x:c r="AB256" t="n">
        <x:f>'Vendor Options'!K256</x:f>
        <x:v>0</x:v>
      </x:c>
      <x:c r="AC256" s="57" t="n">
        <x:f>'Vendor Options'!L256</x:f>
        <x:v>0</x:v>
      </x:c>
      <x:c r="AD256" s="57" t="n">
        <x:f>'Vendor Options'!M256</x:f>
        <x:v>0</x:v>
      </x:c>
      <x:c r="AE256" s="54" t="n">
        <x:f>'Vendor Options'!N256</x:f>
        <x:v>214.63</x:v>
      </x:c>
      <x:c r="AF256" t="str">
        <x:f>'Vendor Options'!O256</x:f>
        <x:v>USD</x:v>
      </x:c>
      <x:c r="AG256" t="str">
        <x:f>'Vendor Options'!P256</x:f>
        <x:v>PRICED</x:v>
      </x:c>
      <x:c r="AH256" t="str">
        <x:f>'Vendor Options'!Q256</x:f>
        <x:v>ACTIVE</x:v>
      </x:c>
      <x:c r="AI256" t="str">
        <x:f>'Vendor Options'!R256</x:f>
      </x:c>
      <x:c r="AJ256" t="n">
        <x:f>'Vendor Options'!S256</x:f>
        <x:v>310</x:v>
      </x:c>
    </x:row>
    <x:row r="257" ht="15" hidden="0" customHeight="1">
      <x:c r="A257" t="str">
        <x:f>'Vendor Options'!B257</x:f>
        <x:v>SPEC-180E7CB1C30C</x:v>
      </x:c>
      <x:c r="B257" t="str">
        <x:f>XLOOKUP($A257,'Specs'!$A$2:$A$164,'Specs'!$B$2:$B$164,"")</x:f>
        <x:v>PANIC TRIM</x:v>
      </x:c>
      <x:c r="C257" t="str">
        <x:f>XLOOKUP($A257,'Specs'!$A$2:$A$164,'Specs'!$C$2:$C$164,"")</x:f>
        <x:v>ESCUTCHEON TRIM</x:v>
      </x:c>
      <x:c r="D257" t="str">
        <x:f>XLOOKUP($A257,'Specs'!$A$2:$A$164,'Specs'!$D$2:$D$164,"")</x:f>
        <x:v>RIM</x:v>
      </x:c>
      <x:c r="E257" t="str">
        <x:f>XLOOKUP($A257,'Specs'!$A$2:$A$164,'Specs'!$E$2:$E$164,"")</x:f>
        <x:v>STOREROOM</x:v>
      </x:c>
      <x:c r="F257" t="str">
        <x:f>XLOOKUP($A257,'Specs'!$A$2:$A$164,'Specs'!$F$2:$F$164,"")</x:f>
        <x:v>LFIC</x:v>
      </x:c>
      <x:c r="G257" t="str">
        <x:f>XLOOKUP($A257,'Specs'!$A$2:$A$164,'Specs'!$G$2:$G$164,"")</x:f>
      </x:c>
      <x:c r="H257" t="str">
        <x:f>XLOOKUP($A257,'Specs'!$A$2:$A$164,'Specs'!$H$2:$H$164,"")</x:f>
      </x:c>
      <x:c r="I257" t="str">
        <x:f>XLOOKUP($A257,'Specs'!$A$2:$A$164,'Specs'!$I$2:$I$164,"")</x:f>
      </x:c>
      <x:c r="J257" t="str">
        <x:f>XLOOKUP($A257,'Specs'!$A$2:$A$164,'Specs'!$J$2:$J$164,"")</x:f>
      </x:c>
      <x:c r="K257" t="str">
        <x:f>XLOOKUP($A257,'Specs'!$A$2:$A$164,'Specs'!$K$2:$K$164,"")</x:f>
      </x:c>
      <x:c r="L257" t="str">
        <x:f>XLOOKUP($A257,'Specs'!$A$2:$A$164,'Specs'!$L$2:$L$164,"")</x:f>
      </x:c>
      <x:c r="M257" t="n">
        <x:f>XLOOKUP($A257,'Specs'!$A$2:$A$164,'Specs'!$M$2:$M$164,"")</x:f>
        <x:v>630</x:v>
      </x:c>
      <x:c r="N257" t="str">
        <x:f>XLOOKUP($A257,'Specs'!$A$2:$A$164,'Specs'!$N$2:$N$164,"")</x:f>
      </x:c>
      <x:c r="O257" t="str">
        <x:f>XLOOKUP($A257,'Specs'!$A$2:$A$164,'Specs'!$O$2:$O$164,"")</x:f>
      </x:c>
      <x:c r="P257" t="str">
        <x:f>XLOOKUP($A257,'Specs'!$A$2:$A$164,'Specs'!$P$2:$P$164,"")</x:f>
        <x:v>HIGH</x:v>
      </x:c>
      <x:c r="Q257" s="53" t="n">
        <x:f>XLOOKUP($A257,'Specs'!$A$2:$A$164,'Specs'!$Q$2:$Q$164,"")</x:f>
        <x:v>1</x:v>
      </x:c>
      <x:c r="R257" s="53" t="n">
        <x:f>XLOOKUP($A257,'Specs'!$A$2:$A$164,'Specs'!$R$2:$R$164,"")</x:f>
        <x:v>1</x:v>
      </x:c>
      <x:c r="S257" t="str">
        <x:f>'Vendor Options'!A257</x:f>
        <x:v>OFFER-F73DDD4409FD</x:v>
      </x:c>
      <x:c r="T257" t="str">
        <x:f>'Vendor Options'!C257</x:f>
        <x:v>PHG</x:v>
      </x:c>
      <x:c r="U257" t="str">
        <x:f>'Vendor Options'!D257</x:f>
        <x:v>HETL9 ESC TRIM-904ICS</x:v>
      </x:c>
      <x:c r="V257" t="str">
        <x:f>'Vendor Options'!E257</x:f>
        <x:v>HETL9 9 SERIES TRIM (9500)</x:v>
      </x:c>
      <x:c r="W257" t="str">
        <x:f>'Vendor Options'!F257</x:f>
      </x:c>
      <x:c r="X257" t="str">
        <x:f>'Vendor Options'!G257</x:f>
        <x:v>HETL904CT32DICS</x:v>
      </x:c>
      <x:c r="Y257" t="str">
        <x:f>'Vendor Options'!H257</x:f>
        <x:v>HETL904CT32DICS</x:v>
      </x:c>
      <x:c r="Z257" t="str">
        <x:f>'Vendor Options'!I257</x:f>
      </x:c>
      <x:c r="AA257" s="54" t="n">
        <x:f>'Vendor Options'!J257</x:f>
        <x:v>252.36</x:v>
      </x:c>
      <x:c r="AB257" t="n">
        <x:f>'Vendor Options'!K257</x:f>
        <x:v>0</x:v>
      </x:c>
      <x:c r="AC257" s="57" t="n">
        <x:f>'Vendor Options'!L257</x:f>
        <x:v>0</x:v>
      </x:c>
      <x:c r="AD257" s="57" t="n">
        <x:f>'Vendor Options'!M257</x:f>
        <x:v>0</x:v>
      </x:c>
      <x:c r="AE257" s="54" t="n">
        <x:f>'Vendor Options'!N257</x:f>
        <x:v>252.36</x:v>
      </x:c>
      <x:c r="AF257" t="str">
        <x:f>'Vendor Options'!O257</x:f>
        <x:v>USD</x:v>
      </x:c>
      <x:c r="AG257" t="str">
        <x:f>'Vendor Options'!P257</x:f>
        <x:v>PRICED</x:v>
      </x:c>
      <x:c r="AH257" t="str">
        <x:f>'Vendor Options'!Q257</x:f>
        <x:v>ACTIVE</x:v>
      </x:c>
      <x:c r="AI257" t="str">
        <x:f>'Vendor Options'!R257</x:f>
      </x:c>
      <x:c r="AJ257" t="n">
        <x:f>'Vendor Options'!S257</x:f>
        <x:v>316</x:v>
      </x:c>
    </x:row>
    <x:row r="258" ht="15" hidden="0" customHeight="1">
      <x:c r="A258" t="str">
        <x:f>'Vendor Options'!B258</x:f>
        <x:v>SPEC-BF25F8629A9D</x:v>
      </x:c>
      <x:c r="B258" t="str">
        <x:f>XLOOKUP($A258,'Specs'!$A$2:$A$164,'Specs'!$B$2:$B$164,"")</x:f>
        <x:v>PANIC TRIM</x:v>
      </x:c>
      <x:c r="C258" t="str">
        <x:f>XLOOKUP($A258,'Specs'!$A$2:$A$164,'Specs'!$C$2:$C$164,"")</x:f>
        <x:v>ESCUTCHEON TRIM</x:v>
      </x:c>
      <x:c r="D258" t="str">
        <x:f>XLOOKUP($A258,'Specs'!$A$2:$A$164,'Specs'!$D$2:$D$164,"")</x:f>
        <x:v>RIM</x:v>
      </x:c>
      <x:c r="E258" t="str">
        <x:f>XLOOKUP($A258,'Specs'!$A$2:$A$164,'Specs'!$E$2:$E$164,"")</x:f>
        <x:v>STOREROOM</x:v>
      </x:c>
      <x:c r="F258" t="str">
        <x:f>XLOOKUP($A258,'Specs'!$A$2:$A$164,'Specs'!$F$2:$F$164,"")</x:f>
        <x:v>SFIC</x:v>
      </x:c>
      <x:c r="G258" t="str">
        <x:f>XLOOKUP($A258,'Specs'!$A$2:$A$164,'Specs'!$G$2:$G$164,"")</x:f>
      </x:c>
      <x:c r="H258" t="str">
        <x:f>XLOOKUP($A258,'Specs'!$A$2:$A$164,'Specs'!$H$2:$H$164,"")</x:f>
      </x:c>
      <x:c r="I258" t="str">
        <x:f>XLOOKUP($A258,'Specs'!$A$2:$A$164,'Specs'!$I$2:$I$164,"")</x:f>
      </x:c>
      <x:c r="J258" t="str">
        <x:f>XLOOKUP($A258,'Specs'!$A$2:$A$164,'Specs'!$J$2:$J$164,"")</x:f>
      </x:c>
      <x:c r="K258" t="str">
        <x:f>XLOOKUP($A258,'Specs'!$A$2:$A$164,'Specs'!$K$2:$K$164,"")</x:f>
      </x:c>
      <x:c r="L258" t="str">
        <x:f>XLOOKUP($A258,'Specs'!$A$2:$A$164,'Specs'!$L$2:$L$164,"")</x:f>
      </x:c>
      <x:c r="M258" t="n">
        <x:f>XLOOKUP($A258,'Specs'!$A$2:$A$164,'Specs'!$M$2:$M$164,"")</x:f>
        <x:v>630</x:v>
      </x:c>
      <x:c r="N258" t="str">
        <x:f>XLOOKUP($A258,'Specs'!$A$2:$A$164,'Specs'!$N$2:$N$164,"")</x:f>
      </x:c>
      <x:c r="O258" t="str">
        <x:f>XLOOKUP($A258,'Specs'!$A$2:$A$164,'Specs'!$O$2:$O$164,"")</x:f>
      </x:c>
      <x:c r="P258" t="str">
        <x:f>XLOOKUP($A258,'Specs'!$A$2:$A$164,'Specs'!$P$2:$P$164,"")</x:f>
        <x:v>HIGH</x:v>
      </x:c>
      <x:c r="Q258" s="53" t="n">
        <x:f>XLOOKUP($A258,'Specs'!$A$2:$A$164,'Specs'!$Q$2:$Q$164,"")</x:f>
        <x:v>1</x:v>
      </x:c>
      <x:c r="R258" s="53" t="n">
        <x:f>XLOOKUP($A258,'Specs'!$A$2:$A$164,'Specs'!$R$2:$R$164,"")</x:f>
        <x:v>1</x:v>
      </x:c>
      <x:c r="S258" t="str">
        <x:f>'Vendor Options'!A258</x:f>
        <x:v>OFFER-AACCC6687A52</x:v>
      </x:c>
      <x:c r="T258" t="str">
        <x:f>'Vendor Options'!C258</x:f>
        <x:v>PHG</x:v>
      </x:c>
      <x:c r="U258" t="str">
        <x:f>'Vendor Options'!D258</x:f>
        <x:v>HETL9 ESC TRIM-904ICB</x:v>
      </x:c>
      <x:c r="V258" t="str">
        <x:f>'Vendor Options'!E258</x:f>
        <x:v>HETL9 9 SERIES TRIM (9500)</x:v>
      </x:c>
      <x:c r="W258" t="str">
        <x:f>'Vendor Options'!F258</x:f>
      </x:c>
      <x:c r="X258" t="str">
        <x:f>'Vendor Options'!G258</x:f>
        <x:v>HETL904CT32DICB</x:v>
      </x:c>
      <x:c r="Y258" t="str">
        <x:f>'Vendor Options'!H258</x:f>
        <x:v>HETL904CT32DICB</x:v>
      </x:c>
      <x:c r="Z258" t="str">
        <x:f>'Vendor Options'!I258</x:f>
      </x:c>
      <x:c r="AA258" s="54" t="n">
        <x:f>'Vendor Options'!J258</x:f>
        <x:v>252.36</x:v>
      </x:c>
      <x:c r="AB258" t="n">
        <x:f>'Vendor Options'!K258</x:f>
        <x:v>0</x:v>
      </x:c>
      <x:c r="AC258" s="57" t="n">
        <x:f>'Vendor Options'!L258</x:f>
        <x:v>0</x:v>
      </x:c>
      <x:c r="AD258" s="57" t="n">
        <x:f>'Vendor Options'!M258</x:f>
        <x:v>0</x:v>
      </x:c>
      <x:c r="AE258" s="54" t="n">
        <x:f>'Vendor Options'!N258</x:f>
        <x:v>252.36</x:v>
      </x:c>
      <x:c r="AF258" t="str">
        <x:f>'Vendor Options'!O258</x:f>
        <x:v>USD</x:v>
      </x:c>
      <x:c r="AG258" t="str">
        <x:f>'Vendor Options'!P258</x:f>
        <x:v>PRICED</x:v>
      </x:c>
      <x:c r="AH258" t="str">
        <x:f>'Vendor Options'!Q258</x:f>
        <x:v>ACTIVE</x:v>
      </x:c>
      <x:c r="AI258" t="str">
        <x:f>'Vendor Options'!R258</x:f>
      </x:c>
      <x:c r="AJ258" t="n">
        <x:f>'Vendor Options'!S258</x:f>
        <x:v>315</x:v>
      </x:c>
    </x:row>
    <x:row r="259" ht="15" hidden="0" customHeight="1">
      <x:c r="A259" t="str">
        <x:f>'Vendor Options'!B259</x:f>
        <x:v>SPEC-C953AC09EC93</x:v>
      </x:c>
      <x:c r="B259" t="str">
        <x:f>XLOOKUP($A259,'Specs'!$A$2:$A$164,'Specs'!$B$2:$B$164,"")</x:f>
        <x:v>PANIC TRIM</x:v>
      </x:c>
      <x:c r="C259" t="str">
        <x:f>XLOOKUP($A259,'Specs'!$A$2:$A$164,'Specs'!$C$2:$C$164,"")</x:f>
        <x:v>ESCUTCHEON TRIM</x:v>
      </x:c>
      <x:c r="D259" t="str">
        <x:f>XLOOKUP($A259,'Specs'!$A$2:$A$164,'Specs'!$D$2:$D$164,"")</x:f>
        <x:v>RIM</x:v>
      </x:c>
      <x:c r="E259" t="str">
        <x:f>XLOOKUP($A259,'Specs'!$A$2:$A$164,'Specs'!$E$2:$E$164,"")</x:f>
        <x:v>STOREROOM</x:v>
      </x:c>
      <x:c r="F259" t="str">
        <x:f>XLOOKUP($A259,'Specs'!$A$2:$A$164,'Specs'!$F$2:$F$164,"")</x:f>
        <x:v>STANDARD</x:v>
      </x:c>
      <x:c r="G259" t="str">
        <x:f>XLOOKUP($A259,'Specs'!$A$2:$A$164,'Specs'!$G$2:$G$164,"")</x:f>
      </x:c>
      <x:c r="H259" t="str">
        <x:f>XLOOKUP($A259,'Specs'!$A$2:$A$164,'Specs'!$H$2:$H$164,"")</x:f>
      </x:c>
      <x:c r="I259" t="str">
        <x:f>XLOOKUP($A259,'Specs'!$A$2:$A$164,'Specs'!$I$2:$I$164,"")</x:f>
      </x:c>
      <x:c r="J259" t="str">
        <x:f>XLOOKUP($A259,'Specs'!$A$2:$A$164,'Specs'!$J$2:$J$164,"")</x:f>
      </x:c>
      <x:c r="K259" t="str">
        <x:f>XLOOKUP($A259,'Specs'!$A$2:$A$164,'Specs'!$K$2:$K$164,"")</x:f>
      </x:c>
      <x:c r="L259" t="str">
        <x:f>XLOOKUP($A259,'Specs'!$A$2:$A$164,'Specs'!$L$2:$L$164,"")</x:f>
      </x:c>
      <x:c r="M259" t="n">
        <x:f>XLOOKUP($A259,'Specs'!$A$2:$A$164,'Specs'!$M$2:$M$164,"")</x:f>
        <x:v>630</x:v>
      </x:c>
      <x:c r="N259" t="str">
        <x:f>XLOOKUP($A259,'Specs'!$A$2:$A$164,'Specs'!$N$2:$N$164,"")</x:f>
      </x:c>
      <x:c r="O259" t="str">
        <x:f>XLOOKUP($A259,'Specs'!$A$2:$A$164,'Specs'!$O$2:$O$164,"")</x:f>
      </x:c>
      <x:c r="P259" t="str">
        <x:f>XLOOKUP($A259,'Specs'!$A$2:$A$164,'Specs'!$P$2:$P$164,"")</x:f>
        <x:v>HIGH</x:v>
      </x:c>
      <x:c r="Q259" s="53" t="n">
        <x:f>XLOOKUP($A259,'Specs'!$A$2:$A$164,'Specs'!$Q$2:$Q$164,"")</x:f>
        <x:v>1</x:v>
      </x:c>
      <x:c r="R259" s="53" t="n">
        <x:f>XLOOKUP($A259,'Specs'!$A$2:$A$164,'Specs'!$R$2:$R$164,"")</x:f>
        <x:v>1</x:v>
      </x:c>
      <x:c r="S259" t="str">
        <x:f>'Vendor Options'!A259</x:f>
        <x:v>OFFER-88F895FF90ED</x:v>
      </x:c>
      <x:c r="T259" t="str">
        <x:f>'Vendor Options'!C259</x:f>
        <x:v>PHG</x:v>
      </x:c>
      <x:c r="U259" t="str">
        <x:f>'Vendor Options'!D259</x:f>
        <x:v>HETL9 ESC TRIM-904</x:v>
      </x:c>
      <x:c r="V259" t="str">
        <x:f>'Vendor Options'!E259</x:f>
        <x:v>HETL9 9 SERIES TRIM (9500)</x:v>
      </x:c>
      <x:c r="W259" t="n">
        <x:f>'Vendor Options'!F259</x:f>
        <x:v>0</x:v>
      </x:c>
      <x:c r="X259" t="str">
        <x:f>'Vendor Options'!G259</x:f>
        <x:v>HETL904CT32D</x:v>
      </x:c>
      <x:c r="Y259" t="str">
        <x:f>'Vendor Options'!H259</x:f>
        <x:v>HETL904CT32D</x:v>
      </x:c>
      <x:c r="Z259" t="str">
        <x:f>'Vendor Options'!I259</x:f>
      </x:c>
      <x:c r="AA259" s="54" t="n">
        <x:f>'Vendor Options'!J259</x:f>
        <x:v>214.63</x:v>
      </x:c>
      <x:c r="AB259" t="n">
        <x:f>'Vendor Options'!K259</x:f>
        <x:v>0</x:v>
      </x:c>
      <x:c r="AC259" s="57" t="n">
        <x:f>'Vendor Options'!L259</x:f>
        <x:v>0</x:v>
      </x:c>
      <x:c r="AD259" s="57" t="n">
        <x:f>'Vendor Options'!M259</x:f>
        <x:v>0</x:v>
      </x:c>
      <x:c r="AE259" s="54" t="n">
        <x:f>'Vendor Options'!N259</x:f>
        <x:v>214.63</x:v>
      </x:c>
      <x:c r="AF259" t="str">
        <x:f>'Vendor Options'!O259</x:f>
        <x:v>USD</x:v>
      </x:c>
      <x:c r="AG259" t="str">
        <x:f>'Vendor Options'!P259</x:f>
        <x:v>PRICED</x:v>
      </x:c>
      <x:c r="AH259" t="str">
        <x:f>'Vendor Options'!Q259</x:f>
        <x:v>ACTIVE</x:v>
      </x:c>
      <x:c r="AI259" t="str">
        <x:f>'Vendor Options'!R259</x:f>
      </x:c>
      <x:c r="AJ259" t="n">
        <x:f>'Vendor Options'!S259</x:f>
        <x:v>314</x:v>
      </x:c>
    </x:row>
    <x:row r="260" ht="15" hidden="0" customHeight="1">
      <x:c r="A260" t="str">
        <x:f>'Vendor Options'!B260</x:f>
        <x:v>SPEC-F4E577ACE7BA</x:v>
      </x:c>
      <x:c r="B260" t="str">
        <x:f>XLOOKUP($A260,'Specs'!$A$2:$A$164,'Specs'!$B$2:$B$164,"")</x:f>
        <x:v>PANIC TRIM</x:v>
      </x:c>
      <x:c r="C260" t="str">
        <x:f>XLOOKUP($A260,'Specs'!$A$2:$A$164,'Specs'!$C$2:$C$164,"")</x:f>
        <x:v>LEVER ESCUTCHEON TRIM</x:v>
      </x:c>
      <x:c r="D260" t="str">
        <x:f>XLOOKUP($A260,'Specs'!$A$2:$A$164,'Specs'!$D$2:$D$164,"")</x:f>
        <x:v>MORTISE</x:v>
      </x:c>
      <x:c r="E260" t="str">
        <x:f>XLOOKUP($A260,'Specs'!$A$2:$A$164,'Specs'!$E$2:$E$164,"")</x:f>
        <x:v>KEY LOCKS / UNLOCKS LEVER - CLUTCH</x:v>
      </x:c>
      <x:c r="F260" t="str">
        <x:f>XLOOKUP($A260,'Specs'!$A$2:$A$164,'Specs'!$F$2:$F$164,"")</x:f>
        <x:v>STANDARD</x:v>
      </x:c>
      <x:c r="G260" t="str">
        <x:f>XLOOKUP($A260,'Specs'!$A$2:$A$164,'Specs'!$G$2:$G$164,"")</x:f>
      </x:c>
      <x:c r="H260" t="str">
        <x:f>XLOOKUP($A260,'Specs'!$A$2:$A$164,'Specs'!$H$2:$H$164,"")</x:f>
      </x:c>
      <x:c r="I260" t="str">
        <x:f>XLOOKUP($A260,'Specs'!$A$2:$A$164,'Specs'!$I$2:$I$164,"")</x:f>
      </x:c>
      <x:c r="J260" t="str">
        <x:f>XLOOKUP($A260,'Specs'!$A$2:$A$164,'Specs'!$J$2:$J$164,"")</x:f>
      </x:c>
      <x:c r="K260" t="str">
        <x:f>XLOOKUP($A260,'Specs'!$A$2:$A$164,'Specs'!$K$2:$K$164,"")</x:f>
      </x:c>
      <x:c r="L260" t="str">
        <x:f>XLOOKUP($A260,'Specs'!$A$2:$A$164,'Specs'!$L$2:$L$164,"")</x:f>
      </x:c>
      <x:c r="M260" t="n">
        <x:f>XLOOKUP($A260,'Specs'!$A$2:$A$164,'Specs'!$M$2:$M$164,"")</x:f>
        <x:v>630</x:v>
      </x:c>
      <x:c r="N260" t="str">
        <x:f>XLOOKUP($A260,'Specs'!$A$2:$A$164,'Specs'!$N$2:$N$164,"")</x:f>
      </x:c>
      <x:c r="O260" t="str">
        <x:f>XLOOKUP($A260,'Specs'!$A$2:$A$164,'Specs'!$O$2:$O$164,"")</x:f>
      </x:c>
      <x:c r="P260" t="str">
        <x:f>XLOOKUP($A260,'Specs'!$A$2:$A$164,'Specs'!$P$2:$P$164,"")</x:f>
        <x:v>HIGH</x:v>
      </x:c>
      <x:c r="Q260" s="53" t="n">
        <x:f>XLOOKUP($A260,'Specs'!$A$2:$A$164,'Specs'!$Q$2:$Q$164,"")</x:f>
        <x:v>1</x:v>
      </x:c>
      <x:c r="R260" s="53" t="n">
        <x:f>XLOOKUP($A260,'Specs'!$A$2:$A$164,'Specs'!$R$2:$R$164,"")</x:f>
        <x:v>1</x:v>
      </x:c>
      <x:c r="S260" t="str">
        <x:f>'Vendor Options'!A260</x:f>
        <x:v>OFFER-BC9E35D62890</x:v>
      </x:c>
      <x:c r="T260" t="str">
        <x:f>'Vendor Options'!C260</x:f>
        <x:v>DK</x:v>
      </x:c>
      <x:c r="U260" t="str">
        <x:f>'Vendor Options'!D260</x:f>
        <x:v>ESC LEVER</x:v>
      </x:c>
      <x:c r="V260" t="str">
        <x:f>'Vendor Options'!E260</x:f>
        <x:v>YR08MC</x:v>
      </x:c>
      <x:c r="W260" t="n">
        <x:f>'Vendor Options'!F260</x:f>
        <x:v>0</x:v>
      </x:c>
      <x:c r="X260" t="n">
        <x:f>'Vendor Options'!G260</x:f>
        <x:v>0</x:v>
      </x:c>
      <x:c r="Y260" t="n">
        <x:f>'Vendor Options'!H260</x:f>
        <x:v>0</x:v>
      </x:c>
      <x:c r="Z260" t="str">
        <x:f>'Vendor Options'!I260</x:f>
      </x:c>
      <x:c r="AA260" s="54" t="n">
        <x:f>'Vendor Options'!J260</x:f>
        <x:v>1219</x:v>
      </x:c>
      <x:c r="AB260" t="n">
        <x:f>'Vendor Options'!K260</x:f>
        <x:v>0</x:v>
      </x:c>
      <x:c r="AC260" s="57" t="n">
        <x:f>'Vendor Options'!L260</x:f>
        <x:v>0</x:v>
      </x:c>
      <x:c r="AD260" s="57" t="n">
        <x:f>'Vendor Options'!M260</x:f>
        <x:v>0</x:v>
      </x:c>
      <x:c r="AE260" s="54" t="n">
        <x:f>'Vendor Options'!N260</x:f>
        <x:v>1219</x:v>
      </x:c>
      <x:c r="AF260" t="str">
        <x:f>'Vendor Options'!O260</x:f>
        <x:v>USD</x:v>
      </x:c>
      <x:c r="AG260" t="str">
        <x:f>'Vendor Options'!P260</x:f>
        <x:v>PRICED</x:v>
      </x:c>
      <x:c r="AH260" t="str">
        <x:f>'Vendor Options'!Q260</x:f>
        <x:v>REVIEW</x:v>
      </x:c>
      <x:c r="AI260" t="str">
        <x:f>'Vendor Options'!R260</x:f>
        <x:v>MISSING_PART_NUMBER</x:v>
      </x:c>
      <x:c r="AJ260" t="n">
        <x:f>'Vendor Options'!S260</x:f>
        <x:v>233</x:v>
      </x:c>
    </x:row>
    <x:row r="261" ht="15" hidden="0" customHeight="1">
      <x:c r="A261" t="str">
        <x:f>'Vendor Options'!B261</x:f>
        <x:v>SPEC-AFD3426908DC</x:v>
      </x:c>
      <x:c r="B261" t="str">
        <x:f>XLOOKUP($A261,'Specs'!$A$2:$A$164,'Specs'!$B$2:$B$164,"")</x:f>
        <x:v>PANIC TRIM</x:v>
      </x:c>
      <x:c r="C261" t="str">
        <x:f>XLOOKUP($A261,'Specs'!$A$2:$A$164,'Specs'!$C$2:$C$164,"")</x:f>
        <x:v>LEVER ESCUTCHEON TRIM</x:v>
      </x:c>
      <x:c r="D261" t="str">
        <x:f>XLOOKUP($A261,'Specs'!$A$2:$A$164,'Specs'!$D$2:$D$164,"")</x:f>
        <x:v>MORTISE</x:v>
      </x:c>
      <x:c r="E261" t="str">
        <x:f>XLOOKUP($A261,'Specs'!$A$2:$A$164,'Specs'!$E$2:$E$164,"")</x:f>
        <x:v>KEY LOCKS / UNLOCKS LEVER</x:v>
      </x:c>
      <x:c r="F261" t="str">
        <x:f>XLOOKUP($A261,'Specs'!$A$2:$A$164,'Specs'!$F$2:$F$164,"")</x:f>
        <x:v>STANDARD</x:v>
      </x:c>
      <x:c r="G261" t="str">
        <x:f>XLOOKUP($A261,'Specs'!$A$2:$A$164,'Specs'!$G$2:$G$164,"")</x:f>
      </x:c>
      <x:c r="H261" t="str">
        <x:f>XLOOKUP($A261,'Specs'!$A$2:$A$164,'Specs'!$H$2:$H$164,"")</x:f>
      </x:c>
      <x:c r="I261" t="str">
        <x:f>XLOOKUP($A261,'Specs'!$A$2:$A$164,'Specs'!$I$2:$I$164,"")</x:f>
      </x:c>
      <x:c r="J261" t="str">
        <x:f>XLOOKUP($A261,'Specs'!$A$2:$A$164,'Specs'!$J$2:$J$164,"")</x:f>
      </x:c>
      <x:c r="K261" t="str">
        <x:f>XLOOKUP($A261,'Specs'!$A$2:$A$164,'Specs'!$K$2:$K$164,"")</x:f>
      </x:c>
      <x:c r="L261" t="str">
        <x:f>XLOOKUP($A261,'Specs'!$A$2:$A$164,'Specs'!$L$2:$L$164,"")</x:f>
      </x:c>
      <x:c r="M261" t="n">
        <x:f>XLOOKUP($A261,'Specs'!$A$2:$A$164,'Specs'!$M$2:$M$164,"")</x:f>
        <x:v>630</x:v>
      </x:c>
      <x:c r="N261" t="str">
        <x:f>XLOOKUP($A261,'Specs'!$A$2:$A$164,'Specs'!$N$2:$N$164,"")</x:f>
      </x:c>
      <x:c r="O261" t="str">
        <x:f>XLOOKUP($A261,'Specs'!$A$2:$A$164,'Specs'!$O$2:$O$164,"")</x:f>
      </x:c>
      <x:c r="P261" t="str">
        <x:f>XLOOKUP($A261,'Specs'!$A$2:$A$164,'Specs'!$P$2:$P$164,"")</x:f>
        <x:v>HIGH</x:v>
      </x:c>
      <x:c r="Q261" s="53" t="n">
        <x:f>XLOOKUP($A261,'Specs'!$A$2:$A$164,'Specs'!$Q$2:$Q$164,"")</x:f>
        <x:v>2</x:v>
      </x:c>
      <x:c r="R261" s="53" t="n">
        <x:f>XLOOKUP($A261,'Specs'!$A$2:$A$164,'Specs'!$R$2:$R$164,"")</x:f>
        <x:v>2</x:v>
      </x:c>
      <x:c r="S261" t="str">
        <x:f>'Vendor Options'!A261</x:f>
        <x:v>OFFER-999BB845B6D3</x:v>
      </x:c>
      <x:c r="T261" t="str">
        <x:f>'Vendor Options'!C261</x:f>
        <x:v>DK</x:v>
      </x:c>
      <x:c r="U261" t="str">
        <x:f>'Vendor Options'!D261</x:f>
        <x:v>ESC LEVER</x:v>
      </x:c>
      <x:c r="V261" t="str">
        <x:f>'Vendor Options'!E261</x:f>
        <x:v>YR08M</x:v>
      </x:c>
      <x:c r="W261" t="n">
        <x:f>'Vendor Options'!F261</x:f>
        <x:v>0</x:v>
      </x:c>
      <x:c r="X261" t="n">
        <x:f>'Vendor Options'!G261</x:f>
        <x:v>0</x:v>
      </x:c>
      <x:c r="Y261" t="n">
        <x:f>'Vendor Options'!H261</x:f>
        <x:v>0</x:v>
      </x:c>
      <x:c r="Z261" t="str">
        <x:f>'Vendor Options'!I261</x:f>
      </x:c>
      <x:c r="AA261" s="54" t="n">
        <x:f>'Vendor Options'!J261</x:f>
        <x:v>857</x:v>
      </x:c>
      <x:c r="AB261" t="n">
        <x:f>'Vendor Options'!K261</x:f>
        <x:v>0</x:v>
      </x:c>
      <x:c r="AC261" s="57" t="n">
        <x:f>'Vendor Options'!L261</x:f>
        <x:v>0</x:v>
      </x:c>
      <x:c r="AD261" s="57" t="n">
        <x:f>'Vendor Options'!M261</x:f>
        <x:v>0</x:v>
      </x:c>
      <x:c r="AE261" s="54" t="n">
        <x:f>'Vendor Options'!N261</x:f>
        <x:v>857</x:v>
      </x:c>
      <x:c r="AF261" t="str">
        <x:f>'Vendor Options'!O261</x:f>
        <x:v>USD</x:v>
      </x:c>
      <x:c r="AG261" t="str">
        <x:f>'Vendor Options'!P261</x:f>
        <x:v>PRICED</x:v>
      </x:c>
      <x:c r="AH261" t="str">
        <x:f>'Vendor Options'!Q261</x:f>
        <x:v>REVIEW</x:v>
      </x:c>
      <x:c r="AI261" t="str">
        <x:f>'Vendor Options'!R261</x:f>
        <x:v>MISSING_PART_NUMBER</x:v>
      </x:c>
      <x:c r="AJ261" t="n">
        <x:f>'Vendor Options'!S261</x:f>
        <x:v>232</x:v>
      </x:c>
    </x:row>
    <x:row r="262" ht="15" hidden="0" customHeight="1">
      <x:c r="A262" t="str">
        <x:f>'Vendor Options'!B262</x:f>
        <x:v>SPEC-AFD3426908DC</x:v>
      </x:c>
      <x:c r="B262" t="str">
        <x:f>XLOOKUP($A262,'Specs'!$A$2:$A$164,'Specs'!$B$2:$B$164,"")</x:f>
        <x:v>PANIC TRIM</x:v>
      </x:c>
      <x:c r="C262" t="str">
        <x:f>XLOOKUP($A262,'Specs'!$A$2:$A$164,'Specs'!$C$2:$C$164,"")</x:f>
        <x:v>LEVER ESCUTCHEON TRIM</x:v>
      </x:c>
      <x:c r="D262" t="str">
        <x:f>XLOOKUP($A262,'Specs'!$A$2:$A$164,'Specs'!$D$2:$D$164,"")</x:f>
        <x:v>MORTISE</x:v>
      </x:c>
      <x:c r="E262" t="str">
        <x:f>XLOOKUP($A262,'Specs'!$A$2:$A$164,'Specs'!$E$2:$E$164,"")</x:f>
        <x:v>KEY LOCKS / UNLOCKS LEVER</x:v>
      </x:c>
      <x:c r="F262" t="str">
        <x:f>XLOOKUP($A262,'Specs'!$A$2:$A$164,'Specs'!$F$2:$F$164,"")</x:f>
        <x:v>STANDARD</x:v>
      </x:c>
      <x:c r="G262" t="str">
        <x:f>XLOOKUP($A262,'Specs'!$A$2:$A$164,'Specs'!$G$2:$G$164,"")</x:f>
      </x:c>
      <x:c r="H262" t="str">
        <x:f>XLOOKUP($A262,'Specs'!$A$2:$A$164,'Specs'!$H$2:$H$164,"")</x:f>
      </x:c>
      <x:c r="I262" t="str">
        <x:f>XLOOKUP($A262,'Specs'!$A$2:$A$164,'Specs'!$I$2:$I$164,"")</x:f>
      </x:c>
      <x:c r="J262" t="str">
        <x:f>XLOOKUP($A262,'Specs'!$A$2:$A$164,'Specs'!$J$2:$J$164,"")</x:f>
      </x:c>
      <x:c r="K262" t="str">
        <x:f>XLOOKUP($A262,'Specs'!$A$2:$A$164,'Specs'!$K$2:$K$164,"")</x:f>
      </x:c>
      <x:c r="L262" t="str">
        <x:f>XLOOKUP($A262,'Specs'!$A$2:$A$164,'Specs'!$L$2:$L$164,"")</x:f>
      </x:c>
      <x:c r="M262" t="n">
        <x:f>XLOOKUP($A262,'Specs'!$A$2:$A$164,'Specs'!$M$2:$M$164,"")</x:f>
        <x:v>630</x:v>
      </x:c>
      <x:c r="N262" t="str">
        <x:f>XLOOKUP($A262,'Specs'!$A$2:$A$164,'Specs'!$N$2:$N$164,"")</x:f>
      </x:c>
      <x:c r="O262" t="str">
        <x:f>XLOOKUP($A262,'Specs'!$A$2:$A$164,'Specs'!$O$2:$O$164,"")</x:f>
      </x:c>
      <x:c r="P262" t="str">
        <x:f>XLOOKUP($A262,'Specs'!$A$2:$A$164,'Specs'!$P$2:$P$164,"")</x:f>
        <x:v>HIGH</x:v>
      </x:c>
      <x:c r="Q262" s="53" t="n">
        <x:f>XLOOKUP($A262,'Specs'!$A$2:$A$164,'Specs'!$Q$2:$Q$164,"")</x:f>
        <x:v>2</x:v>
      </x:c>
      <x:c r="R262" s="53" t="n">
        <x:f>XLOOKUP($A262,'Specs'!$A$2:$A$164,'Specs'!$R$2:$R$164,"")</x:f>
        <x:v>2</x:v>
      </x:c>
      <x:c r="S262" t="str">
        <x:f>'Vendor Options'!A262</x:f>
        <x:v>OFFER-5389E6055E2D</x:v>
      </x:c>
      <x:c r="T262" t="str">
        <x:f>'Vendor Options'!C262</x:f>
        <x:v>PHI</x:v>
      </x:c>
      <x:c r="U262" t="str">
        <x:f>'Vendor Options'!D262</x:f>
        <x:v>ESC LEVER</x:v>
      </x:c>
      <x:c r="V262" t="str">
        <x:f>'Vendor Options'!E262</x:f>
        <x:v>M4908A</x:v>
      </x:c>
      <x:c r="W262" t="n">
        <x:f>'Vendor Options'!F262</x:f>
        <x:v>0</x:v>
      </x:c>
      <x:c r="X262" t="n">
        <x:f>'Vendor Options'!G262</x:f>
        <x:v>0</x:v>
      </x:c>
      <x:c r="Y262" t="n">
        <x:f>'Vendor Options'!H262</x:f>
        <x:v>0</x:v>
      </x:c>
      <x:c r="Z262" t="str">
        <x:f>'Vendor Options'!I262</x:f>
      </x:c>
      <x:c r="AA262" s="54" t="n">
        <x:f>'Vendor Options'!J262</x:f>
        <x:v>1250</x:v>
      </x:c>
      <x:c r="AB262" t="n">
        <x:f>'Vendor Options'!K262</x:f>
        <x:v>0</x:v>
      </x:c>
      <x:c r="AC262" s="57" t="n">
        <x:f>'Vendor Options'!L262</x:f>
        <x:v>0</x:v>
      </x:c>
      <x:c r="AD262" s="57" t="n">
        <x:f>'Vendor Options'!M262</x:f>
        <x:v>0</x:v>
      </x:c>
      <x:c r="AE262" s="54" t="n">
        <x:f>'Vendor Options'!N262</x:f>
        <x:v>1250</x:v>
      </x:c>
      <x:c r="AF262" t="str">
        <x:f>'Vendor Options'!O262</x:f>
        <x:v>USD</x:v>
      </x:c>
      <x:c r="AG262" t="str">
        <x:f>'Vendor Options'!P262</x:f>
        <x:v>PRICED</x:v>
      </x:c>
      <x:c r="AH262" t="str">
        <x:f>'Vendor Options'!Q262</x:f>
        <x:v>REVIEW</x:v>
      </x:c>
      <x:c r="AI262" t="str">
        <x:f>'Vendor Options'!R262</x:f>
        <x:v>MISSING_PART_NUMBER</x:v>
      </x:c>
      <x:c r="AJ262" t="n">
        <x:f>'Vendor Options'!S262</x:f>
        <x:v>249</x:v>
      </x:c>
    </x:row>
    <x:row r="263" ht="15" hidden="0" customHeight="1">
      <x:c r="A263" t="str">
        <x:f>'Vendor Options'!B263</x:f>
        <x:v>SPEC-809A92977C48</x:v>
      </x:c>
      <x:c r="B263" t="str">
        <x:f>XLOOKUP($A263,'Specs'!$A$2:$A$164,'Specs'!$B$2:$B$164,"")</x:f>
        <x:v>PANIC TRIM</x:v>
      </x:c>
      <x:c r="C263" t="str">
        <x:f>XLOOKUP($A263,'Specs'!$A$2:$A$164,'Specs'!$C$2:$C$164,"")</x:f>
        <x:v>LEVER ESCUTCHEON TRIM</x:v>
      </x:c>
      <x:c r="D263" t="str">
        <x:f>XLOOKUP($A263,'Specs'!$A$2:$A$164,'Specs'!$D$2:$D$164,"")</x:f>
        <x:v>MORTISE</x:v>
      </x:c>
      <x:c r="E263" t="str">
        <x:f>XLOOKUP($A263,'Specs'!$A$2:$A$164,'Specs'!$E$2:$E$164,"")</x:f>
        <x:v>KEY RETRACTS LATCH</x:v>
      </x:c>
      <x:c r="F263" t="str">
        <x:f>XLOOKUP($A263,'Specs'!$A$2:$A$164,'Specs'!$F$2:$F$164,"")</x:f>
        <x:v>STANDARD</x:v>
      </x:c>
      <x:c r="G263" t="str">
        <x:f>XLOOKUP($A263,'Specs'!$A$2:$A$164,'Specs'!$G$2:$G$164,"")</x:f>
      </x:c>
      <x:c r="H263" t="str">
        <x:f>XLOOKUP($A263,'Specs'!$A$2:$A$164,'Specs'!$H$2:$H$164,"")</x:f>
      </x:c>
      <x:c r="I263" t="str">
        <x:f>XLOOKUP($A263,'Specs'!$A$2:$A$164,'Specs'!$I$2:$I$164,"")</x:f>
      </x:c>
      <x:c r="J263" t="str">
        <x:f>XLOOKUP($A263,'Specs'!$A$2:$A$164,'Specs'!$J$2:$J$164,"")</x:f>
      </x:c>
      <x:c r="K263" t="str">
        <x:f>XLOOKUP($A263,'Specs'!$A$2:$A$164,'Specs'!$K$2:$K$164,"")</x:f>
      </x:c>
      <x:c r="L263" t="str">
        <x:f>XLOOKUP($A263,'Specs'!$A$2:$A$164,'Specs'!$L$2:$L$164,"")</x:f>
      </x:c>
      <x:c r="M263" t="n">
        <x:f>XLOOKUP($A263,'Specs'!$A$2:$A$164,'Specs'!$M$2:$M$164,"")</x:f>
        <x:v>630</x:v>
      </x:c>
      <x:c r="N263" t="str">
        <x:f>XLOOKUP($A263,'Specs'!$A$2:$A$164,'Specs'!$N$2:$N$164,"")</x:f>
      </x:c>
      <x:c r="O263" t="str">
        <x:f>XLOOKUP($A263,'Specs'!$A$2:$A$164,'Specs'!$O$2:$O$164,"")</x:f>
      </x:c>
      <x:c r="P263" t="str">
        <x:f>XLOOKUP($A263,'Specs'!$A$2:$A$164,'Specs'!$P$2:$P$164,"")</x:f>
        <x:v>HIGH</x:v>
      </x:c>
      <x:c r="Q263" s="53" t="n">
        <x:f>XLOOKUP($A263,'Specs'!$A$2:$A$164,'Specs'!$Q$2:$Q$164,"")</x:f>
        <x:v>2</x:v>
      </x:c>
      <x:c r="R263" s="53" t="n">
        <x:f>XLOOKUP($A263,'Specs'!$A$2:$A$164,'Specs'!$R$2:$R$164,"")</x:f>
        <x:v>2</x:v>
      </x:c>
      <x:c r="S263" t="str">
        <x:f>'Vendor Options'!A263</x:f>
        <x:v>OFFER-E2269AD6A283</x:v>
      </x:c>
      <x:c r="T263" t="str">
        <x:f>'Vendor Options'!C263</x:f>
        <x:v>DK</x:v>
      </x:c>
      <x:c r="U263" t="str">
        <x:f>'Vendor Options'!D263</x:f>
        <x:v>ESC LEVER</x:v>
      </x:c>
      <x:c r="V263" t="str">
        <x:f>'Vendor Options'!E263</x:f>
        <x:v>YR03M: NIGHT LATCH</x:v>
      </x:c>
      <x:c r="W263" t="n">
        <x:f>'Vendor Options'!F263</x:f>
        <x:v>0</x:v>
      </x:c>
      <x:c r="X263" t="n">
        <x:f>'Vendor Options'!G263</x:f>
        <x:v>0</x:v>
      </x:c>
      <x:c r="Y263" t="n">
        <x:f>'Vendor Options'!H263</x:f>
        <x:v>0</x:v>
      </x:c>
      <x:c r="Z263" t="str">
        <x:f>'Vendor Options'!I263</x:f>
      </x:c>
      <x:c r="AA263" s="54" t="n">
        <x:f>'Vendor Options'!J263</x:f>
        <x:v>733</x:v>
      </x:c>
      <x:c r="AB263" t="n">
        <x:f>'Vendor Options'!K263</x:f>
        <x:v>0</x:v>
      </x:c>
      <x:c r="AC263" s="57" t="n">
        <x:f>'Vendor Options'!L263</x:f>
        <x:v>0</x:v>
      </x:c>
      <x:c r="AD263" s="57" t="n">
        <x:f>'Vendor Options'!M263</x:f>
        <x:v>0</x:v>
      </x:c>
      <x:c r="AE263" s="54" t="n">
        <x:f>'Vendor Options'!N263</x:f>
        <x:v>733</x:v>
      </x:c>
      <x:c r="AF263" t="str">
        <x:f>'Vendor Options'!O263</x:f>
        <x:v>USD</x:v>
      </x:c>
      <x:c r="AG263" t="str">
        <x:f>'Vendor Options'!P263</x:f>
        <x:v>PRICED</x:v>
      </x:c>
      <x:c r="AH263" t="str">
        <x:f>'Vendor Options'!Q263</x:f>
        <x:v>REVIEW</x:v>
      </x:c>
      <x:c r="AI263" t="str">
        <x:f>'Vendor Options'!R263</x:f>
        <x:v>MISSING_PART_NUMBER</x:v>
      </x:c>
      <x:c r="AJ263" t="n">
        <x:f>'Vendor Options'!S263</x:f>
        <x:v>234</x:v>
      </x:c>
    </x:row>
    <x:row r="264" ht="15" hidden="0" customHeight="1">
      <x:c r="A264" t="str">
        <x:f>'Vendor Options'!B264</x:f>
        <x:v>SPEC-809A92977C48</x:v>
      </x:c>
      <x:c r="B264" t="str">
        <x:f>XLOOKUP($A264,'Specs'!$A$2:$A$164,'Specs'!$B$2:$B$164,"")</x:f>
        <x:v>PANIC TRIM</x:v>
      </x:c>
      <x:c r="C264" t="str">
        <x:f>XLOOKUP($A264,'Specs'!$A$2:$A$164,'Specs'!$C$2:$C$164,"")</x:f>
        <x:v>LEVER ESCUTCHEON TRIM</x:v>
      </x:c>
      <x:c r="D264" t="str">
        <x:f>XLOOKUP($A264,'Specs'!$A$2:$A$164,'Specs'!$D$2:$D$164,"")</x:f>
        <x:v>MORTISE</x:v>
      </x:c>
      <x:c r="E264" t="str">
        <x:f>XLOOKUP($A264,'Specs'!$A$2:$A$164,'Specs'!$E$2:$E$164,"")</x:f>
        <x:v>KEY RETRACTS LATCH</x:v>
      </x:c>
      <x:c r="F264" t="str">
        <x:f>XLOOKUP($A264,'Specs'!$A$2:$A$164,'Specs'!$F$2:$F$164,"")</x:f>
        <x:v>STANDARD</x:v>
      </x:c>
      <x:c r="G264" t="str">
        <x:f>XLOOKUP($A264,'Specs'!$A$2:$A$164,'Specs'!$G$2:$G$164,"")</x:f>
      </x:c>
      <x:c r="H264" t="str">
        <x:f>XLOOKUP($A264,'Specs'!$A$2:$A$164,'Specs'!$H$2:$H$164,"")</x:f>
      </x:c>
      <x:c r="I264" t="str">
        <x:f>XLOOKUP($A264,'Specs'!$A$2:$A$164,'Specs'!$I$2:$I$164,"")</x:f>
      </x:c>
      <x:c r="J264" t="str">
        <x:f>XLOOKUP($A264,'Specs'!$A$2:$A$164,'Specs'!$J$2:$J$164,"")</x:f>
      </x:c>
      <x:c r="K264" t="str">
        <x:f>XLOOKUP($A264,'Specs'!$A$2:$A$164,'Specs'!$K$2:$K$164,"")</x:f>
      </x:c>
      <x:c r="L264" t="str">
        <x:f>XLOOKUP($A264,'Specs'!$A$2:$A$164,'Specs'!$L$2:$L$164,"")</x:f>
      </x:c>
      <x:c r="M264" t="n">
        <x:f>XLOOKUP($A264,'Specs'!$A$2:$A$164,'Specs'!$M$2:$M$164,"")</x:f>
        <x:v>630</x:v>
      </x:c>
      <x:c r="N264" t="str">
        <x:f>XLOOKUP($A264,'Specs'!$A$2:$A$164,'Specs'!$N$2:$N$164,"")</x:f>
      </x:c>
      <x:c r="O264" t="str">
        <x:f>XLOOKUP($A264,'Specs'!$A$2:$A$164,'Specs'!$O$2:$O$164,"")</x:f>
      </x:c>
      <x:c r="P264" t="str">
        <x:f>XLOOKUP($A264,'Specs'!$A$2:$A$164,'Specs'!$P$2:$P$164,"")</x:f>
        <x:v>HIGH</x:v>
      </x:c>
      <x:c r="Q264" s="53" t="n">
        <x:f>XLOOKUP($A264,'Specs'!$A$2:$A$164,'Specs'!$Q$2:$Q$164,"")</x:f>
        <x:v>2</x:v>
      </x:c>
      <x:c r="R264" s="53" t="n">
        <x:f>XLOOKUP($A264,'Specs'!$A$2:$A$164,'Specs'!$R$2:$R$164,"")</x:f>
        <x:v>2</x:v>
      </x:c>
      <x:c r="S264" t="str">
        <x:f>'Vendor Options'!A264</x:f>
        <x:v>OFFER-C67E39244F9C</x:v>
      </x:c>
      <x:c r="T264" t="str">
        <x:f>'Vendor Options'!C264</x:f>
        <x:v>PHI</x:v>
      </x:c>
      <x:c r="U264" t="str">
        <x:f>'Vendor Options'!D264</x:f>
        <x:v>ESC LEVER</x:v>
      </x:c>
      <x:c r="V264" t="str">
        <x:f>'Vendor Options'!E264</x:f>
        <x:v>M4903A</x:v>
      </x:c>
      <x:c r="W264" t="n">
        <x:f>'Vendor Options'!F264</x:f>
        <x:v>0</x:v>
      </x:c>
      <x:c r="X264" t="n">
        <x:f>'Vendor Options'!G264</x:f>
        <x:v>0</x:v>
      </x:c>
      <x:c r="Y264" t="n">
        <x:f>'Vendor Options'!H264</x:f>
        <x:v>0</x:v>
      </x:c>
      <x:c r="Z264" t="str">
        <x:f>'Vendor Options'!I264</x:f>
      </x:c>
      <x:c r="AA264" s="54" t="n">
        <x:f>'Vendor Options'!J264</x:f>
        <x:v>1250</x:v>
      </x:c>
      <x:c r="AB264" t="n">
        <x:f>'Vendor Options'!K264</x:f>
        <x:v>0</x:v>
      </x:c>
      <x:c r="AC264" s="57" t="n">
        <x:f>'Vendor Options'!L264</x:f>
        <x:v>0</x:v>
      </x:c>
      <x:c r="AD264" s="57" t="n">
        <x:f>'Vendor Options'!M264</x:f>
        <x:v>0</x:v>
      </x:c>
      <x:c r="AE264" s="54" t="n">
        <x:f>'Vendor Options'!N264</x:f>
        <x:v>1250</x:v>
      </x:c>
      <x:c r="AF264" t="str">
        <x:f>'Vendor Options'!O264</x:f>
        <x:v>USD</x:v>
      </x:c>
      <x:c r="AG264" t="str">
        <x:f>'Vendor Options'!P264</x:f>
        <x:v>PRICED</x:v>
      </x:c>
      <x:c r="AH264" t="str">
        <x:f>'Vendor Options'!Q264</x:f>
        <x:v>REVIEW</x:v>
      </x:c>
      <x:c r="AI264" t="str">
        <x:f>'Vendor Options'!R264</x:f>
        <x:v>MISSING_PART_NUMBER</x:v>
      </x:c>
      <x:c r="AJ264" t="n">
        <x:f>'Vendor Options'!S264</x:f>
        <x:v>248</x:v>
      </x:c>
    </x:row>
    <x:row r="265" ht="15" hidden="0" customHeight="1">
      <x:c r="A265" t="str">
        <x:f>'Vendor Options'!B265</x:f>
        <x:v>SPEC-3433EE87D2B9</x:v>
      </x:c>
      <x:c r="B265" t="str">
        <x:f>XLOOKUP($A265,'Specs'!$A$2:$A$164,'Specs'!$B$2:$B$164,"")</x:f>
        <x:v>PANIC TRIM</x:v>
      </x:c>
      <x:c r="C265" t="str">
        <x:f>XLOOKUP($A265,'Specs'!$A$2:$A$164,'Specs'!$C$2:$C$164,"")</x:f>
        <x:v>LEVER ESCUTCHEON TRIM</x:v>
      </x:c>
      <x:c r="D265" t="str">
        <x:f>XLOOKUP($A265,'Specs'!$A$2:$A$164,'Specs'!$D$2:$D$164,"")</x:f>
        <x:v>RIM</x:v>
      </x:c>
      <x:c r="E265" t="str">
        <x:f>XLOOKUP($A265,'Specs'!$A$2:$A$164,'Specs'!$E$2:$E$164,"")</x:f>
        <x:v>KEY LOCKS / UNLOCKS LEVER - CLUTCH</x:v>
      </x:c>
      <x:c r="F265" t="str">
        <x:f>XLOOKUP($A265,'Specs'!$A$2:$A$164,'Specs'!$F$2:$F$164,"")</x:f>
        <x:v>STANDARD</x:v>
      </x:c>
      <x:c r="G265" t="str">
        <x:f>XLOOKUP($A265,'Specs'!$A$2:$A$164,'Specs'!$G$2:$G$164,"")</x:f>
      </x:c>
      <x:c r="H265" t="str">
        <x:f>XLOOKUP($A265,'Specs'!$A$2:$A$164,'Specs'!$H$2:$H$164,"")</x:f>
      </x:c>
      <x:c r="I265" t="str">
        <x:f>XLOOKUP($A265,'Specs'!$A$2:$A$164,'Specs'!$I$2:$I$164,"")</x:f>
      </x:c>
      <x:c r="J265" t="str">
        <x:f>XLOOKUP($A265,'Specs'!$A$2:$A$164,'Specs'!$J$2:$J$164,"")</x:f>
      </x:c>
      <x:c r="K265" t="str">
        <x:f>XLOOKUP($A265,'Specs'!$A$2:$A$164,'Specs'!$K$2:$K$164,"")</x:f>
      </x:c>
      <x:c r="L265" t="str">
        <x:f>XLOOKUP($A265,'Specs'!$A$2:$A$164,'Specs'!$L$2:$L$164,"")</x:f>
      </x:c>
      <x:c r="M265" t="n">
        <x:f>XLOOKUP($A265,'Specs'!$A$2:$A$164,'Specs'!$M$2:$M$164,"")</x:f>
        <x:v>630</x:v>
      </x:c>
      <x:c r="N265" t="str">
        <x:f>XLOOKUP($A265,'Specs'!$A$2:$A$164,'Specs'!$N$2:$N$164,"")</x:f>
      </x:c>
      <x:c r="O265" t="str">
        <x:f>XLOOKUP($A265,'Specs'!$A$2:$A$164,'Specs'!$O$2:$O$164,"")</x:f>
      </x:c>
      <x:c r="P265" t="str">
        <x:f>XLOOKUP($A265,'Specs'!$A$2:$A$164,'Specs'!$P$2:$P$164,"")</x:f>
        <x:v>HIGH</x:v>
      </x:c>
      <x:c r="Q265" s="53" t="n">
        <x:f>XLOOKUP($A265,'Specs'!$A$2:$A$164,'Specs'!$Q$2:$Q$164,"")</x:f>
        <x:v>1</x:v>
      </x:c>
      <x:c r="R265" s="53" t="n">
        <x:f>XLOOKUP($A265,'Specs'!$A$2:$A$164,'Specs'!$R$2:$R$164,"")</x:f>
        <x:v>1</x:v>
      </x:c>
      <x:c r="S265" t="str">
        <x:f>'Vendor Options'!A265</x:f>
        <x:v>OFFER-D2E05996EFE9</x:v>
      </x:c>
      <x:c r="T265" t="str">
        <x:f>'Vendor Options'!C265</x:f>
        <x:v>DK</x:v>
      </x:c>
      <x:c r="U265" t="str">
        <x:f>'Vendor Options'!D265</x:f>
        <x:v>ESC LEVER</x:v>
      </x:c>
      <x:c r="V265" t="str">
        <x:f>'Vendor Options'!E265</x:f>
        <x:v>YR08C</x:v>
      </x:c>
      <x:c r="W265" t="n">
        <x:f>'Vendor Options'!F265</x:f>
        <x:v>0</x:v>
      </x:c>
      <x:c r="X265" t="n">
        <x:f>'Vendor Options'!G265</x:f>
        <x:v>0</x:v>
      </x:c>
      <x:c r="Y265" t="n">
        <x:f>'Vendor Options'!H265</x:f>
        <x:v>0</x:v>
      </x:c>
      <x:c r="Z265" t="str">
        <x:f>'Vendor Options'!I265</x:f>
      </x:c>
      <x:c r="AA265" s="54" t="n">
        <x:f>'Vendor Options'!J265</x:f>
        <x:v>1219</x:v>
      </x:c>
      <x:c r="AB265" t="n">
        <x:f>'Vendor Options'!K265</x:f>
        <x:v>0</x:v>
      </x:c>
      <x:c r="AC265" s="57" t="n">
        <x:f>'Vendor Options'!L265</x:f>
        <x:v>0</x:v>
      </x:c>
      <x:c r="AD265" s="57" t="n">
        <x:f>'Vendor Options'!M265</x:f>
        <x:v>0</x:v>
      </x:c>
      <x:c r="AE265" s="54" t="n">
        <x:f>'Vendor Options'!N265</x:f>
        <x:v>1219</x:v>
      </x:c>
      <x:c r="AF265" t="str">
        <x:f>'Vendor Options'!O265</x:f>
        <x:v>USD</x:v>
      </x:c>
      <x:c r="AG265" t="str">
        <x:f>'Vendor Options'!P265</x:f>
        <x:v>PRICED</x:v>
      </x:c>
      <x:c r="AH265" t="str">
        <x:f>'Vendor Options'!Q265</x:f>
        <x:v>REVIEW</x:v>
      </x:c>
      <x:c r="AI265" t="str">
        <x:f>'Vendor Options'!R265</x:f>
        <x:v>MISSING_PART_NUMBER</x:v>
      </x:c>
      <x:c r="AJ265" t="n">
        <x:f>'Vendor Options'!S265</x:f>
        <x:v>330</x:v>
      </x:c>
    </x:row>
    <x:row r="266" ht="15" hidden="0" customHeight="1">
      <x:c r="A266" t="str">
        <x:f>'Vendor Options'!B266</x:f>
        <x:v>SPEC-17E12F75ACF6</x:v>
      </x:c>
      <x:c r="B266" t="str">
        <x:f>XLOOKUP($A266,'Specs'!$A$2:$A$164,'Specs'!$B$2:$B$164,"")</x:f>
        <x:v>PANIC TRIM</x:v>
      </x:c>
      <x:c r="C266" t="str">
        <x:f>XLOOKUP($A266,'Specs'!$A$2:$A$164,'Specs'!$C$2:$C$164,"")</x:f>
        <x:v>LEVER ESCUTCHEON TRIM</x:v>
      </x:c>
      <x:c r="D266" t="str">
        <x:f>XLOOKUP($A266,'Specs'!$A$2:$A$164,'Specs'!$D$2:$D$164,"")</x:f>
        <x:v>RIM</x:v>
      </x:c>
      <x:c r="E266" t="str">
        <x:f>XLOOKUP($A266,'Specs'!$A$2:$A$164,'Specs'!$E$2:$E$164,"")</x:f>
        <x:v>KEY LOCKS / UNLOCKS LEVER</x:v>
      </x:c>
      <x:c r="F266" t="str">
        <x:f>XLOOKUP($A266,'Specs'!$A$2:$A$164,'Specs'!$F$2:$F$164,"")</x:f>
        <x:v>STANDARD</x:v>
      </x:c>
      <x:c r="G266" t="str">
        <x:f>XLOOKUP($A266,'Specs'!$A$2:$A$164,'Specs'!$G$2:$G$164,"")</x:f>
      </x:c>
      <x:c r="H266" t="str">
        <x:f>XLOOKUP($A266,'Specs'!$A$2:$A$164,'Specs'!$H$2:$H$164,"")</x:f>
      </x:c>
      <x:c r="I266" t="str">
        <x:f>XLOOKUP($A266,'Specs'!$A$2:$A$164,'Specs'!$I$2:$I$164,"")</x:f>
      </x:c>
      <x:c r="J266" t="str">
        <x:f>XLOOKUP($A266,'Specs'!$A$2:$A$164,'Specs'!$J$2:$J$164,"")</x:f>
      </x:c>
      <x:c r="K266" t="str">
        <x:f>XLOOKUP($A266,'Specs'!$A$2:$A$164,'Specs'!$K$2:$K$164,"")</x:f>
      </x:c>
      <x:c r="L266" t="str">
        <x:f>XLOOKUP($A266,'Specs'!$A$2:$A$164,'Specs'!$L$2:$L$164,"")</x:f>
      </x:c>
      <x:c r="M266" t="n">
        <x:f>XLOOKUP($A266,'Specs'!$A$2:$A$164,'Specs'!$M$2:$M$164,"")</x:f>
        <x:v>630</x:v>
      </x:c>
      <x:c r="N266" t="str">
        <x:f>XLOOKUP($A266,'Specs'!$A$2:$A$164,'Specs'!$N$2:$N$164,"")</x:f>
      </x:c>
      <x:c r="O266" t="str">
        <x:f>XLOOKUP($A266,'Specs'!$A$2:$A$164,'Specs'!$O$2:$O$164,"")</x:f>
      </x:c>
      <x:c r="P266" t="str">
        <x:f>XLOOKUP($A266,'Specs'!$A$2:$A$164,'Specs'!$P$2:$P$164,"")</x:f>
        <x:v>HIGH</x:v>
      </x:c>
      <x:c r="Q266" s="53" t="n">
        <x:f>XLOOKUP($A266,'Specs'!$A$2:$A$164,'Specs'!$Q$2:$Q$164,"")</x:f>
        <x:v>2</x:v>
      </x:c>
      <x:c r="R266" s="53" t="n">
        <x:f>XLOOKUP($A266,'Specs'!$A$2:$A$164,'Specs'!$R$2:$R$164,"")</x:f>
        <x:v>2</x:v>
      </x:c>
      <x:c r="S266" t="str">
        <x:f>'Vendor Options'!A266</x:f>
        <x:v>OFFER-5F469931A036</x:v>
      </x:c>
      <x:c r="T266" t="str">
        <x:f>'Vendor Options'!C266</x:f>
        <x:v>DK</x:v>
      </x:c>
      <x:c r="U266" t="str">
        <x:f>'Vendor Options'!D266</x:f>
        <x:v>ESC LEVER</x:v>
      </x:c>
      <x:c r="V266" t="str">
        <x:f>'Vendor Options'!E266</x:f>
        <x:v>YR08</x:v>
      </x:c>
      <x:c r="W266" t="n">
        <x:f>'Vendor Options'!F266</x:f>
        <x:v>0</x:v>
      </x:c>
      <x:c r="X266" t="n">
        <x:f>'Vendor Options'!G266</x:f>
        <x:v>0</x:v>
      </x:c>
      <x:c r="Y266" t="n">
        <x:f>'Vendor Options'!H266</x:f>
        <x:v>0</x:v>
      </x:c>
      <x:c r="Z266" t="str">
        <x:f>'Vendor Options'!I266</x:f>
      </x:c>
      <x:c r="AA266" s="54" t="n">
        <x:f>'Vendor Options'!J266</x:f>
        <x:v>857</x:v>
      </x:c>
      <x:c r="AB266" t="n">
        <x:f>'Vendor Options'!K266</x:f>
        <x:v>0</x:v>
      </x:c>
      <x:c r="AC266" s="57" t="n">
        <x:f>'Vendor Options'!L266</x:f>
        <x:v>0</x:v>
      </x:c>
      <x:c r="AD266" s="57" t="n">
        <x:f>'Vendor Options'!M266</x:f>
        <x:v>0</x:v>
      </x:c>
      <x:c r="AE266" s="54" t="n">
        <x:f>'Vendor Options'!N266</x:f>
        <x:v>857</x:v>
      </x:c>
      <x:c r="AF266" t="str">
        <x:f>'Vendor Options'!O266</x:f>
        <x:v>USD</x:v>
      </x:c>
      <x:c r="AG266" t="str">
        <x:f>'Vendor Options'!P266</x:f>
        <x:v>PRICED</x:v>
      </x:c>
      <x:c r="AH266" t="str">
        <x:f>'Vendor Options'!Q266</x:f>
        <x:v>REVIEW</x:v>
      </x:c>
      <x:c r="AI266" t="str">
        <x:f>'Vendor Options'!R266</x:f>
        <x:v>MISSING_PART_NUMBER</x:v>
      </x:c>
      <x:c r="AJ266" t="n">
        <x:f>'Vendor Options'!S266</x:f>
        <x:v>329</x:v>
      </x:c>
    </x:row>
    <x:row r="267" ht="15" hidden="0" customHeight="1">
      <x:c r="A267" t="str">
        <x:f>'Vendor Options'!B267</x:f>
        <x:v>SPEC-17E12F75ACF6</x:v>
      </x:c>
      <x:c r="B267" t="str">
        <x:f>XLOOKUP($A267,'Specs'!$A$2:$A$164,'Specs'!$B$2:$B$164,"")</x:f>
        <x:v>PANIC TRIM</x:v>
      </x:c>
      <x:c r="C267" t="str">
        <x:f>XLOOKUP($A267,'Specs'!$A$2:$A$164,'Specs'!$C$2:$C$164,"")</x:f>
        <x:v>LEVER ESCUTCHEON TRIM</x:v>
      </x:c>
      <x:c r="D267" t="str">
        <x:f>XLOOKUP($A267,'Specs'!$A$2:$A$164,'Specs'!$D$2:$D$164,"")</x:f>
        <x:v>RIM</x:v>
      </x:c>
      <x:c r="E267" t="str">
        <x:f>XLOOKUP($A267,'Specs'!$A$2:$A$164,'Specs'!$E$2:$E$164,"")</x:f>
        <x:v>KEY LOCKS / UNLOCKS LEVER</x:v>
      </x:c>
      <x:c r="F267" t="str">
        <x:f>XLOOKUP($A267,'Specs'!$A$2:$A$164,'Specs'!$F$2:$F$164,"")</x:f>
        <x:v>STANDARD</x:v>
      </x:c>
      <x:c r="G267" t="str">
        <x:f>XLOOKUP($A267,'Specs'!$A$2:$A$164,'Specs'!$G$2:$G$164,"")</x:f>
      </x:c>
      <x:c r="H267" t="str">
        <x:f>XLOOKUP($A267,'Specs'!$A$2:$A$164,'Specs'!$H$2:$H$164,"")</x:f>
      </x:c>
      <x:c r="I267" t="str">
        <x:f>XLOOKUP($A267,'Specs'!$A$2:$A$164,'Specs'!$I$2:$I$164,"")</x:f>
      </x:c>
      <x:c r="J267" t="str">
        <x:f>XLOOKUP($A267,'Specs'!$A$2:$A$164,'Specs'!$J$2:$J$164,"")</x:f>
      </x:c>
      <x:c r="K267" t="str">
        <x:f>XLOOKUP($A267,'Specs'!$A$2:$A$164,'Specs'!$K$2:$K$164,"")</x:f>
      </x:c>
      <x:c r="L267" t="str">
        <x:f>XLOOKUP($A267,'Specs'!$A$2:$A$164,'Specs'!$L$2:$L$164,"")</x:f>
      </x:c>
      <x:c r="M267" t="n">
        <x:f>XLOOKUP($A267,'Specs'!$A$2:$A$164,'Specs'!$M$2:$M$164,"")</x:f>
        <x:v>630</x:v>
      </x:c>
      <x:c r="N267" t="str">
        <x:f>XLOOKUP($A267,'Specs'!$A$2:$A$164,'Specs'!$N$2:$N$164,"")</x:f>
      </x:c>
      <x:c r="O267" t="str">
        <x:f>XLOOKUP($A267,'Specs'!$A$2:$A$164,'Specs'!$O$2:$O$164,"")</x:f>
      </x:c>
      <x:c r="P267" t="str">
        <x:f>XLOOKUP($A267,'Specs'!$A$2:$A$164,'Specs'!$P$2:$P$164,"")</x:f>
        <x:v>HIGH</x:v>
      </x:c>
      <x:c r="Q267" s="53" t="n">
        <x:f>XLOOKUP($A267,'Specs'!$A$2:$A$164,'Specs'!$Q$2:$Q$164,"")</x:f>
        <x:v>2</x:v>
      </x:c>
      <x:c r="R267" s="53" t="n">
        <x:f>XLOOKUP($A267,'Specs'!$A$2:$A$164,'Specs'!$R$2:$R$164,"")</x:f>
        <x:v>2</x:v>
      </x:c>
      <x:c r="S267" t="str">
        <x:f>'Vendor Options'!A267</x:f>
        <x:v>OFFER-881263F3275E</x:v>
      </x:c>
      <x:c r="T267" t="str">
        <x:f>'Vendor Options'!C267</x:f>
        <x:v>PHI</x:v>
      </x:c>
      <x:c r="U267" t="str">
        <x:f>'Vendor Options'!D267</x:f>
        <x:v>ESC LEVER</x:v>
      </x:c>
      <x:c r="V267" t="str">
        <x:f>'Vendor Options'!E267</x:f>
        <x:v>4908A</x:v>
      </x:c>
      <x:c r="W267" t="n">
        <x:f>'Vendor Options'!F267</x:f>
        <x:v>0</x:v>
      </x:c>
      <x:c r="X267" t="n">
        <x:f>'Vendor Options'!G267</x:f>
        <x:v>0</x:v>
      </x:c>
      <x:c r="Y267" t="n">
        <x:f>'Vendor Options'!H267</x:f>
        <x:v>0</x:v>
      </x:c>
      <x:c r="Z267" t="str">
        <x:f>'Vendor Options'!I267</x:f>
      </x:c>
      <x:c r="AA267" s="54" t="n">
        <x:f>'Vendor Options'!J267</x:f>
        <x:v>1250</x:v>
      </x:c>
      <x:c r="AB267" t="n">
        <x:f>'Vendor Options'!K267</x:f>
        <x:v>0</x:v>
      </x:c>
      <x:c r="AC267" s="57" t="n">
        <x:f>'Vendor Options'!L267</x:f>
        <x:v>0</x:v>
      </x:c>
      <x:c r="AD267" s="57" t="n">
        <x:f>'Vendor Options'!M267</x:f>
        <x:v>0</x:v>
      </x:c>
      <x:c r="AE267" s="54" t="n">
        <x:f>'Vendor Options'!N267</x:f>
        <x:v>1250</x:v>
      </x:c>
      <x:c r="AF267" t="str">
        <x:f>'Vendor Options'!O267</x:f>
        <x:v>USD</x:v>
      </x:c>
      <x:c r="AG267" t="str">
        <x:f>'Vendor Options'!P267</x:f>
        <x:v>PRICED</x:v>
      </x:c>
      <x:c r="AH267" t="str">
        <x:f>'Vendor Options'!Q267</x:f>
        <x:v>REVIEW</x:v>
      </x:c>
      <x:c r="AI267" t="str">
        <x:f>'Vendor Options'!R267</x:f>
        <x:v>MISSING_PART_NUMBER</x:v>
      </x:c>
      <x:c r="AJ267" t="n">
        <x:f>'Vendor Options'!S267</x:f>
        <x:v>346</x:v>
      </x:c>
    </x:row>
    <x:row r="268" ht="15" hidden="0" customHeight="1">
      <x:c r="A268" t="str">
        <x:f>'Vendor Options'!B268</x:f>
        <x:v>SPEC-895F5591D942</x:v>
      </x:c>
      <x:c r="B268" t="str">
        <x:f>XLOOKUP($A268,'Specs'!$A$2:$A$164,'Specs'!$B$2:$B$164,"")</x:f>
        <x:v>PANIC TRIM</x:v>
      </x:c>
      <x:c r="C268" t="str">
        <x:f>XLOOKUP($A268,'Specs'!$A$2:$A$164,'Specs'!$C$2:$C$164,"")</x:f>
        <x:v>LEVER ESCUTCHEON TRIM</x:v>
      </x:c>
      <x:c r="D268" t="str">
        <x:f>XLOOKUP($A268,'Specs'!$A$2:$A$164,'Specs'!$D$2:$D$164,"")</x:f>
        <x:v>RIM</x:v>
      </x:c>
      <x:c r="E268" t="str">
        <x:f>XLOOKUP($A268,'Specs'!$A$2:$A$164,'Specs'!$E$2:$E$164,"")</x:f>
        <x:v>KEY RETRACTS LATCH</x:v>
      </x:c>
      <x:c r="F268" t="str">
        <x:f>XLOOKUP($A268,'Specs'!$A$2:$A$164,'Specs'!$F$2:$F$164,"")</x:f>
        <x:v>STANDARD</x:v>
      </x:c>
      <x:c r="G268" t="str">
        <x:f>XLOOKUP($A268,'Specs'!$A$2:$A$164,'Specs'!$G$2:$G$164,"")</x:f>
      </x:c>
      <x:c r="H268" t="str">
        <x:f>XLOOKUP($A268,'Specs'!$A$2:$A$164,'Specs'!$H$2:$H$164,"")</x:f>
      </x:c>
      <x:c r="I268" t="str">
        <x:f>XLOOKUP($A268,'Specs'!$A$2:$A$164,'Specs'!$I$2:$I$164,"")</x:f>
      </x:c>
      <x:c r="J268" t="str">
        <x:f>XLOOKUP($A268,'Specs'!$A$2:$A$164,'Specs'!$J$2:$J$164,"")</x:f>
      </x:c>
      <x:c r="K268" t="str">
        <x:f>XLOOKUP($A268,'Specs'!$A$2:$A$164,'Specs'!$K$2:$K$164,"")</x:f>
      </x:c>
      <x:c r="L268" t="str">
        <x:f>XLOOKUP($A268,'Specs'!$A$2:$A$164,'Specs'!$L$2:$L$164,"")</x:f>
      </x:c>
      <x:c r="M268" t="n">
        <x:f>XLOOKUP($A268,'Specs'!$A$2:$A$164,'Specs'!$M$2:$M$164,"")</x:f>
        <x:v>630</x:v>
      </x:c>
      <x:c r="N268" t="str">
        <x:f>XLOOKUP($A268,'Specs'!$A$2:$A$164,'Specs'!$N$2:$N$164,"")</x:f>
      </x:c>
      <x:c r="O268" t="str">
        <x:f>XLOOKUP($A268,'Specs'!$A$2:$A$164,'Specs'!$O$2:$O$164,"")</x:f>
      </x:c>
      <x:c r="P268" t="str">
        <x:f>XLOOKUP($A268,'Specs'!$A$2:$A$164,'Specs'!$P$2:$P$164,"")</x:f>
        <x:v>HIGH</x:v>
      </x:c>
      <x:c r="Q268" s="53" t="n">
        <x:f>XLOOKUP($A268,'Specs'!$A$2:$A$164,'Specs'!$Q$2:$Q$164,"")</x:f>
        <x:v>2</x:v>
      </x:c>
      <x:c r="R268" s="53" t="n">
        <x:f>XLOOKUP($A268,'Specs'!$A$2:$A$164,'Specs'!$R$2:$R$164,"")</x:f>
        <x:v>2</x:v>
      </x:c>
      <x:c r="S268" t="str">
        <x:f>'Vendor Options'!A268</x:f>
        <x:v>OFFER-44440FEDE09D</x:v>
      </x:c>
      <x:c r="T268" t="str">
        <x:f>'Vendor Options'!C268</x:f>
        <x:v>DK</x:v>
      </x:c>
      <x:c r="U268" t="str">
        <x:f>'Vendor Options'!D268</x:f>
        <x:v>ESC LEVER</x:v>
      </x:c>
      <x:c r="V268" t="str">
        <x:f>'Vendor Options'!E268</x:f>
        <x:v>YR03: NIGHT LATCH</x:v>
      </x:c>
      <x:c r="W268" t="n">
        <x:f>'Vendor Options'!F268</x:f>
        <x:v>0</x:v>
      </x:c>
      <x:c r="X268" t="n">
        <x:f>'Vendor Options'!G268</x:f>
        <x:v>0</x:v>
      </x:c>
      <x:c r="Y268" t="n">
        <x:f>'Vendor Options'!H268</x:f>
        <x:v>0</x:v>
      </x:c>
      <x:c r="Z268" t="str">
        <x:f>'Vendor Options'!I268</x:f>
      </x:c>
      <x:c r="AA268" s="54" t="n">
        <x:f>'Vendor Options'!J268</x:f>
        <x:v>733</x:v>
      </x:c>
      <x:c r="AB268" t="n">
        <x:f>'Vendor Options'!K268</x:f>
        <x:v>0</x:v>
      </x:c>
      <x:c r="AC268" s="57" t="n">
        <x:f>'Vendor Options'!L268</x:f>
        <x:v>0</x:v>
      </x:c>
      <x:c r="AD268" s="57" t="n">
        <x:f>'Vendor Options'!M268</x:f>
        <x:v>0</x:v>
      </x:c>
      <x:c r="AE268" s="54" t="n">
        <x:f>'Vendor Options'!N268</x:f>
        <x:v>733</x:v>
      </x:c>
      <x:c r="AF268" t="str">
        <x:f>'Vendor Options'!O268</x:f>
        <x:v>USD</x:v>
      </x:c>
      <x:c r="AG268" t="str">
        <x:f>'Vendor Options'!P268</x:f>
        <x:v>PRICED</x:v>
      </x:c>
      <x:c r="AH268" t="str">
        <x:f>'Vendor Options'!Q268</x:f>
        <x:v>REVIEW</x:v>
      </x:c>
      <x:c r="AI268" t="str">
        <x:f>'Vendor Options'!R268</x:f>
        <x:v>MISSING_PART_NUMBER</x:v>
      </x:c>
      <x:c r="AJ268" t="n">
        <x:f>'Vendor Options'!S268</x:f>
        <x:v>331</x:v>
      </x:c>
    </x:row>
    <x:row r="269" ht="15" hidden="0" customHeight="1">
      <x:c r="A269" t="str">
        <x:f>'Vendor Options'!B269</x:f>
        <x:v>SPEC-895F5591D942</x:v>
      </x:c>
      <x:c r="B269" t="str">
        <x:f>XLOOKUP($A269,'Specs'!$A$2:$A$164,'Specs'!$B$2:$B$164,"")</x:f>
        <x:v>PANIC TRIM</x:v>
      </x:c>
      <x:c r="C269" t="str">
        <x:f>XLOOKUP($A269,'Specs'!$A$2:$A$164,'Specs'!$C$2:$C$164,"")</x:f>
        <x:v>LEVER ESCUTCHEON TRIM</x:v>
      </x:c>
      <x:c r="D269" t="str">
        <x:f>XLOOKUP($A269,'Specs'!$A$2:$A$164,'Specs'!$D$2:$D$164,"")</x:f>
        <x:v>RIM</x:v>
      </x:c>
      <x:c r="E269" t="str">
        <x:f>XLOOKUP($A269,'Specs'!$A$2:$A$164,'Specs'!$E$2:$E$164,"")</x:f>
        <x:v>KEY RETRACTS LATCH</x:v>
      </x:c>
      <x:c r="F269" t="str">
        <x:f>XLOOKUP($A269,'Specs'!$A$2:$A$164,'Specs'!$F$2:$F$164,"")</x:f>
        <x:v>STANDARD</x:v>
      </x:c>
      <x:c r="G269" t="str">
        <x:f>XLOOKUP($A269,'Specs'!$A$2:$A$164,'Specs'!$G$2:$G$164,"")</x:f>
      </x:c>
      <x:c r="H269" t="str">
        <x:f>XLOOKUP($A269,'Specs'!$A$2:$A$164,'Specs'!$H$2:$H$164,"")</x:f>
      </x:c>
      <x:c r="I269" t="str">
        <x:f>XLOOKUP($A269,'Specs'!$A$2:$A$164,'Specs'!$I$2:$I$164,"")</x:f>
      </x:c>
      <x:c r="J269" t="str">
        <x:f>XLOOKUP($A269,'Specs'!$A$2:$A$164,'Specs'!$J$2:$J$164,"")</x:f>
      </x:c>
      <x:c r="K269" t="str">
        <x:f>XLOOKUP($A269,'Specs'!$A$2:$A$164,'Specs'!$K$2:$K$164,"")</x:f>
      </x:c>
      <x:c r="L269" t="str">
        <x:f>XLOOKUP($A269,'Specs'!$A$2:$A$164,'Specs'!$L$2:$L$164,"")</x:f>
      </x:c>
      <x:c r="M269" t="n">
        <x:f>XLOOKUP($A269,'Specs'!$A$2:$A$164,'Specs'!$M$2:$M$164,"")</x:f>
        <x:v>630</x:v>
      </x:c>
      <x:c r="N269" t="str">
        <x:f>XLOOKUP($A269,'Specs'!$A$2:$A$164,'Specs'!$N$2:$N$164,"")</x:f>
      </x:c>
      <x:c r="O269" t="str">
        <x:f>XLOOKUP($A269,'Specs'!$A$2:$A$164,'Specs'!$O$2:$O$164,"")</x:f>
      </x:c>
      <x:c r="P269" t="str">
        <x:f>XLOOKUP($A269,'Specs'!$A$2:$A$164,'Specs'!$P$2:$P$164,"")</x:f>
        <x:v>HIGH</x:v>
      </x:c>
      <x:c r="Q269" s="53" t="n">
        <x:f>XLOOKUP($A269,'Specs'!$A$2:$A$164,'Specs'!$Q$2:$Q$164,"")</x:f>
        <x:v>2</x:v>
      </x:c>
      <x:c r="R269" s="53" t="n">
        <x:f>XLOOKUP($A269,'Specs'!$A$2:$A$164,'Specs'!$R$2:$R$164,"")</x:f>
        <x:v>2</x:v>
      </x:c>
      <x:c r="S269" t="str">
        <x:f>'Vendor Options'!A269</x:f>
        <x:v>OFFER-6C522B2394D3</x:v>
      </x:c>
      <x:c r="T269" t="str">
        <x:f>'Vendor Options'!C269</x:f>
        <x:v>PHI</x:v>
      </x:c>
      <x:c r="U269" t="str">
        <x:f>'Vendor Options'!D269</x:f>
        <x:v>ESC LEVER</x:v>
      </x:c>
      <x:c r="V269" t="str">
        <x:f>'Vendor Options'!E269</x:f>
        <x:v>4903A</x:v>
      </x:c>
      <x:c r="W269" t="n">
        <x:f>'Vendor Options'!F269</x:f>
        <x:v>0</x:v>
      </x:c>
      <x:c r="X269" t="n">
        <x:f>'Vendor Options'!G269</x:f>
        <x:v>0</x:v>
      </x:c>
      <x:c r="Y269" t="n">
        <x:f>'Vendor Options'!H269</x:f>
        <x:v>0</x:v>
      </x:c>
      <x:c r="Z269" t="str">
        <x:f>'Vendor Options'!I269</x:f>
      </x:c>
      <x:c r="AA269" s="54" t="n">
        <x:f>'Vendor Options'!J269</x:f>
        <x:v>1250</x:v>
      </x:c>
      <x:c r="AB269" t="n">
        <x:f>'Vendor Options'!K269</x:f>
        <x:v>0</x:v>
      </x:c>
      <x:c r="AC269" s="57" t="n">
        <x:f>'Vendor Options'!L269</x:f>
        <x:v>0</x:v>
      </x:c>
      <x:c r="AD269" s="57" t="n">
        <x:f>'Vendor Options'!M269</x:f>
        <x:v>0</x:v>
      </x:c>
      <x:c r="AE269" s="54" t="n">
        <x:f>'Vendor Options'!N269</x:f>
        <x:v>1250</x:v>
      </x:c>
      <x:c r="AF269" t="str">
        <x:f>'Vendor Options'!O269</x:f>
        <x:v>USD</x:v>
      </x:c>
      <x:c r="AG269" t="str">
        <x:f>'Vendor Options'!P269</x:f>
        <x:v>PRICED</x:v>
      </x:c>
      <x:c r="AH269" t="str">
        <x:f>'Vendor Options'!Q269</x:f>
        <x:v>REVIEW</x:v>
      </x:c>
      <x:c r="AI269" t="str">
        <x:f>'Vendor Options'!R269</x:f>
        <x:v>MISSING_PART_NUMBER</x:v>
      </x:c>
      <x:c r="AJ269" t="n">
        <x:f>'Vendor Options'!S269</x:f>
        <x:v>345</x:v>
      </x:c>
    </x:row>
    <x:row r="270" ht="15" hidden="0" customHeight="1">
      <x:c r="A270" t="str">
        <x:f>'Vendor Options'!B270</x:f>
        <x:v>SPEC-AAC9EDB8AAE5</x:v>
      </x:c>
      <x:c r="B270" t="str">
        <x:f>XLOOKUP($A270,'Specs'!$A$2:$A$164,'Specs'!$B$2:$B$164,"")</x:f>
        <x:v>PANIC TRIM</x:v>
      </x:c>
      <x:c r="C270" t="str">
        <x:f>XLOOKUP($A270,'Specs'!$A$2:$A$164,'Specs'!$C$2:$C$164,"")</x:f>
        <x:v>PULL TRIM WITH CYLINDER</x:v>
      </x:c>
      <x:c r="D270" t="str">
        <x:f>XLOOKUP($A270,'Specs'!$A$2:$A$164,'Specs'!$D$2:$D$164,"")</x:f>
        <x:v>MORTISE</x:v>
      </x:c>
      <x:c r="E270" t="str">
        <x:f>XLOOKUP($A270,'Specs'!$A$2:$A$164,'Specs'!$E$2:$E$164,"")</x:f>
        <x:v>KEY RETRACTS LATCH</x:v>
      </x:c>
      <x:c r="F270" t="str">
        <x:f>XLOOKUP($A270,'Specs'!$A$2:$A$164,'Specs'!$F$2:$F$164,"")</x:f>
        <x:v>STANDARD</x:v>
      </x:c>
      <x:c r="G270" t="str">
        <x:f>XLOOKUP($A270,'Specs'!$A$2:$A$164,'Specs'!$G$2:$G$164,"")</x:f>
      </x:c>
      <x:c r="H270" t="str">
        <x:f>XLOOKUP($A270,'Specs'!$A$2:$A$164,'Specs'!$H$2:$H$164,"")</x:f>
      </x:c>
      <x:c r="I270" t="str">
        <x:f>XLOOKUP($A270,'Specs'!$A$2:$A$164,'Specs'!$I$2:$I$164,"")</x:f>
      </x:c>
      <x:c r="J270" t="str">
        <x:f>XLOOKUP($A270,'Specs'!$A$2:$A$164,'Specs'!$J$2:$J$164,"")</x:f>
      </x:c>
      <x:c r="K270" t="str">
        <x:f>XLOOKUP($A270,'Specs'!$A$2:$A$164,'Specs'!$K$2:$K$164,"")</x:f>
      </x:c>
      <x:c r="L270" t="str">
        <x:f>XLOOKUP($A270,'Specs'!$A$2:$A$164,'Specs'!$L$2:$L$164,"")</x:f>
      </x:c>
      <x:c r="M270" t="n">
        <x:f>XLOOKUP($A270,'Specs'!$A$2:$A$164,'Specs'!$M$2:$M$164,"")</x:f>
        <x:v>630</x:v>
      </x:c>
      <x:c r="N270" t="str">
        <x:f>XLOOKUP($A270,'Specs'!$A$2:$A$164,'Specs'!$N$2:$N$164,"")</x:f>
      </x:c>
      <x:c r="O270" t="str">
        <x:f>XLOOKUP($A270,'Specs'!$A$2:$A$164,'Specs'!$O$2:$O$164,"")</x:f>
      </x:c>
      <x:c r="P270" t="str">
        <x:f>XLOOKUP($A270,'Specs'!$A$2:$A$164,'Specs'!$P$2:$P$164,"")</x:f>
        <x:v>HIGH</x:v>
      </x:c>
      <x:c r="Q270" s="53" t="n">
        <x:f>XLOOKUP($A270,'Specs'!$A$2:$A$164,'Specs'!$Q$2:$Q$164,"")</x:f>
        <x:v>2</x:v>
      </x:c>
      <x:c r="R270" s="53" t="n">
        <x:f>XLOOKUP($A270,'Specs'!$A$2:$A$164,'Specs'!$R$2:$R$164,"")</x:f>
        <x:v>2</x:v>
      </x:c>
      <x:c r="S270" t="str">
        <x:f>'Vendor Options'!A270</x:f>
        <x:v>OFFER-09513B79A176</x:v>
      </x:c>
      <x:c r="T270" t="str">
        <x:f>'Vendor Options'!C270</x:f>
        <x:v>DK</x:v>
      </x:c>
      <x:c r="U270" t="str">
        <x:f>'Vendor Options'!D270</x:f>
        <x:v>PULL TRIM CYLINDER</x:v>
      </x:c>
      <x:c r="V270" t="str">
        <x:f>'Vendor Options'!E270</x:f>
        <x:v>PRT03M</x:v>
      </x:c>
      <x:c r="W270" t="n">
        <x:f>'Vendor Options'!F270</x:f>
        <x:v>0</x:v>
      </x:c>
      <x:c r="X270" t="n">
        <x:f>'Vendor Options'!G270</x:f>
        <x:v>0</x:v>
      </x:c>
      <x:c r="Y270" t="n">
        <x:f>'Vendor Options'!H270</x:f>
        <x:v>0</x:v>
      </x:c>
      <x:c r="Z270" t="str">
        <x:f>'Vendor Options'!I270</x:f>
      </x:c>
      <x:c r="AA270" s="54" t="n">
        <x:f>'Vendor Options'!J270</x:f>
        <x:v>467</x:v>
      </x:c>
      <x:c r="AB270" t="n">
        <x:f>'Vendor Options'!K270</x:f>
        <x:v>0</x:v>
      </x:c>
      <x:c r="AC270" s="57" t="n">
        <x:f>'Vendor Options'!L270</x:f>
        <x:v>0</x:v>
      </x:c>
      <x:c r="AD270" s="57" t="n">
        <x:f>'Vendor Options'!M270</x:f>
        <x:v>0</x:v>
      </x:c>
      <x:c r="AE270" s="54" t="n">
        <x:f>'Vendor Options'!N270</x:f>
        <x:v>467</x:v>
      </x:c>
      <x:c r="AF270" t="str">
        <x:f>'Vendor Options'!O270</x:f>
        <x:v>USD</x:v>
      </x:c>
      <x:c r="AG270" t="str">
        <x:f>'Vendor Options'!P270</x:f>
        <x:v>PRICED</x:v>
      </x:c>
      <x:c r="AH270" t="str">
        <x:f>'Vendor Options'!Q270</x:f>
        <x:v>REVIEW</x:v>
      </x:c>
      <x:c r="AI270" t="str">
        <x:f>'Vendor Options'!R270</x:f>
        <x:v>MISSING_PART_NUMBER</x:v>
      </x:c>
      <x:c r="AJ270" t="n">
        <x:f>'Vendor Options'!S270</x:f>
        <x:v>237</x:v>
      </x:c>
    </x:row>
    <x:row r="271" ht="15" hidden="0" customHeight="1">
      <x:c r="A271" t="str">
        <x:f>'Vendor Options'!B271</x:f>
        <x:v>SPEC-AAC9EDB8AAE5</x:v>
      </x:c>
      <x:c r="B271" t="str">
        <x:f>XLOOKUP($A271,'Specs'!$A$2:$A$164,'Specs'!$B$2:$B$164,"")</x:f>
        <x:v>PANIC TRIM</x:v>
      </x:c>
      <x:c r="C271" t="str">
        <x:f>XLOOKUP($A271,'Specs'!$A$2:$A$164,'Specs'!$C$2:$C$164,"")</x:f>
        <x:v>PULL TRIM WITH CYLINDER</x:v>
      </x:c>
      <x:c r="D271" t="str">
        <x:f>XLOOKUP($A271,'Specs'!$A$2:$A$164,'Specs'!$D$2:$D$164,"")</x:f>
        <x:v>MORTISE</x:v>
      </x:c>
      <x:c r="E271" t="str">
        <x:f>XLOOKUP($A271,'Specs'!$A$2:$A$164,'Specs'!$E$2:$E$164,"")</x:f>
        <x:v>KEY RETRACTS LATCH</x:v>
      </x:c>
      <x:c r="F271" t="str">
        <x:f>XLOOKUP($A271,'Specs'!$A$2:$A$164,'Specs'!$F$2:$F$164,"")</x:f>
        <x:v>STANDARD</x:v>
      </x:c>
      <x:c r="G271" t="str">
        <x:f>XLOOKUP($A271,'Specs'!$A$2:$A$164,'Specs'!$G$2:$G$164,"")</x:f>
      </x:c>
      <x:c r="H271" t="str">
        <x:f>XLOOKUP($A271,'Specs'!$A$2:$A$164,'Specs'!$H$2:$H$164,"")</x:f>
      </x:c>
      <x:c r="I271" t="str">
        <x:f>XLOOKUP($A271,'Specs'!$A$2:$A$164,'Specs'!$I$2:$I$164,"")</x:f>
      </x:c>
      <x:c r="J271" t="str">
        <x:f>XLOOKUP($A271,'Specs'!$A$2:$A$164,'Specs'!$J$2:$J$164,"")</x:f>
      </x:c>
      <x:c r="K271" t="str">
        <x:f>XLOOKUP($A271,'Specs'!$A$2:$A$164,'Specs'!$K$2:$K$164,"")</x:f>
      </x:c>
      <x:c r="L271" t="str">
        <x:f>XLOOKUP($A271,'Specs'!$A$2:$A$164,'Specs'!$L$2:$L$164,"")</x:f>
      </x:c>
      <x:c r="M271" t="n">
        <x:f>XLOOKUP($A271,'Specs'!$A$2:$A$164,'Specs'!$M$2:$M$164,"")</x:f>
        <x:v>630</x:v>
      </x:c>
      <x:c r="N271" t="str">
        <x:f>XLOOKUP($A271,'Specs'!$A$2:$A$164,'Specs'!$N$2:$N$164,"")</x:f>
      </x:c>
      <x:c r="O271" t="str">
        <x:f>XLOOKUP($A271,'Specs'!$A$2:$A$164,'Specs'!$O$2:$O$164,"")</x:f>
      </x:c>
      <x:c r="P271" t="str">
        <x:f>XLOOKUP($A271,'Specs'!$A$2:$A$164,'Specs'!$P$2:$P$164,"")</x:f>
        <x:v>HIGH</x:v>
      </x:c>
      <x:c r="Q271" s="53" t="n">
        <x:f>XLOOKUP($A271,'Specs'!$A$2:$A$164,'Specs'!$Q$2:$Q$164,"")</x:f>
        <x:v>2</x:v>
      </x:c>
      <x:c r="R271" s="53" t="n">
        <x:f>XLOOKUP($A271,'Specs'!$A$2:$A$164,'Specs'!$R$2:$R$164,"")</x:f>
        <x:v>2</x:v>
      </x:c>
      <x:c r="S271" t="str">
        <x:f>'Vendor Options'!A271</x:f>
        <x:v>OFFER-481DE3A545B7</x:v>
      </x:c>
      <x:c r="T271" t="str">
        <x:f>'Vendor Options'!C271</x:f>
        <x:v>PHI</x:v>
      </x:c>
      <x:c r="U271" t="str">
        <x:f>'Vendor Options'!D271</x:f>
        <x:v>PULL TRIM CYLINDER</x:v>
      </x:c>
      <x:c r="V271" t="str">
        <x:f>'Vendor Options'!E271</x:f>
        <x:v>1703A</x:v>
      </x:c>
      <x:c r="W271" t="str">
        <x:f>'Vendor Options'!F271</x:f>
      </x:c>
      <x:c r="X271" t="str">
        <x:f>'Vendor Options'!G271</x:f>
      </x:c>
      <x:c r="Y271" t="n">
        <x:f>'Vendor Options'!H271</x:f>
        <x:v>0</x:v>
      </x:c>
      <x:c r="Z271" t="str">
        <x:f>'Vendor Options'!I271</x:f>
      </x:c>
      <x:c r="AA271" s="54" t="n">
        <x:f>'Vendor Options'!J271</x:f>
        <x:v>1000</x:v>
      </x:c>
      <x:c r="AB271" t="n">
        <x:f>'Vendor Options'!K271</x:f>
        <x:v>0</x:v>
      </x:c>
      <x:c r="AC271" s="57" t="n">
        <x:f>'Vendor Options'!L271</x:f>
        <x:v>0</x:v>
      </x:c>
      <x:c r="AD271" s="57" t="n">
        <x:f>'Vendor Options'!M271</x:f>
        <x:v>0</x:v>
      </x:c>
      <x:c r="AE271" s="54" t="n">
        <x:f>'Vendor Options'!N271</x:f>
        <x:v>1000</x:v>
      </x:c>
      <x:c r="AF271" t="str">
        <x:f>'Vendor Options'!O271</x:f>
        <x:v>USD</x:v>
      </x:c>
      <x:c r="AG271" t="str">
        <x:f>'Vendor Options'!P271</x:f>
        <x:v>PRICED</x:v>
      </x:c>
      <x:c r="AH271" t="str">
        <x:f>'Vendor Options'!Q271</x:f>
        <x:v>REVIEW</x:v>
      </x:c>
      <x:c r="AI271" t="str">
        <x:f>'Vendor Options'!R271</x:f>
        <x:v>MISSING_PART_NUMBER</x:v>
      </x:c>
      <x:c r="AJ271" t="n">
        <x:f>'Vendor Options'!S271</x:f>
        <x:v>252</x:v>
      </x:c>
    </x:row>
    <x:row r="272" ht="15" hidden="0" customHeight="1">
      <x:c r="A272" t="str">
        <x:f>'Vendor Options'!B272</x:f>
        <x:v>SPEC-09F181C9FAEA</x:v>
      </x:c>
      <x:c r="B272" t="str">
        <x:f>XLOOKUP($A272,'Specs'!$A$2:$A$164,'Specs'!$B$2:$B$164,"")</x:f>
        <x:v>PANIC TRIM</x:v>
      </x:c>
      <x:c r="C272" t="str">
        <x:f>XLOOKUP($A272,'Specs'!$A$2:$A$164,'Specs'!$C$2:$C$164,"")</x:f>
        <x:v>PULL TRIM WITH CYLINDER</x:v>
      </x:c>
      <x:c r="D272" t="str">
        <x:f>XLOOKUP($A272,'Specs'!$A$2:$A$164,'Specs'!$D$2:$D$164,"")</x:f>
        <x:v>RIM</x:v>
      </x:c>
      <x:c r="E272" t="str">
        <x:f>XLOOKUP($A272,'Specs'!$A$2:$A$164,'Specs'!$E$2:$E$164,"")</x:f>
      </x:c>
      <x:c r="F272" t="str">
        <x:f>XLOOKUP($A272,'Specs'!$A$2:$A$164,'Specs'!$F$2:$F$164,"")</x:f>
        <x:v>SFIC</x:v>
      </x:c>
      <x:c r="G272" t="str">
        <x:f>XLOOKUP($A272,'Specs'!$A$2:$A$164,'Specs'!$G$2:$G$164,"")</x:f>
      </x:c>
      <x:c r="H272" t="str">
        <x:f>XLOOKUP($A272,'Specs'!$A$2:$A$164,'Specs'!$H$2:$H$164,"")</x:f>
      </x:c>
      <x:c r="I272" t="str">
        <x:f>XLOOKUP($A272,'Specs'!$A$2:$A$164,'Specs'!$I$2:$I$164,"")</x:f>
      </x:c>
      <x:c r="J272" t="str">
        <x:f>XLOOKUP($A272,'Specs'!$A$2:$A$164,'Specs'!$J$2:$J$164,"")</x:f>
      </x:c>
      <x:c r="K272" t="str">
        <x:f>XLOOKUP($A272,'Specs'!$A$2:$A$164,'Specs'!$K$2:$K$164,"")</x:f>
      </x:c>
      <x:c r="L272" t="str">
        <x:f>XLOOKUP($A272,'Specs'!$A$2:$A$164,'Specs'!$L$2:$L$164,"")</x:f>
      </x:c>
      <x:c r="M272" t="n">
        <x:f>XLOOKUP($A272,'Specs'!$A$2:$A$164,'Specs'!$M$2:$M$164,"")</x:f>
        <x:v>316</x:v>
      </x:c>
      <x:c r="N272" t="str">
        <x:f>XLOOKUP($A272,'Specs'!$A$2:$A$164,'Specs'!$N$2:$N$164,"")</x:f>
      </x:c>
      <x:c r="O272" t="str">
        <x:f>XLOOKUP($A272,'Specs'!$A$2:$A$164,'Specs'!$O$2:$O$164,"")</x:f>
      </x:c>
      <x:c r="P272" t="str">
        <x:f>XLOOKUP($A272,'Specs'!$A$2:$A$164,'Specs'!$P$2:$P$164,"")</x:f>
        <x:v>MEDIUM</x:v>
      </x:c>
      <x:c r="Q272" s="53" t="n">
        <x:f>XLOOKUP($A272,'Specs'!$A$2:$A$164,'Specs'!$Q$2:$Q$164,"")</x:f>
        <x:v>1</x:v>
      </x:c>
      <x:c r="R272" s="53" t="n">
        <x:f>XLOOKUP($A272,'Specs'!$A$2:$A$164,'Specs'!$R$2:$R$164,"")</x:f>
        <x:v>1</x:v>
      </x:c>
      <x:c r="S272" t="str">
        <x:f>'Vendor Options'!A272</x:f>
        <x:v>OFFER-2694FBF95269</x:v>
      </x:c>
      <x:c r="T272" t="str">
        <x:f>'Vendor Options'!C272</x:f>
        <x:v>DH</x:v>
      </x:c>
      <x:c r="U272" t="str">
        <x:f>'Vendor Options'!D272</x:f>
        <x:v>SFIC CYLINDER 1.250"</x:v>
      </x:c>
      <x:c r="V272" t="str">
        <x:f>'Vendor Options'!E272</x:f>
        <x:v>1000/2000 SFIC</x:v>
      </x:c>
      <x:c r="W272" t="str">
        <x:f>'Vendor Options'!F272</x:f>
      </x:c>
      <x:c r="X272" t="str">
        <x:f>'Vendor Options'!G272</x:f>
        <x:v>78002706</x:v>
      </x:c>
      <x:c r="Y272" t="str">
        <x:f>'Vendor Options'!H272</x:f>
        <x:v>78002706 - LE-08 Flat Entry Lever Escutcheon (includes 1 1/8" Mort Cyl.)</x:v>
      </x:c>
      <x:c r="Z272" t="str">
        <x:f>'Vendor Options'!I272</x:f>
      </x:c>
      <x:c r="AA272" s="54" t="n">
        <x:f>'Vendor Options'!J272</x:f>
        <x:v>466.9</x:v>
      </x:c>
      <x:c r="AB272" t="n">
        <x:f>'Vendor Options'!K272</x:f>
        <x:v>0</x:v>
      </x:c>
      <x:c r="AC272" s="57" t="n">
        <x:f>'Vendor Options'!L272</x:f>
        <x:v>0</x:v>
      </x:c>
      <x:c r="AD272" s="57" t="n">
        <x:f>'Vendor Options'!M272</x:f>
        <x:v>0</x:v>
      </x:c>
      <x:c r="AE272" s="54" t="n">
        <x:f>'Vendor Options'!N272</x:f>
        <x:v>466.9</x:v>
      </x:c>
      <x:c r="AF272" t="str">
        <x:f>'Vendor Options'!O272</x:f>
        <x:v>USD</x:v>
      </x:c>
      <x:c r="AG272" t="str">
        <x:f>'Vendor Options'!P272</x:f>
        <x:v>PRICED</x:v>
      </x:c>
      <x:c r="AH272" t="str">
        <x:f>'Vendor Options'!Q272</x:f>
        <x:v>ACTIVE</x:v>
      </x:c>
      <x:c r="AI272" t="str">
        <x:f>'Vendor Options'!R272</x:f>
      </x:c>
      <x:c r="AJ272" t="n">
        <x:f>'Vendor Options'!S272</x:f>
        <x:v>297</x:v>
      </x:c>
    </x:row>
    <x:row r="273" ht="15" hidden="0" customHeight="1">
      <x:c r="A273" t="str">
        <x:f>'Vendor Options'!B273</x:f>
        <x:v>SPEC-B1360CC941DC</x:v>
      </x:c>
      <x:c r="B273" t="str">
        <x:f>XLOOKUP($A273,'Specs'!$A$2:$A$164,'Specs'!$B$2:$B$164,"")</x:f>
        <x:v>PANIC TRIM</x:v>
      </x:c>
      <x:c r="C273" t="str">
        <x:f>XLOOKUP($A273,'Specs'!$A$2:$A$164,'Specs'!$C$2:$C$164,"")</x:f>
        <x:v>PULL TRIM WITH CYLINDER</x:v>
      </x:c>
      <x:c r="D273" t="str">
        <x:f>XLOOKUP($A273,'Specs'!$A$2:$A$164,'Specs'!$D$2:$D$164,"")</x:f>
        <x:v>RIM</x:v>
      </x:c>
      <x:c r="E273" t="str">
        <x:f>XLOOKUP($A273,'Specs'!$A$2:$A$164,'Specs'!$E$2:$E$164,"")</x:f>
      </x:c>
      <x:c r="F273" t="str">
        <x:f>XLOOKUP($A273,'Specs'!$A$2:$A$164,'Specs'!$F$2:$F$164,"")</x:f>
        <x:v>STANDARD</x:v>
      </x:c>
      <x:c r="G273" t="str">
        <x:f>XLOOKUP($A273,'Specs'!$A$2:$A$164,'Specs'!$G$2:$G$164,"")</x:f>
      </x:c>
      <x:c r="H273" t="str">
        <x:f>XLOOKUP($A273,'Specs'!$A$2:$A$164,'Specs'!$H$2:$H$164,"")</x:f>
      </x:c>
      <x:c r="I273" t="str">
        <x:f>XLOOKUP($A273,'Specs'!$A$2:$A$164,'Specs'!$I$2:$I$164,"")</x:f>
      </x:c>
      <x:c r="J273" t="str">
        <x:f>XLOOKUP($A273,'Specs'!$A$2:$A$164,'Specs'!$J$2:$J$164,"")</x:f>
      </x:c>
      <x:c r="K273" t="str">
        <x:f>XLOOKUP($A273,'Specs'!$A$2:$A$164,'Specs'!$K$2:$K$164,"")</x:f>
      </x:c>
      <x:c r="L273" t="str">
        <x:f>XLOOKUP($A273,'Specs'!$A$2:$A$164,'Specs'!$L$2:$L$164,"")</x:f>
      </x:c>
      <x:c r="M273" t="n">
        <x:f>XLOOKUP($A273,'Specs'!$A$2:$A$164,'Specs'!$M$2:$M$164,"")</x:f>
        <x:v>630</x:v>
      </x:c>
      <x:c r="N273" t="str">
        <x:f>XLOOKUP($A273,'Specs'!$A$2:$A$164,'Specs'!$N$2:$N$164,"")</x:f>
      </x:c>
      <x:c r="O273" t="str">
        <x:f>XLOOKUP($A273,'Specs'!$A$2:$A$164,'Specs'!$O$2:$O$164,"")</x:f>
      </x:c>
      <x:c r="P273" t="str">
        <x:f>XLOOKUP($A273,'Specs'!$A$2:$A$164,'Specs'!$P$2:$P$164,"")</x:f>
        <x:v>MEDIUM</x:v>
      </x:c>
      <x:c r="Q273" s="53" t="n">
        <x:f>XLOOKUP($A273,'Specs'!$A$2:$A$164,'Specs'!$Q$2:$Q$164,"")</x:f>
        <x:v>2</x:v>
      </x:c>
      <x:c r="R273" s="53" t="n">
        <x:f>XLOOKUP($A273,'Specs'!$A$2:$A$164,'Specs'!$R$2:$R$164,"")</x:f>
        <x:v>1</x:v>
      </x:c>
      <x:c r="S273" t="str">
        <x:f>'Vendor Options'!A273</x:f>
        <x:v>OFFER-0DB8182F75F8</x:v>
      </x:c>
      <x:c r="T273" t="str">
        <x:f>'Vendor Options'!C273</x:f>
        <x:v>DH</x:v>
      </x:c>
      <x:c r="U273" t="str">
        <x:f>'Vendor Options'!D273</x:f>
        <x:v>P-TRIM NO THUMB OR CYLINDER</x:v>
      </x:c>
      <x:c r="V273" t="str">
        <x:f>'Vendor Options'!E273</x:f>
        <x:v>1000/2000 PULL TRIM</x:v>
      </x:c>
      <x:c r="W273" t="str">
        <x:f>'Vendor Options'!F273</x:f>
      </x:c>
      <x:c r="X273" t="str">
        <x:f>'Vendor Options'!G273</x:f>
        <x:v>78002407</x:v>
      </x:c>
      <x:c r="Y273" t="str">
        <x:f>'Vendor Options'!H273</x:f>
        <x:v>78002407 - 2P-03NL Pull Trim with Cylinder Hole (Rim Cyl. NOT included)</x:v>
      </x:c>
      <x:c r="Z273" t="str">
        <x:f>'Vendor Options'!I273</x:f>
      </x:c>
      <x:c r="AA273" s="54" t="n">
        <x:f>'Vendor Options'!J273</x:f>
        <x:v>136.65</x:v>
      </x:c>
      <x:c r="AB273" t="n">
        <x:f>'Vendor Options'!K273</x:f>
        <x:v>0</x:v>
      </x:c>
      <x:c r="AC273" s="57" t="n">
        <x:f>'Vendor Options'!L273</x:f>
        <x:v>0</x:v>
      </x:c>
      <x:c r="AD273" s="57" t="n">
        <x:f>'Vendor Options'!M273</x:f>
        <x:v>0</x:v>
      </x:c>
      <x:c r="AE273" s="54" t="n">
        <x:f>'Vendor Options'!N273</x:f>
        <x:v>136.65</x:v>
      </x:c>
      <x:c r="AF273" t="str">
        <x:f>'Vendor Options'!O273</x:f>
        <x:v>USD</x:v>
      </x:c>
      <x:c r="AG273" t="str">
        <x:f>'Vendor Options'!P273</x:f>
        <x:v>PRICED</x:v>
      </x:c>
      <x:c r="AH273" t="str">
        <x:f>'Vendor Options'!Q273</x:f>
        <x:v>ACTIVE</x:v>
      </x:c>
      <x:c r="AI273" t="str">
        <x:f>'Vendor Options'!R273</x:f>
      </x:c>
      <x:c r="AJ273" t="n">
        <x:f>'Vendor Options'!S273</x:f>
        <x:v>295</x:v>
      </x:c>
    </x:row>
    <x:row r="274" ht="15" hidden="0" customHeight="1">
      <x:c r="A274" t="str">
        <x:f>'Vendor Options'!B274</x:f>
        <x:v>SPEC-B1360CC941DC</x:v>
      </x:c>
      <x:c r="B274" t="str">
        <x:f>XLOOKUP($A274,'Specs'!$A$2:$A$164,'Specs'!$B$2:$B$164,"")</x:f>
        <x:v>PANIC TRIM</x:v>
      </x:c>
      <x:c r="C274" t="str">
        <x:f>XLOOKUP($A274,'Specs'!$A$2:$A$164,'Specs'!$C$2:$C$164,"")</x:f>
        <x:v>PULL TRIM WITH CYLINDER</x:v>
      </x:c>
      <x:c r="D274" t="str">
        <x:f>XLOOKUP($A274,'Specs'!$A$2:$A$164,'Specs'!$D$2:$D$164,"")</x:f>
        <x:v>RIM</x:v>
      </x:c>
      <x:c r="E274" t="str">
        <x:f>XLOOKUP($A274,'Specs'!$A$2:$A$164,'Specs'!$E$2:$E$164,"")</x:f>
      </x:c>
      <x:c r="F274" t="str">
        <x:f>XLOOKUP($A274,'Specs'!$A$2:$A$164,'Specs'!$F$2:$F$164,"")</x:f>
        <x:v>STANDARD</x:v>
      </x:c>
      <x:c r="G274" t="str">
        <x:f>XLOOKUP($A274,'Specs'!$A$2:$A$164,'Specs'!$G$2:$G$164,"")</x:f>
      </x:c>
      <x:c r="H274" t="str">
        <x:f>XLOOKUP($A274,'Specs'!$A$2:$A$164,'Specs'!$H$2:$H$164,"")</x:f>
      </x:c>
      <x:c r="I274" t="str">
        <x:f>XLOOKUP($A274,'Specs'!$A$2:$A$164,'Specs'!$I$2:$I$164,"")</x:f>
      </x:c>
      <x:c r="J274" t="str">
        <x:f>XLOOKUP($A274,'Specs'!$A$2:$A$164,'Specs'!$J$2:$J$164,"")</x:f>
      </x:c>
      <x:c r="K274" t="str">
        <x:f>XLOOKUP($A274,'Specs'!$A$2:$A$164,'Specs'!$K$2:$K$164,"")</x:f>
      </x:c>
      <x:c r="L274" t="str">
        <x:f>XLOOKUP($A274,'Specs'!$A$2:$A$164,'Specs'!$L$2:$L$164,"")</x:f>
      </x:c>
      <x:c r="M274" t="n">
        <x:f>XLOOKUP($A274,'Specs'!$A$2:$A$164,'Specs'!$M$2:$M$164,"")</x:f>
        <x:v>630</x:v>
      </x:c>
      <x:c r="N274" t="str">
        <x:f>XLOOKUP($A274,'Specs'!$A$2:$A$164,'Specs'!$N$2:$N$164,"")</x:f>
      </x:c>
      <x:c r="O274" t="str">
        <x:f>XLOOKUP($A274,'Specs'!$A$2:$A$164,'Specs'!$O$2:$O$164,"")</x:f>
      </x:c>
      <x:c r="P274" t="str">
        <x:f>XLOOKUP($A274,'Specs'!$A$2:$A$164,'Specs'!$P$2:$P$164,"")</x:f>
        <x:v>MEDIUM</x:v>
      </x:c>
      <x:c r="Q274" s="53" t="n">
        <x:f>XLOOKUP($A274,'Specs'!$A$2:$A$164,'Specs'!$Q$2:$Q$164,"")</x:f>
        <x:v>2</x:v>
      </x:c>
      <x:c r="R274" s="53" t="n">
        <x:f>XLOOKUP($A274,'Specs'!$A$2:$A$164,'Specs'!$R$2:$R$164,"")</x:f>
        <x:v>1</x:v>
      </x:c>
      <x:c r="S274" t="str">
        <x:f>'Vendor Options'!A274</x:f>
        <x:v>OFFER-F6BE864F30F5</x:v>
      </x:c>
      <x:c r="T274" t="str">
        <x:f>'Vendor Options'!C274</x:f>
        <x:v>DH</x:v>
      </x:c>
      <x:c r="U274" t="str">
        <x:f>'Vendor Options'!D274</x:f>
        <x:v>P-TRIM W THUMB + CYLINDER</x:v>
      </x:c>
      <x:c r="V274" t="str">
        <x:f>'Vendor Options'!E274</x:f>
        <x:v>1000/2000 TP TRIM</x:v>
      </x:c>
      <x:c r="W274" t="n">
        <x:f>'Vendor Options'!F274</x:f>
        <x:v>0</x:v>
      </x:c>
      <x:c r="X274" t="str">
        <x:f>'Vendor Options'!G274</x:f>
        <x:v>78002493</x:v>
      </x:c>
      <x:c r="Y274" t="str">
        <x:f>'Vendor Options'!H274</x:f>
        <x:v>78002493 - TP-08 Entry Thumbpiece Trim (Includes 1 1/4" Mort Cyl.)</x:v>
      </x:c>
      <x:c r="Z274" t="str">
        <x:f>'Vendor Options'!I274</x:f>
      </x:c>
      <x:c r="AA274" s="54" t="n">
        <x:f>'Vendor Options'!J274</x:f>
        <x:v>204.55</x:v>
      </x:c>
      <x:c r="AB274" t="n">
        <x:f>'Vendor Options'!K274</x:f>
        <x:v>0</x:v>
      </x:c>
      <x:c r="AC274" s="57" t="n">
        <x:f>'Vendor Options'!L274</x:f>
        <x:v>0</x:v>
      </x:c>
      <x:c r="AD274" s="57" t="n">
        <x:f>'Vendor Options'!M274</x:f>
        <x:v>0</x:v>
      </x:c>
      <x:c r="AE274" s="54" t="n">
        <x:f>'Vendor Options'!N274</x:f>
        <x:v>204.55</x:v>
      </x:c>
      <x:c r="AF274" t="str">
        <x:f>'Vendor Options'!O274</x:f>
        <x:v>USD</x:v>
      </x:c>
      <x:c r="AG274" t="str">
        <x:f>'Vendor Options'!P274</x:f>
        <x:v>PRICED</x:v>
      </x:c>
      <x:c r="AH274" t="str">
        <x:f>'Vendor Options'!Q274</x:f>
        <x:v>ACTIVE</x:v>
      </x:c>
      <x:c r="AI274" t="str">
        <x:f>'Vendor Options'!R274</x:f>
      </x:c>
      <x:c r="AJ274" t="n">
        <x:f>'Vendor Options'!S274</x:f>
        <x:v>296</x:v>
      </x:c>
    </x:row>
    <x:row r="275" ht="15" hidden="0" customHeight="1">
      <x:c r="A275" t="str">
        <x:f>'Vendor Options'!B275</x:f>
        <x:v>SPEC-8F99897C5F18</x:v>
      </x:c>
      <x:c r="B275" t="str">
        <x:f>XLOOKUP($A275,'Specs'!$A$2:$A$164,'Specs'!$B$2:$B$164,"")</x:f>
        <x:v>PANIC TRIM</x:v>
      </x:c>
      <x:c r="C275" t="str">
        <x:f>XLOOKUP($A275,'Specs'!$A$2:$A$164,'Specs'!$C$2:$C$164,"")</x:f>
        <x:v>PULL TRIM WITH CYLINDER</x:v>
      </x:c>
      <x:c r="D275" t="str">
        <x:f>XLOOKUP($A275,'Specs'!$A$2:$A$164,'Specs'!$D$2:$D$164,"")</x:f>
        <x:v>RIM</x:v>
      </x:c>
      <x:c r="E275" t="str">
        <x:f>XLOOKUP($A275,'Specs'!$A$2:$A$164,'Specs'!$E$2:$E$164,"")</x:f>
        <x:v>KEY RETRACTS LATCH</x:v>
      </x:c>
      <x:c r="F275" t="str">
        <x:f>XLOOKUP($A275,'Specs'!$A$2:$A$164,'Specs'!$F$2:$F$164,"")</x:f>
        <x:v>STANDARD</x:v>
      </x:c>
      <x:c r="G275" t="str">
        <x:f>XLOOKUP($A275,'Specs'!$A$2:$A$164,'Specs'!$G$2:$G$164,"")</x:f>
      </x:c>
      <x:c r="H275" t="str">
        <x:f>XLOOKUP($A275,'Specs'!$A$2:$A$164,'Specs'!$H$2:$H$164,"")</x:f>
      </x:c>
      <x:c r="I275" t="str">
        <x:f>XLOOKUP($A275,'Specs'!$A$2:$A$164,'Specs'!$I$2:$I$164,"")</x:f>
      </x:c>
      <x:c r="J275" t="str">
        <x:f>XLOOKUP($A275,'Specs'!$A$2:$A$164,'Specs'!$J$2:$J$164,"")</x:f>
      </x:c>
      <x:c r="K275" t="str">
        <x:f>XLOOKUP($A275,'Specs'!$A$2:$A$164,'Specs'!$K$2:$K$164,"")</x:f>
      </x:c>
      <x:c r="L275" t="str">
        <x:f>XLOOKUP($A275,'Specs'!$A$2:$A$164,'Specs'!$L$2:$L$164,"")</x:f>
      </x:c>
      <x:c r="M275" t="n">
        <x:f>XLOOKUP($A275,'Specs'!$A$2:$A$164,'Specs'!$M$2:$M$164,"")</x:f>
        <x:v>630</x:v>
      </x:c>
      <x:c r="N275" t="str">
        <x:f>XLOOKUP($A275,'Specs'!$A$2:$A$164,'Specs'!$N$2:$N$164,"")</x:f>
      </x:c>
      <x:c r="O275" t="str">
        <x:f>XLOOKUP($A275,'Specs'!$A$2:$A$164,'Specs'!$O$2:$O$164,"")</x:f>
      </x:c>
      <x:c r="P275" t="str">
        <x:f>XLOOKUP($A275,'Specs'!$A$2:$A$164,'Specs'!$P$2:$P$164,"")</x:f>
        <x:v>HIGH</x:v>
      </x:c>
      <x:c r="Q275" s="53" t="n">
        <x:f>XLOOKUP($A275,'Specs'!$A$2:$A$164,'Specs'!$Q$2:$Q$164,"")</x:f>
        <x:v>2</x:v>
      </x:c>
      <x:c r="R275" s="53" t="n">
        <x:f>XLOOKUP($A275,'Specs'!$A$2:$A$164,'Specs'!$R$2:$R$164,"")</x:f>
        <x:v>2</x:v>
      </x:c>
      <x:c r="S275" t="str">
        <x:f>'Vendor Options'!A275</x:f>
        <x:v>OFFER-B9019DF5F2C8</x:v>
      </x:c>
      <x:c r="T275" t="str">
        <x:f>'Vendor Options'!C275</x:f>
        <x:v>DK</x:v>
      </x:c>
      <x:c r="U275" t="str">
        <x:f>'Vendor Options'!D275</x:f>
        <x:v>PULL TRIM CYLINDER</x:v>
      </x:c>
      <x:c r="V275" t="str">
        <x:f>'Vendor Options'!E275</x:f>
        <x:v>PRT03</x:v>
      </x:c>
      <x:c r="W275" t="n">
        <x:f>'Vendor Options'!F275</x:f>
        <x:v>0</x:v>
      </x:c>
      <x:c r="X275" t="n">
        <x:f>'Vendor Options'!G275</x:f>
        <x:v>0</x:v>
      </x:c>
      <x:c r="Y275" t="n">
        <x:f>'Vendor Options'!H275</x:f>
        <x:v>0</x:v>
      </x:c>
      <x:c r="Z275" t="str">
        <x:f>'Vendor Options'!I275</x:f>
      </x:c>
      <x:c r="AA275" s="54" t="n">
        <x:f>'Vendor Options'!J275</x:f>
        <x:v>467</x:v>
      </x:c>
      <x:c r="AB275" t="n">
        <x:f>'Vendor Options'!K275</x:f>
        <x:v>0</x:v>
      </x:c>
      <x:c r="AC275" s="57" t="n">
        <x:f>'Vendor Options'!L275</x:f>
        <x:v>0</x:v>
      </x:c>
      <x:c r="AD275" s="57" t="n">
        <x:f>'Vendor Options'!M275</x:f>
        <x:v>0</x:v>
      </x:c>
      <x:c r="AE275" s="54" t="n">
        <x:f>'Vendor Options'!N275</x:f>
        <x:v>467</x:v>
      </x:c>
      <x:c r="AF275" t="str">
        <x:f>'Vendor Options'!O275</x:f>
        <x:v>USD</x:v>
      </x:c>
      <x:c r="AG275" t="str">
        <x:f>'Vendor Options'!P275</x:f>
        <x:v>PRICED</x:v>
      </x:c>
      <x:c r="AH275" t="str">
        <x:f>'Vendor Options'!Q275</x:f>
        <x:v>REVIEW</x:v>
      </x:c>
      <x:c r="AI275" t="str">
        <x:f>'Vendor Options'!R275</x:f>
        <x:v>MISSING_PART_NUMBER</x:v>
      </x:c>
      <x:c r="AJ275" t="n">
        <x:f>'Vendor Options'!S275</x:f>
        <x:v>334</x:v>
      </x:c>
    </x:row>
    <x:row r="276" ht="15" hidden="0" customHeight="1">
      <x:c r="A276" t="str">
        <x:f>'Vendor Options'!B276</x:f>
        <x:v>SPEC-8F99897C5F18</x:v>
      </x:c>
      <x:c r="B276" t="str">
        <x:f>XLOOKUP($A276,'Specs'!$A$2:$A$164,'Specs'!$B$2:$B$164,"")</x:f>
        <x:v>PANIC TRIM</x:v>
      </x:c>
      <x:c r="C276" t="str">
        <x:f>XLOOKUP($A276,'Specs'!$A$2:$A$164,'Specs'!$C$2:$C$164,"")</x:f>
        <x:v>PULL TRIM WITH CYLINDER</x:v>
      </x:c>
      <x:c r="D276" t="str">
        <x:f>XLOOKUP($A276,'Specs'!$A$2:$A$164,'Specs'!$D$2:$D$164,"")</x:f>
        <x:v>RIM</x:v>
      </x:c>
      <x:c r="E276" t="str">
        <x:f>XLOOKUP($A276,'Specs'!$A$2:$A$164,'Specs'!$E$2:$E$164,"")</x:f>
        <x:v>KEY RETRACTS LATCH</x:v>
      </x:c>
      <x:c r="F276" t="str">
        <x:f>XLOOKUP($A276,'Specs'!$A$2:$A$164,'Specs'!$F$2:$F$164,"")</x:f>
        <x:v>STANDARD</x:v>
      </x:c>
      <x:c r="G276" t="str">
        <x:f>XLOOKUP($A276,'Specs'!$A$2:$A$164,'Specs'!$G$2:$G$164,"")</x:f>
      </x:c>
      <x:c r="H276" t="str">
        <x:f>XLOOKUP($A276,'Specs'!$A$2:$A$164,'Specs'!$H$2:$H$164,"")</x:f>
      </x:c>
      <x:c r="I276" t="str">
        <x:f>XLOOKUP($A276,'Specs'!$A$2:$A$164,'Specs'!$I$2:$I$164,"")</x:f>
      </x:c>
      <x:c r="J276" t="str">
        <x:f>XLOOKUP($A276,'Specs'!$A$2:$A$164,'Specs'!$J$2:$J$164,"")</x:f>
      </x:c>
      <x:c r="K276" t="str">
        <x:f>XLOOKUP($A276,'Specs'!$A$2:$A$164,'Specs'!$K$2:$K$164,"")</x:f>
      </x:c>
      <x:c r="L276" t="str">
        <x:f>XLOOKUP($A276,'Specs'!$A$2:$A$164,'Specs'!$L$2:$L$164,"")</x:f>
      </x:c>
      <x:c r="M276" t="n">
        <x:f>XLOOKUP($A276,'Specs'!$A$2:$A$164,'Specs'!$M$2:$M$164,"")</x:f>
        <x:v>630</x:v>
      </x:c>
      <x:c r="N276" t="str">
        <x:f>XLOOKUP($A276,'Specs'!$A$2:$A$164,'Specs'!$N$2:$N$164,"")</x:f>
      </x:c>
      <x:c r="O276" t="str">
        <x:f>XLOOKUP($A276,'Specs'!$A$2:$A$164,'Specs'!$O$2:$O$164,"")</x:f>
      </x:c>
      <x:c r="P276" t="str">
        <x:f>XLOOKUP($A276,'Specs'!$A$2:$A$164,'Specs'!$P$2:$P$164,"")</x:f>
        <x:v>HIGH</x:v>
      </x:c>
      <x:c r="Q276" s="53" t="n">
        <x:f>XLOOKUP($A276,'Specs'!$A$2:$A$164,'Specs'!$Q$2:$Q$164,"")</x:f>
        <x:v>2</x:v>
      </x:c>
      <x:c r="R276" s="53" t="n">
        <x:f>XLOOKUP($A276,'Specs'!$A$2:$A$164,'Specs'!$R$2:$R$164,"")</x:f>
        <x:v>2</x:v>
      </x:c>
      <x:c r="S276" t="str">
        <x:f>'Vendor Options'!A276</x:f>
        <x:v>OFFER-CC8966190185</x:v>
      </x:c>
      <x:c r="T276" t="str">
        <x:f>'Vendor Options'!C276</x:f>
        <x:v>PHI</x:v>
      </x:c>
      <x:c r="U276" t="str">
        <x:f>'Vendor Options'!D276</x:f>
        <x:v>PULL TRIM CYLINDER</x:v>
      </x:c>
      <x:c r="V276" t="str">
        <x:f>'Vendor Options'!E276</x:f>
        <x:v>1703A</x:v>
      </x:c>
      <x:c r="W276" t="n">
        <x:f>'Vendor Options'!F276</x:f>
        <x:v>0</x:v>
      </x:c>
      <x:c r="X276" t="n">
        <x:f>'Vendor Options'!G276</x:f>
        <x:v>0</x:v>
      </x:c>
      <x:c r="Y276" t="n">
        <x:f>'Vendor Options'!H276</x:f>
        <x:v>0</x:v>
      </x:c>
      <x:c r="Z276" t="str">
        <x:f>'Vendor Options'!I276</x:f>
      </x:c>
      <x:c r="AA276" s="54" t="n">
        <x:f>'Vendor Options'!J276</x:f>
        <x:v>1000</x:v>
      </x:c>
      <x:c r="AB276" t="n">
        <x:f>'Vendor Options'!K276</x:f>
        <x:v>0</x:v>
      </x:c>
      <x:c r="AC276" s="57" t="n">
        <x:f>'Vendor Options'!L276</x:f>
        <x:v>0</x:v>
      </x:c>
      <x:c r="AD276" s="57" t="n">
        <x:f>'Vendor Options'!M276</x:f>
        <x:v>0</x:v>
      </x:c>
      <x:c r="AE276" s="54" t="n">
        <x:f>'Vendor Options'!N276</x:f>
        <x:v>1000</x:v>
      </x:c>
      <x:c r="AF276" t="str">
        <x:f>'Vendor Options'!O276</x:f>
        <x:v>USD</x:v>
      </x:c>
      <x:c r="AG276" t="str">
        <x:f>'Vendor Options'!P276</x:f>
        <x:v>PRICED</x:v>
      </x:c>
      <x:c r="AH276" t="str">
        <x:f>'Vendor Options'!Q276</x:f>
        <x:v>REVIEW</x:v>
      </x:c>
      <x:c r="AI276" t="str">
        <x:f>'Vendor Options'!R276</x:f>
        <x:v>MISSING_PART_NUMBER</x:v>
      </x:c>
      <x:c r="AJ276" t="n">
        <x:f>'Vendor Options'!S276</x:f>
        <x:v>349</x:v>
      </x:c>
    </x:row>
    <x:row r="277" ht="15" hidden="0" customHeight="1">
      <x:c r="A277" t="str">
        <x:f>'Vendor Options'!B277</x:f>
        <x:v>SPEC-BF967A9B6B97</x:v>
      </x:c>
      <x:c r="B277" t="str">
        <x:f>XLOOKUP($A277,'Specs'!$A$2:$A$164,'Specs'!$B$2:$B$164,"")</x:f>
        <x:v>PANIC TRIM</x:v>
      </x:c>
      <x:c r="C277" t="str">
        <x:f>XLOOKUP($A277,'Specs'!$A$2:$A$164,'Specs'!$C$2:$C$164,"")</x:f>
        <x:v>THUMBPIECE PULL TRIM</x:v>
      </x:c>
      <x:c r="D277" t="str">
        <x:f>XLOOKUP($A277,'Specs'!$A$2:$A$164,'Specs'!$D$2:$D$164,"")</x:f>
        <x:v>MORTISE</x:v>
      </x:c>
      <x:c r="E277" t="str">
        <x:f>XLOOKUP($A277,'Specs'!$A$2:$A$164,'Specs'!$E$2:$E$164,"")</x:f>
        <x:v>KEY LOCKS / UNLOCKS THUMBPIECE</x:v>
      </x:c>
      <x:c r="F277" t="str">
        <x:f>XLOOKUP($A277,'Specs'!$A$2:$A$164,'Specs'!$F$2:$F$164,"")</x:f>
        <x:v>STANDARD</x:v>
      </x:c>
      <x:c r="G277" t="str">
        <x:f>XLOOKUP($A277,'Specs'!$A$2:$A$164,'Specs'!$G$2:$G$164,"")</x:f>
      </x:c>
      <x:c r="H277" t="str">
        <x:f>XLOOKUP($A277,'Specs'!$A$2:$A$164,'Specs'!$H$2:$H$164,"")</x:f>
      </x:c>
      <x:c r="I277" t="str">
        <x:f>XLOOKUP($A277,'Specs'!$A$2:$A$164,'Specs'!$I$2:$I$164,"")</x:f>
      </x:c>
      <x:c r="J277" t="str">
        <x:f>XLOOKUP($A277,'Specs'!$A$2:$A$164,'Specs'!$J$2:$J$164,"")</x:f>
      </x:c>
      <x:c r="K277" t="str">
        <x:f>XLOOKUP($A277,'Specs'!$A$2:$A$164,'Specs'!$K$2:$K$164,"")</x:f>
      </x:c>
      <x:c r="L277" t="str">
        <x:f>XLOOKUP($A277,'Specs'!$A$2:$A$164,'Specs'!$L$2:$L$164,"")</x:f>
      </x:c>
      <x:c r="M277" t="n">
        <x:f>XLOOKUP($A277,'Specs'!$A$2:$A$164,'Specs'!$M$2:$M$164,"")</x:f>
        <x:v>630</x:v>
      </x:c>
      <x:c r="N277" t="str">
        <x:f>XLOOKUP($A277,'Specs'!$A$2:$A$164,'Specs'!$N$2:$N$164,"")</x:f>
      </x:c>
      <x:c r="O277" t="str">
        <x:f>XLOOKUP($A277,'Specs'!$A$2:$A$164,'Specs'!$O$2:$O$164,"")</x:f>
      </x:c>
      <x:c r="P277" t="str">
        <x:f>XLOOKUP($A277,'Specs'!$A$2:$A$164,'Specs'!$P$2:$P$164,"")</x:f>
        <x:v>HIGH</x:v>
      </x:c>
      <x:c r="Q277" s="53" t="n">
        <x:f>XLOOKUP($A277,'Specs'!$A$2:$A$164,'Specs'!$Q$2:$Q$164,"")</x:f>
        <x:v>2</x:v>
      </x:c>
      <x:c r="R277" s="53" t="n">
        <x:f>XLOOKUP($A277,'Specs'!$A$2:$A$164,'Specs'!$R$2:$R$164,"")</x:f>
        <x:v>2</x:v>
      </x:c>
      <x:c r="S277" t="str">
        <x:f>'Vendor Options'!A277</x:f>
        <x:v>OFFER-3C02A7843FBB</x:v>
      </x:c>
      <x:c r="T277" t="str">
        <x:f>'Vendor Options'!C277</x:f>
        <x:v>DK</x:v>
      </x:c>
      <x:c r="U277" t="str">
        <x:f>'Vendor Options'!D277</x:f>
        <x:v>PULL TRIM THUMB</x:v>
      </x:c>
      <x:c r="V277" t="str">
        <x:f>'Vendor Options'!E277</x:f>
        <x:v>HTT05M</x:v>
      </x:c>
      <x:c r="W277" t="n">
        <x:f>'Vendor Options'!F277</x:f>
        <x:v>0</x:v>
      </x:c>
      <x:c r="X277" t="n">
        <x:f>'Vendor Options'!G277</x:f>
        <x:v>0</x:v>
      </x:c>
      <x:c r="Y277" t="n">
        <x:f>'Vendor Options'!H277</x:f>
        <x:v>0</x:v>
      </x:c>
      <x:c r="Z277" t="str">
        <x:f>'Vendor Options'!I277</x:f>
      </x:c>
      <x:c r="AA277" s="54" t="n">
        <x:f>'Vendor Options'!J277</x:f>
        <x:v>467</x:v>
      </x:c>
      <x:c r="AB277" t="n">
        <x:f>'Vendor Options'!K277</x:f>
        <x:v>0</x:v>
      </x:c>
      <x:c r="AC277" s="57" t="n">
        <x:f>'Vendor Options'!L277</x:f>
        <x:v>0</x:v>
      </x:c>
      <x:c r="AD277" s="57" t="n">
        <x:f>'Vendor Options'!M277</x:f>
        <x:v>0</x:v>
      </x:c>
      <x:c r="AE277" s="54" t="n">
        <x:f>'Vendor Options'!N277</x:f>
        <x:v>467</x:v>
      </x:c>
      <x:c r="AF277" t="str">
        <x:f>'Vendor Options'!O277</x:f>
        <x:v>USD</x:v>
      </x:c>
      <x:c r="AG277" t="str">
        <x:f>'Vendor Options'!P277</x:f>
        <x:v>PRICED</x:v>
      </x:c>
      <x:c r="AH277" t="str">
        <x:f>'Vendor Options'!Q277</x:f>
        <x:v>REVIEW</x:v>
      </x:c>
      <x:c r="AI277" t="str">
        <x:f>'Vendor Options'!R277</x:f>
        <x:v>MISSING_PART_NUMBER</x:v>
      </x:c>
      <x:c r="AJ277" t="n">
        <x:f>'Vendor Options'!S277</x:f>
        <x:v>235</x:v>
      </x:c>
    </x:row>
    <x:row r="278" ht="15" hidden="0" customHeight="1">
      <x:c r="A278" t="str">
        <x:f>'Vendor Options'!B278</x:f>
        <x:v>SPEC-BF967A9B6B97</x:v>
      </x:c>
      <x:c r="B278" t="str">
        <x:f>XLOOKUP($A278,'Specs'!$A$2:$A$164,'Specs'!$B$2:$B$164,"")</x:f>
        <x:v>PANIC TRIM</x:v>
      </x:c>
      <x:c r="C278" t="str">
        <x:f>XLOOKUP($A278,'Specs'!$A$2:$A$164,'Specs'!$C$2:$C$164,"")</x:f>
        <x:v>THUMBPIECE PULL TRIM</x:v>
      </x:c>
      <x:c r="D278" t="str">
        <x:f>XLOOKUP($A278,'Specs'!$A$2:$A$164,'Specs'!$D$2:$D$164,"")</x:f>
        <x:v>MORTISE</x:v>
      </x:c>
      <x:c r="E278" t="str">
        <x:f>XLOOKUP($A278,'Specs'!$A$2:$A$164,'Specs'!$E$2:$E$164,"")</x:f>
        <x:v>KEY LOCKS / UNLOCKS THUMBPIECE</x:v>
      </x:c>
      <x:c r="F278" t="str">
        <x:f>XLOOKUP($A278,'Specs'!$A$2:$A$164,'Specs'!$F$2:$F$164,"")</x:f>
        <x:v>STANDARD</x:v>
      </x:c>
      <x:c r="G278" t="str">
        <x:f>XLOOKUP($A278,'Specs'!$A$2:$A$164,'Specs'!$G$2:$G$164,"")</x:f>
      </x:c>
      <x:c r="H278" t="str">
        <x:f>XLOOKUP($A278,'Specs'!$A$2:$A$164,'Specs'!$H$2:$H$164,"")</x:f>
      </x:c>
      <x:c r="I278" t="str">
        <x:f>XLOOKUP($A278,'Specs'!$A$2:$A$164,'Specs'!$I$2:$I$164,"")</x:f>
      </x:c>
      <x:c r="J278" t="str">
        <x:f>XLOOKUP($A278,'Specs'!$A$2:$A$164,'Specs'!$J$2:$J$164,"")</x:f>
      </x:c>
      <x:c r="K278" t="str">
        <x:f>XLOOKUP($A278,'Specs'!$A$2:$A$164,'Specs'!$K$2:$K$164,"")</x:f>
      </x:c>
      <x:c r="L278" t="str">
        <x:f>XLOOKUP($A278,'Specs'!$A$2:$A$164,'Specs'!$L$2:$L$164,"")</x:f>
      </x:c>
      <x:c r="M278" t="n">
        <x:f>XLOOKUP($A278,'Specs'!$A$2:$A$164,'Specs'!$M$2:$M$164,"")</x:f>
        <x:v>630</x:v>
      </x:c>
      <x:c r="N278" t="str">
        <x:f>XLOOKUP($A278,'Specs'!$A$2:$A$164,'Specs'!$N$2:$N$164,"")</x:f>
      </x:c>
      <x:c r="O278" t="str">
        <x:f>XLOOKUP($A278,'Specs'!$A$2:$A$164,'Specs'!$O$2:$O$164,"")</x:f>
      </x:c>
      <x:c r="P278" t="str">
        <x:f>XLOOKUP($A278,'Specs'!$A$2:$A$164,'Specs'!$P$2:$P$164,"")</x:f>
        <x:v>HIGH</x:v>
      </x:c>
      <x:c r="Q278" s="53" t="n">
        <x:f>XLOOKUP($A278,'Specs'!$A$2:$A$164,'Specs'!$Q$2:$Q$164,"")</x:f>
        <x:v>2</x:v>
      </x:c>
      <x:c r="R278" s="53" t="n">
        <x:f>XLOOKUP($A278,'Specs'!$A$2:$A$164,'Specs'!$R$2:$R$164,"")</x:f>
        <x:v>2</x:v>
      </x:c>
      <x:c r="S278" t="str">
        <x:f>'Vendor Options'!A278</x:f>
        <x:v>OFFER-30E2A629C269</x:v>
      </x:c>
      <x:c r="T278" t="str">
        <x:f>'Vendor Options'!C278</x:f>
        <x:v>PHI</x:v>
      </x:c>
      <x:c r="U278" t="str">
        <x:f>'Vendor Options'!D278</x:f>
        <x:v>PULL TRIM THUMB</x:v>
      </x:c>
      <x:c r="V278" t="str">
        <x:f>'Vendor Options'!E278</x:f>
        <x:v>M1705A</x:v>
      </x:c>
      <x:c r="W278" t="n">
        <x:f>'Vendor Options'!F278</x:f>
        <x:v>0</x:v>
      </x:c>
      <x:c r="X278" t="n">
        <x:f>'Vendor Options'!G278</x:f>
        <x:v>0</x:v>
      </x:c>
      <x:c r="Y278" t="n">
        <x:f>'Vendor Options'!H278</x:f>
        <x:v>0</x:v>
      </x:c>
      <x:c r="Z278" t="str">
        <x:f>'Vendor Options'!I278</x:f>
      </x:c>
      <x:c r="AA278" s="54" t="n">
        <x:f>'Vendor Options'!J278</x:f>
        <x:v>1250</x:v>
      </x:c>
      <x:c r="AB278" t="n">
        <x:f>'Vendor Options'!K278</x:f>
        <x:v>0</x:v>
      </x:c>
      <x:c r="AC278" s="57" t="n">
        <x:f>'Vendor Options'!L278</x:f>
        <x:v>0</x:v>
      </x:c>
      <x:c r="AD278" s="57" t="n">
        <x:f>'Vendor Options'!M278</x:f>
        <x:v>0</x:v>
      </x:c>
      <x:c r="AE278" s="54" t="n">
        <x:f>'Vendor Options'!N278</x:f>
        <x:v>1250</x:v>
      </x:c>
      <x:c r="AF278" t="str">
        <x:f>'Vendor Options'!O278</x:f>
        <x:v>USD</x:v>
      </x:c>
      <x:c r="AG278" t="str">
        <x:f>'Vendor Options'!P278</x:f>
        <x:v>PRICED</x:v>
      </x:c>
      <x:c r="AH278" t="str">
        <x:f>'Vendor Options'!Q278</x:f>
        <x:v>REVIEW</x:v>
      </x:c>
      <x:c r="AI278" t="str">
        <x:f>'Vendor Options'!R278</x:f>
        <x:v>MISSING_PART_NUMBER</x:v>
      </x:c>
      <x:c r="AJ278" t="n">
        <x:f>'Vendor Options'!S278</x:f>
        <x:v>250</x:v>
      </x:c>
    </x:row>
    <x:row r="279" ht="15" hidden="0" customHeight="1">
      <x:c r="A279" t="str">
        <x:f>'Vendor Options'!B279</x:f>
        <x:v>SPEC-4E844C1A94F7</x:v>
      </x:c>
      <x:c r="B279" t="str">
        <x:f>XLOOKUP($A279,'Specs'!$A$2:$A$164,'Specs'!$B$2:$B$164,"")</x:f>
        <x:v>PANIC TRIM</x:v>
      </x:c>
      <x:c r="C279" t="str">
        <x:f>XLOOKUP($A279,'Specs'!$A$2:$A$164,'Specs'!$C$2:$C$164,"")</x:f>
        <x:v>THUMBPIECE PULL TRIM</x:v>
      </x:c>
      <x:c r="D279" t="str">
        <x:f>XLOOKUP($A279,'Specs'!$A$2:$A$164,'Specs'!$D$2:$D$164,"")</x:f>
        <x:v>MORTISE</x:v>
      </x:c>
      <x:c r="E279" t="str">
        <x:f>XLOOKUP($A279,'Specs'!$A$2:$A$164,'Specs'!$E$2:$E$164,"")</x:f>
        <x:v>KEY RETRACTS LATCH</x:v>
      </x:c>
      <x:c r="F279" t="str">
        <x:f>XLOOKUP($A279,'Specs'!$A$2:$A$164,'Specs'!$F$2:$F$164,"")</x:f>
        <x:v>STANDARD</x:v>
      </x:c>
      <x:c r="G279" t="str">
        <x:f>XLOOKUP($A279,'Specs'!$A$2:$A$164,'Specs'!$G$2:$G$164,"")</x:f>
      </x:c>
      <x:c r="H279" t="str">
        <x:f>XLOOKUP($A279,'Specs'!$A$2:$A$164,'Specs'!$H$2:$H$164,"")</x:f>
      </x:c>
      <x:c r="I279" t="str">
        <x:f>XLOOKUP($A279,'Specs'!$A$2:$A$164,'Specs'!$I$2:$I$164,"")</x:f>
      </x:c>
      <x:c r="J279" t="str">
        <x:f>XLOOKUP($A279,'Specs'!$A$2:$A$164,'Specs'!$J$2:$J$164,"")</x:f>
      </x:c>
      <x:c r="K279" t="str">
        <x:f>XLOOKUP($A279,'Specs'!$A$2:$A$164,'Specs'!$K$2:$K$164,"")</x:f>
      </x:c>
      <x:c r="L279" t="str">
        <x:f>XLOOKUP($A279,'Specs'!$A$2:$A$164,'Specs'!$L$2:$L$164,"")</x:f>
      </x:c>
      <x:c r="M279" t="n">
        <x:f>XLOOKUP($A279,'Specs'!$A$2:$A$164,'Specs'!$M$2:$M$164,"")</x:f>
        <x:v>630</x:v>
      </x:c>
      <x:c r="N279" t="str">
        <x:f>XLOOKUP($A279,'Specs'!$A$2:$A$164,'Specs'!$N$2:$N$164,"")</x:f>
      </x:c>
      <x:c r="O279" t="str">
        <x:f>XLOOKUP($A279,'Specs'!$A$2:$A$164,'Specs'!$O$2:$O$164,"")</x:f>
      </x:c>
      <x:c r="P279" t="str">
        <x:f>XLOOKUP($A279,'Specs'!$A$2:$A$164,'Specs'!$P$2:$P$164,"")</x:f>
        <x:v>HIGH</x:v>
      </x:c>
      <x:c r="Q279" s="53" t="n">
        <x:f>XLOOKUP($A279,'Specs'!$A$2:$A$164,'Specs'!$Q$2:$Q$164,"")</x:f>
        <x:v>2</x:v>
      </x:c>
      <x:c r="R279" s="53" t="n">
        <x:f>XLOOKUP($A279,'Specs'!$A$2:$A$164,'Specs'!$R$2:$R$164,"")</x:f>
        <x:v>2</x:v>
      </x:c>
      <x:c r="S279" t="str">
        <x:f>'Vendor Options'!A279</x:f>
        <x:v>OFFER-2EDD82670276</x:v>
      </x:c>
      <x:c r="T279" t="str">
        <x:f>'Vendor Options'!C279</x:f>
        <x:v>DK</x:v>
      </x:c>
      <x:c r="U279" t="str">
        <x:f>'Vendor Options'!D279</x:f>
        <x:v>PULL TRIM THUMB</x:v>
      </x:c>
      <x:c r="V279" t="str">
        <x:f>'Vendor Options'!E279</x:f>
        <x:v>HTT03M</x:v>
      </x:c>
      <x:c r="W279" t="n">
        <x:f>'Vendor Options'!F279</x:f>
        <x:v>0</x:v>
      </x:c>
      <x:c r="X279" t="n">
        <x:f>'Vendor Options'!G279</x:f>
        <x:v>0</x:v>
      </x:c>
      <x:c r="Y279" t="n">
        <x:f>'Vendor Options'!H279</x:f>
        <x:v>0</x:v>
      </x:c>
      <x:c r="Z279" t="str">
        <x:f>'Vendor Options'!I279</x:f>
      </x:c>
      <x:c r="AA279" s="54" t="n">
        <x:f>'Vendor Options'!J279</x:f>
        <x:v>443</x:v>
      </x:c>
      <x:c r="AB279" t="n">
        <x:f>'Vendor Options'!K279</x:f>
        <x:v>0</x:v>
      </x:c>
      <x:c r="AC279" s="57" t="n">
        <x:f>'Vendor Options'!L279</x:f>
        <x:v>0</x:v>
      </x:c>
      <x:c r="AD279" s="57" t="n">
        <x:f>'Vendor Options'!M279</x:f>
        <x:v>0</x:v>
      </x:c>
      <x:c r="AE279" s="54" t="n">
        <x:f>'Vendor Options'!N279</x:f>
        <x:v>443</x:v>
      </x:c>
      <x:c r="AF279" t="str">
        <x:f>'Vendor Options'!O279</x:f>
        <x:v>USD</x:v>
      </x:c>
      <x:c r="AG279" t="str">
        <x:f>'Vendor Options'!P279</x:f>
        <x:v>PRICED</x:v>
      </x:c>
      <x:c r="AH279" t="str">
        <x:f>'Vendor Options'!Q279</x:f>
        <x:v>REVIEW</x:v>
      </x:c>
      <x:c r="AI279" t="str">
        <x:f>'Vendor Options'!R279</x:f>
        <x:v>MISSING_PART_NUMBER</x:v>
      </x:c>
      <x:c r="AJ279" t="n">
        <x:f>'Vendor Options'!S279</x:f>
        <x:v>236</x:v>
      </x:c>
    </x:row>
    <x:row r="280" ht="15" hidden="0" customHeight="1">
      <x:c r="A280" t="str">
        <x:f>'Vendor Options'!B280</x:f>
        <x:v>SPEC-4E844C1A94F7</x:v>
      </x:c>
      <x:c r="B280" t="str">
        <x:f>XLOOKUP($A280,'Specs'!$A$2:$A$164,'Specs'!$B$2:$B$164,"")</x:f>
        <x:v>PANIC TRIM</x:v>
      </x:c>
      <x:c r="C280" t="str">
        <x:f>XLOOKUP($A280,'Specs'!$A$2:$A$164,'Specs'!$C$2:$C$164,"")</x:f>
        <x:v>THUMBPIECE PULL TRIM</x:v>
      </x:c>
      <x:c r="D280" t="str">
        <x:f>XLOOKUP($A280,'Specs'!$A$2:$A$164,'Specs'!$D$2:$D$164,"")</x:f>
        <x:v>MORTISE</x:v>
      </x:c>
      <x:c r="E280" t="str">
        <x:f>XLOOKUP($A280,'Specs'!$A$2:$A$164,'Specs'!$E$2:$E$164,"")</x:f>
        <x:v>KEY RETRACTS LATCH</x:v>
      </x:c>
      <x:c r="F280" t="str">
        <x:f>XLOOKUP($A280,'Specs'!$A$2:$A$164,'Specs'!$F$2:$F$164,"")</x:f>
        <x:v>STANDARD</x:v>
      </x:c>
      <x:c r="G280" t="str">
        <x:f>XLOOKUP($A280,'Specs'!$A$2:$A$164,'Specs'!$G$2:$G$164,"")</x:f>
      </x:c>
      <x:c r="H280" t="str">
        <x:f>XLOOKUP($A280,'Specs'!$A$2:$A$164,'Specs'!$H$2:$H$164,"")</x:f>
      </x:c>
      <x:c r="I280" t="str">
        <x:f>XLOOKUP($A280,'Specs'!$A$2:$A$164,'Specs'!$I$2:$I$164,"")</x:f>
      </x:c>
      <x:c r="J280" t="str">
        <x:f>XLOOKUP($A280,'Specs'!$A$2:$A$164,'Specs'!$J$2:$J$164,"")</x:f>
      </x:c>
      <x:c r="K280" t="str">
        <x:f>XLOOKUP($A280,'Specs'!$A$2:$A$164,'Specs'!$K$2:$K$164,"")</x:f>
      </x:c>
      <x:c r="L280" t="str">
        <x:f>XLOOKUP($A280,'Specs'!$A$2:$A$164,'Specs'!$L$2:$L$164,"")</x:f>
      </x:c>
      <x:c r="M280" t="n">
        <x:f>XLOOKUP($A280,'Specs'!$A$2:$A$164,'Specs'!$M$2:$M$164,"")</x:f>
        <x:v>630</x:v>
      </x:c>
      <x:c r="N280" t="str">
        <x:f>XLOOKUP($A280,'Specs'!$A$2:$A$164,'Specs'!$N$2:$N$164,"")</x:f>
      </x:c>
      <x:c r="O280" t="str">
        <x:f>XLOOKUP($A280,'Specs'!$A$2:$A$164,'Specs'!$O$2:$O$164,"")</x:f>
      </x:c>
      <x:c r="P280" t="str">
        <x:f>XLOOKUP($A280,'Specs'!$A$2:$A$164,'Specs'!$P$2:$P$164,"")</x:f>
        <x:v>HIGH</x:v>
      </x:c>
      <x:c r="Q280" s="53" t="n">
        <x:f>XLOOKUP($A280,'Specs'!$A$2:$A$164,'Specs'!$Q$2:$Q$164,"")</x:f>
        <x:v>2</x:v>
      </x:c>
      <x:c r="R280" s="53" t="n">
        <x:f>XLOOKUP($A280,'Specs'!$A$2:$A$164,'Specs'!$R$2:$R$164,"")</x:f>
        <x:v>2</x:v>
      </x:c>
      <x:c r="S280" t="str">
        <x:f>'Vendor Options'!A280</x:f>
        <x:v>OFFER-C001EC0DB5A4</x:v>
      </x:c>
      <x:c r="T280" t="str">
        <x:f>'Vendor Options'!C280</x:f>
        <x:v>PHI</x:v>
      </x:c>
      <x:c r="U280" t="str">
        <x:f>'Vendor Options'!D280</x:f>
        <x:v>PULL TRIM THUMB</x:v>
      </x:c>
      <x:c r="V280" t="str">
        <x:f>'Vendor Options'!E280</x:f>
        <x:v>1703A</x:v>
      </x:c>
      <x:c r="W280" t="n">
        <x:f>'Vendor Options'!F280</x:f>
        <x:v>0</x:v>
      </x:c>
      <x:c r="X280" t="n">
        <x:f>'Vendor Options'!G280</x:f>
        <x:v>0</x:v>
      </x:c>
      <x:c r="Y280" t="n">
        <x:f>'Vendor Options'!H280</x:f>
        <x:v>0</x:v>
      </x:c>
      <x:c r="Z280" t="str">
        <x:f>'Vendor Options'!I280</x:f>
      </x:c>
      <x:c r="AA280" s="54" t="n">
        <x:f>'Vendor Options'!J280</x:f>
        <x:v>1000</x:v>
      </x:c>
      <x:c r="AB280" t="n">
        <x:f>'Vendor Options'!K280</x:f>
        <x:v>0</x:v>
      </x:c>
      <x:c r="AC280" s="57" t="n">
        <x:f>'Vendor Options'!L280</x:f>
        <x:v>0</x:v>
      </x:c>
      <x:c r="AD280" s="57" t="n">
        <x:f>'Vendor Options'!M280</x:f>
        <x:v>0</x:v>
      </x:c>
      <x:c r="AE280" s="54" t="n">
        <x:f>'Vendor Options'!N280</x:f>
        <x:v>1000</x:v>
      </x:c>
      <x:c r="AF280" t="str">
        <x:f>'Vendor Options'!O280</x:f>
        <x:v>USD</x:v>
      </x:c>
      <x:c r="AG280" t="str">
        <x:f>'Vendor Options'!P280</x:f>
        <x:v>PRICED</x:v>
      </x:c>
      <x:c r="AH280" t="str">
        <x:f>'Vendor Options'!Q280</x:f>
        <x:v>REVIEW</x:v>
      </x:c>
      <x:c r="AI280" t="str">
        <x:f>'Vendor Options'!R280</x:f>
        <x:v>MISSING_PART_NUMBER</x:v>
      </x:c>
      <x:c r="AJ280" t="n">
        <x:f>'Vendor Options'!S280</x:f>
        <x:v>251</x:v>
      </x:c>
    </x:row>
    <x:row r="281" ht="15" hidden="0" customHeight="1">
      <x:c r="A281" t="str">
        <x:f>'Vendor Options'!B281</x:f>
        <x:v>SPEC-573D87063710</x:v>
      </x:c>
      <x:c r="B281" t="str">
        <x:f>XLOOKUP($A281,'Specs'!$A$2:$A$164,'Specs'!$B$2:$B$164,"")</x:f>
        <x:v>PANIC TRIM</x:v>
      </x:c>
      <x:c r="C281" t="str">
        <x:f>XLOOKUP($A281,'Specs'!$A$2:$A$164,'Specs'!$C$2:$C$164,"")</x:f>
        <x:v>THUMBPIECE PULL TRIM</x:v>
      </x:c>
      <x:c r="D281" t="str">
        <x:f>XLOOKUP($A281,'Specs'!$A$2:$A$164,'Specs'!$D$2:$D$164,"")</x:f>
        <x:v>RIM</x:v>
      </x:c>
      <x:c r="E281" t="str">
        <x:f>XLOOKUP($A281,'Specs'!$A$2:$A$164,'Specs'!$E$2:$E$164,"")</x:f>
        <x:v>KEY LOCKS / UNLOCKS THUMBPIECE</x:v>
      </x:c>
      <x:c r="F281" t="str">
        <x:f>XLOOKUP($A281,'Specs'!$A$2:$A$164,'Specs'!$F$2:$F$164,"")</x:f>
        <x:v>STANDARD</x:v>
      </x:c>
      <x:c r="G281" t="str">
        <x:f>XLOOKUP($A281,'Specs'!$A$2:$A$164,'Specs'!$G$2:$G$164,"")</x:f>
      </x:c>
      <x:c r="H281" t="str">
        <x:f>XLOOKUP($A281,'Specs'!$A$2:$A$164,'Specs'!$H$2:$H$164,"")</x:f>
      </x:c>
      <x:c r="I281" t="str">
        <x:f>XLOOKUP($A281,'Specs'!$A$2:$A$164,'Specs'!$I$2:$I$164,"")</x:f>
      </x:c>
      <x:c r="J281" t="str">
        <x:f>XLOOKUP($A281,'Specs'!$A$2:$A$164,'Specs'!$J$2:$J$164,"")</x:f>
      </x:c>
      <x:c r="K281" t="str">
        <x:f>XLOOKUP($A281,'Specs'!$A$2:$A$164,'Specs'!$K$2:$K$164,"")</x:f>
      </x:c>
      <x:c r="L281" t="str">
        <x:f>XLOOKUP($A281,'Specs'!$A$2:$A$164,'Specs'!$L$2:$L$164,"")</x:f>
      </x:c>
      <x:c r="M281" t="n">
        <x:f>XLOOKUP($A281,'Specs'!$A$2:$A$164,'Specs'!$M$2:$M$164,"")</x:f>
        <x:v>630</x:v>
      </x:c>
      <x:c r="N281" t="str">
        <x:f>XLOOKUP($A281,'Specs'!$A$2:$A$164,'Specs'!$N$2:$N$164,"")</x:f>
      </x:c>
      <x:c r="O281" t="str">
        <x:f>XLOOKUP($A281,'Specs'!$A$2:$A$164,'Specs'!$O$2:$O$164,"")</x:f>
      </x:c>
      <x:c r="P281" t="str">
        <x:f>XLOOKUP($A281,'Specs'!$A$2:$A$164,'Specs'!$P$2:$P$164,"")</x:f>
        <x:v>HIGH</x:v>
      </x:c>
      <x:c r="Q281" s="53" t="n">
        <x:f>XLOOKUP($A281,'Specs'!$A$2:$A$164,'Specs'!$Q$2:$Q$164,"")</x:f>
        <x:v>2</x:v>
      </x:c>
      <x:c r="R281" s="53" t="n">
        <x:f>XLOOKUP($A281,'Specs'!$A$2:$A$164,'Specs'!$R$2:$R$164,"")</x:f>
        <x:v>2</x:v>
      </x:c>
      <x:c r="S281" t="str">
        <x:f>'Vendor Options'!A281</x:f>
        <x:v>OFFER-63EAD5311FF7</x:v>
      </x:c>
      <x:c r="T281" t="str">
        <x:f>'Vendor Options'!C281</x:f>
        <x:v>DK</x:v>
      </x:c>
      <x:c r="U281" t="str">
        <x:f>'Vendor Options'!D281</x:f>
        <x:v>PULL TRIM THUMB</x:v>
      </x:c>
      <x:c r="V281" t="str">
        <x:f>'Vendor Options'!E281</x:f>
        <x:v>HTT05</x:v>
      </x:c>
      <x:c r="W281" t="n">
        <x:f>'Vendor Options'!F281</x:f>
        <x:v>0</x:v>
      </x:c>
      <x:c r="X281" t="n">
        <x:f>'Vendor Options'!G281</x:f>
        <x:v>0</x:v>
      </x:c>
      <x:c r="Y281" t="n">
        <x:f>'Vendor Options'!H281</x:f>
        <x:v>0</x:v>
      </x:c>
      <x:c r="Z281" t="str">
        <x:f>'Vendor Options'!I281</x:f>
      </x:c>
      <x:c r="AA281" s="54" t="n">
        <x:f>'Vendor Options'!J281</x:f>
        <x:v>467</x:v>
      </x:c>
      <x:c r="AB281" t="n">
        <x:f>'Vendor Options'!K281</x:f>
        <x:v>0</x:v>
      </x:c>
      <x:c r="AC281" s="57" t="n">
        <x:f>'Vendor Options'!L281</x:f>
        <x:v>0</x:v>
      </x:c>
      <x:c r="AD281" s="57" t="n">
        <x:f>'Vendor Options'!M281</x:f>
        <x:v>0</x:v>
      </x:c>
      <x:c r="AE281" s="54" t="n">
        <x:f>'Vendor Options'!N281</x:f>
        <x:v>467</x:v>
      </x:c>
      <x:c r="AF281" t="str">
        <x:f>'Vendor Options'!O281</x:f>
        <x:v>USD</x:v>
      </x:c>
      <x:c r="AG281" t="str">
        <x:f>'Vendor Options'!P281</x:f>
        <x:v>PRICED</x:v>
      </x:c>
      <x:c r="AH281" t="str">
        <x:f>'Vendor Options'!Q281</x:f>
        <x:v>REVIEW</x:v>
      </x:c>
      <x:c r="AI281" t="str">
        <x:f>'Vendor Options'!R281</x:f>
        <x:v>MISSING_PART_NUMBER</x:v>
      </x:c>
      <x:c r="AJ281" t="n">
        <x:f>'Vendor Options'!S281</x:f>
        <x:v>332</x:v>
      </x:c>
    </x:row>
    <x:row r="282" ht="15" hidden="0" customHeight="1">
      <x:c r="A282" t="str">
        <x:f>'Vendor Options'!B282</x:f>
        <x:v>SPEC-573D87063710</x:v>
      </x:c>
      <x:c r="B282" t="str">
        <x:f>XLOOKUP($A282,'Specs'!$A$2:$A$164,'Specs'!$B$2:$B$164,"")</x:f>
        <x:v>PANIC TRIM</x:v>
      </x:c>
      <x:c r="C282" t="str">
        <x:f>XLOOKUP($A282,'Specs'!$A$2:$A$164,'Specs'!$C$2:$C$164,"")</x:f>
        <x:v>THUMBPIECE PULL TRIM</x:v>
      </x:c>
      <x:c r="D282" t="str">
        <x:f>XLOOKUP($A282,'Specs'!$A$2:$A$164,'Specs'!$D$2:$D$164,"")</x:f>
        <x:v>RIM</x:v>
      </x:c>
      <x:c r="E282" t="str">
        <x:f>XLOOKUP($A282,'Specs'!$A$2:$A$164,'Specs'!$E$2:$E$164,"")</x:f>
        <x:v>KEY LOCKS / UNLOCKS THUMBPIECE</x:v>
      </x:c>
      <x:c r="F282" t="str">
        <x:f>XLOOKUP($A282,'Specs'!$A$2:$A$164,'Specs'!$F$2:$F$164,"")</x:f>
        <x:v>STANDARD</x:v>
      </x:c>
      <x:c r="G282" t="str">
        <x:f>XLOOKUP($A282,'Specs'!$A$2:$A$164,'Specs'!$G$2:$G$164,"")</x:f>
      </x:c>
      <x:c r="H282" t="str">
        <x:f>XLOOKUP($A282,'Specs'!$A$2:$A$164,'Specs'!$H$2:$H$164,"")</x:f>
      </x:c>
      <x:c r="I282" t="str">
        <x:f>XLOOKUP($A282,'Specs'!$A$2:$A$164,'Specs'!$I$2:$I$164,"")</x:f>
      </x:c>
      <x:c r="J282" t="str">
        <x:f>XLOOKUP($A282,'Specs'!$A$2:$A$164,'Specs'!$J$2:$J$164,"")</x:f>
      </x:c>
      <x:c r="K282" t="str">
        <x:f>XLOOKUP($A282,'Specs'!$A$2:$A$164,'Specs'!$K$2:$K$164,"")</x:f>
      </x:c>
      <x:c r="L282" t="str">
        <x:f>XLOOKUP($A282,'Specs'!$A$2:$A$164,'Specs'!$L$2:$L$164,"")</x:f>
      </x:c>
      <x:c r="M282" t="n">
        <x:f>XLOOKUP($A282,'Specs'!$A$2:$A$164,'Specs'!$M$2:$M$164,"")</x:f>
        <x:v>630</x:v>
      </x:c>
      <x:c r="N282" t="str">
        <x:f>XLOOKUP($A282,'Specs'!$A$2:$A$164,'Specs'!$N$2:$N$164,"")</x:f>
      </x:c>
      <x:c r="O282" t="str">
        <x:f>XLOOKUP($A282,'Specs'!$A$2:$A$164,'Specs'!$O$2:$O$164,"")</x:f>
      </x:c>
      <x:c r="P282" t="str">
        <x:f>XLOOKUP($A282,'Specs'!$A$2:$A$164,'Specs'!$P$2:$P$164,"")</x:f>
        <x:v>HIGH</x:v>
      </x:c>
      <x:c r="Q282" s="53" t="n">
        <x:f>XLOOKUP($A282,'Specs'!$A$2:$A$164,'Specs'!$Q$2:$Q$164,"")</x:f>
        <x:v>2</x:v>
      </x:c>
      <x:c r="R282" s="53" t="n">
        <x:f>XLOOKUP($A282,'Specs'!$A$2:$A$164,'Specs'!$R$2:$R$164,"")</x:f>
        <x:v>2</x:v>
      </x:c>
      <x:c r="S282" t="str">
        <x:f>'Vendor Options'!A282</x:f>
        <x:v>OFFER-B8F438161444</x:v>
      </x:c>
      <x:c r="T282" t="str">
        <x:f>'Vendor Options'!C282</x:f>
        <x:v>PHI</x:v>
      </x:c>
      <x:c r="U282" t="str">
        <x:f>'Vendor Options'!D282</x:f>
        <x:v>PULL TRIM THUMB</x:v>
      </x:c>
      <x:c r="V282" t="str">
        <x:f>'Vendor Options'!E282</x:f>
        <x:v>1705A</x:v>
      </x:c>
      <x:c r="W282" t="n">
        <x:f>'Vendor Options'!F282</x:f>
        <x:v>0</x:v>
      </x:c>
      <x:c r="X282" t="n">
        <x:f>'Vendor Options'!G282</x:f>
        <x:v>0</x:v>
      </x:c>
      <x:c r="Y282" t="n">
        <x:f>'Vendor Options'!H282</x:f>
        <x:v>0</x:v>
      </x:c>
      <x:c r="Z282" t="str">
        <x:f>'Vendor Options'!I282</x:f>
      </x:c>
      <x:c r="AA282" s="54" t="n">
        <x:f>'Vendor Options'!J282</x:f>
        <x:v>1250</x:v>
      </x:c>
      <x:c r="AB282" t="n">
        <x:f>'Vendor Options'!K282</x:f>
        <x:v>0</x:v>
      </x:c>
      <x:c r="AC282" s="57" t="n">
        <x:f>'Vendor Options'!L282</x:f>
        <x:v>0</x:v>
      </x:c>
      <x:c r="AD282" s="57" t="n">
        <x:f>'Vendor Options'!M282</x:f>
        <x:v>0</x:v>
      </x:c>
      <x:c r="AE282" s="54" t="n">
        <x:f>'Vendor Options'!N282</x:f>
        <x:v>1250</x:v>
      </x:c>
      <x:c r="AF282" t="str">
        <x:f>'Vendor Options'!O282</x:f>
        <x:v>USD</x:v>
      </x:c>
      <x:c r="AG282" t="str">
        <x:f>'Vendor Options'!P282</x:f>
        <x:v>PRICED</x:v>
      </x:c>
      <x:c r="AH282" t="str">
        <x:f>'Vendor Options'!Q282</x:f>
        <x:v>REVIEW</x:v>
      </x:c>
      <x:c r="AI282" t="str">
        <x:f>'Vendor Options'!R282</x:f>
        <x:v>MISSING_PART_NUMBER</x:v>
      </x:c>
      <x:c r="AJ282" t="n">
        <x:f>'Vendor Options'!S282</x:f>
        <x:v>347</x:v>
      </x:c>
    </x:row>
    <x:row r="283" ht="15" hidden="0" customHeight="1">
      <x:c r="A283" t="str">
        <x:f>'Vendor Options'!B283</x:f>
        <x:v>SPEC-A097D4F851FA</x:v>
      </x:c>
      <x:c r="B283" t="str">
        <x:f>XLOOKUP($A283,'Specs'!$A$2:$A$164,'Specs'!$B$2:$B$164,"")</x:f>
        <x:v>PANIC TRIM</x:v>
      </x:c>
      <x:c r="C283" t="str">
        <x:f>XLOOKUP($A283,'Specs'!$A$2:$A$164,'Specs'!$C$2:$C$164,"")</x:f>
        <x:v>THUMBPIECE PULL TRIM</x:v>
      </x:c>
      <x:c r="D283" t="str">
        <x:f>XLOOKUP($A283,'Specs'!$A$2:$A$164,'Specs'!$D$2:$D$164,"")</x:f>
        <x:v>RIM</x:v>
      </x:c>
      <x:c r="E283" t="str">
        <x:f>XLOOKUP($A283,'Specs'!$A$2:$A$164,'Specs'!$E$2:$E$164,"")</x:f>
        <x:v>KEY RETRACTS LATCH</x:v>
      </x:c>
      <x:c r="F283" t="str">
        <x:f>XLOOKUP($A283,'Specs'!$A$2:$A$164,'Specs'!$F$2:$F$164,"")</x:f>
        <x:v>STANDARD</x:v>
      </x:c>
      <x:c r="G283" t="str">
        <x:f>XLOOKUP($A283,'Specs'!$A$2:$A$164,'Specs'!$G$2:$G$164,"")</x:f>
      </x:c>
      <x:c r="H283" t="str">
        <x:f>XLOOKUP($A283,'Specs'!$A$2:$A$164,'Specs'!$H$2:$H$164,"")</x:f>
      </x:c>
      <x:c r="I283" t="str">
        <x:f>XLOOKUP($A283,'Specs'!$A$2:$A$164,'Specs'!$I$2:$I$164,"")</x:f>
      </x:c>
      <x:c r="J283" t="str">
        <x:f>XLOOKUP($A283,'Specs'!$A$2:$A$164,'Specs'!$J$2:$J$164,"")</x:f>
      </x:c>
      <x:c r="K283" t="str">
        <x:f>XLOOKUP($A283,'Specs'!$A$2:$A$164,'Specs'!$K$2:$K$164,"")</x:f>
      </x:c>
      <x:c r="L283" t="str">
        <x:f>XLOOKUP($A283,'Specs'!$A$2:$A$164,'Specs'!$L$2:$L$164,"")</x:f>
      </x:c>
      <x:c r="M283" t="n">
        <x:f>XLOOKUP($A283,'Specs'!$A$2:$A$164,'Specs'!$M$2:$M$164,"")</x:f>
        <x:v>630</x:v>
      </x:c>
      <x:c r="N283" t="str">
        <x:f>XLOOKUP($A283,'Specs'!$A$2:$A$164,'Specs'!$N$2:$N$164,"")</x:f>
      </x:c>
      <x:c r="O283" t="str">
        <x:f>XLOOKUP($A283,'Specs'!$A$2:$A$164,'Specs'!$O$2:$O$164,"")</x:f>
      </x:c>
      <x:c r="P283" t="str">
        <x:f>XLOOKUP($A283,'Specs'!$A$2:$A$164,'Specs'!$P$2:$P$164,"")</x:f>
        <x:v>HIGH</x:v>
      </x:c>
      <x:c r="Q283" s="53" t="n">
        <x:f>XLOOKUP($A283,'Specs'!$A$2:$A$164,'Specs'!$Q$2:$Q$164,"")</x:f>
        <x:v>2</x:v>
      </x:c>
      <x:c r="R283" s="53" t="n">
        <x:f>XLOOKUP($A283,'Specs'!$A$2:$A$164,'Specs'!$R$2:$R$164,"")</x:f>
        <x:v>2</x:v>
      </x:c>
      <x:c r="S283" t="str">
        <x:f>'Vendor Options'!A283</x:f>
        <x:v>OFFER-6E06A2CCC848</x:v>
      </x:c>
      <x:c r="T283" t="str">
        <x:f>'Vendor Options'!C283</x:f>
        <x:v>DK</x:v>
      </x:c>
      <x:c r="U283" t="str">
        <x:f>'Vendor Options'!D283</x:f>
        <x:v>PULL TRIM THUMB</x:v>
      </x:c>
      <x:c r="V283" t="str">
        <x:f>'Vendor Options'!E283</x:f>
        <x:v>HTT03</x:v>
      </x:c>
      <x:c r="W283" t="n">
        <x:f>'Vendor Options'!F283</x:f>
        <x:v>0</x:v>
      </x:c>
      <x:c r="X283" t="n">
        <x:f>'Vendor Options'!G283</x:f>
        <x:v>0</x:v>
      </x:c>
      <x:c r="Y283" t="n">
        <x:f>'Vendor Options'!H283</x:f>
        <x:v>0</x:v>
      </x:c>
      <x:c r="Z283" t="str">
        <x:f>'Vendor Options'!I283</x:f>
      </x:c>
      <x:c r="AA283" s="54" t="n">
        <x:f>'Vendor Options'!J283</x:f>
        <x:v>443</x:v>
      </x:c>
      <x:c r="AB283" t="n">
        <x:f>'Vendor Options'!K283</x:f>
        <x:v>0</x:v>
      </x:c>
      <x:c r="AC283" s="57" t="n">
        <x:f>'Vendor Options'!L283</x:f>
        <x:v>0</x:v>
      </x:c>
      <x:c r="AD283" s="57" t="n">
        <x:f>'Vendor Options'!M283</x:f>
        <x:v>0</x:v>
      </x:c>
      <x:c r="AE283" s="54" t="n">
        <x:f>'Vendor Options'!N283</x:f>
        <x:v>443</x:v>
      </x:c>
      <x:c r="AF283" t="str">
        <x:f>'Vendor Options'!O283</x:f>
        <x:v>USD</x:v>
      </x:c>
      <x:c r="AG283" t="str">
        <x:f>'Vendor Options'!P283</x:f>
        <x:v>PRICED</x:v>
      </x:c>
      <x:c r="AH283" t="str">
        <x:f>'Vendor Options'!Q283</x:f>
        <x:v>REVIEW</x:v>
      </x:c>
      <x:c r="AI283" t="str">
        <x:f>'Vendor Options'!R283</x:f>
        <x:v>MISSING_PART_NUMBER</x:v>
      </x:c>
      <x:c r="AJ283" t="n">
        <x:f>'Vendor Options'!S283</x:f>
        <x:v>333</x:v>
      </x:c>
    </x:row>
    <x:row r="284" ht="15" hidden="0" customHeight="1">
      <x:c r="A284" t="str">
        <x:f>'Vendor Options'!B284</x:f>
        <x:v>SPEC-A097D4F851FA</x:v>
      </x:c>
      <x:c r="B284" t="str">
        <x:f>XLOOKUP($A284,'Specs'!$A$2:$A$164,'Specs'!$B$2:$B$164,"")</x:f>
        <x:v>PANIC TRIM</x:v>
      </x:c>
      <x:c r="C284" t="str">
        <x:f>XLOOKUP($A284,'Specs'!$A$2:$A$164,'Specs'!$C$2:$C$164,"")</x:f>
        <x:v>THUMBPIECE PULL TRIM</x:v>
      </x:c>
      <x:c r="D284" t="str">
        <x:f>XLOOKUP($A284,'Specs'!$A$2:$A$164,'Specs'!$D$2:$D$164,"")</x:f>
        <x:v>RIM</x:v>
      </x:c>
      <x:c r="E284" t="str">
        <x:f>XLOOKUP($A284,'Specs'!$A$2:$A$164,'Specs'!$E$2:$E$164,"")</x:f>
        <x:v>KEY RETRACTS LATCH</x:v>
      </x:c>
      <x:c r="F284" t="str">
        <x:f>XLOOKUP($A284,'Specs'!$A$2:$A$164,'Specs'!$F$2:$F$164,"")</x:f>
        <x:v>STANDARD</x:v>
      </x:c>
      <x:c r="G284" t="str">
        <x:f>XLOOKUP($A284,'Specs'!$A$2:$A$164,'Specs'!$G$2:$G$164,"")</x:f>
      </x:c>
      <x:c r="H284" t="str">
        <x:f>XLOOKUP($A284,'Specs'!$A$2:$A$164,'Specs'!$H$2:$H$164,"")</x:f>
      </x:c>
      <x:c r="I284" t="str">
        <x:f>XLOOKUP($A284,'Specs'!$A$2:$A$164,'Specs'!$I$2:$I$164,"")</x:f>
      </x:c>
      <x:c r="J284" t="str">
        <x:f>XLOOKUP($A284,'Specs'!$A$2:$A$164,'Specs'!$J$2:$J$164,"")</x:f>
      </x:c>
      <x:c r="K284" t="str">
        <x:f>XLOOKUP($A284,'Specs'!$A$2:$A$164,'Specs'!$K$2:$K$164,"")</x:f>
      </x:c>
      <x:c r="L284" t="str">
        <x:f>XLOOKUP($A284,'Specs'!$A$2:$A$164,'Specs'!$L$2:$L$164,"")</x:f>
      </x:c>
      <x:c r="M284" t="n">
        <x:f>XLOOKUP($A284,'Specs'!$A$2:$A$164,'Specs'!$M$2:$M$164,"")</x:f>
        <x:v>630</x:v>
      </x:c>
      <x:c r="N284" t="str">
        <x:f>XLOOKUP($A284,'Specs'!$A$2:$A$164,'Specs'!$N$2:$N$164,"")</x:f>
      </x:c>
      <x:c r="O284" t="str">
        <x:f>XLOOKUP($A284,'Specs'!$A$2:$A$164,'Specs'!$O$2:$O$164,"")</x:f>
      </x:c>
      <x:c r="P284" t="str">
        <x:f>XLOOKUP($A284,'Specs'!$A$2:$A$164,'Specs'!$P$2:$P$164,"")</x:f>
        <x:v>HIGH</x:v>
      </x:c>
      <x:c r="Q284" s="53" t="n">
        <x:f>XLOOKUP($A284,'Specs'!$A$2:$A$164,'Specs'!$Q$2:$Q$164,"")</x:f>
        <x:v>2</x:v>
      </x:c>
      <x:c r="R284" s="53" t="n">
        <x:f>XLOOKUP($A284,'Specs'!$A$2:$A$164,'Specs'!$R$2:$R$164,"")</x:f>
        <x:v>2</x:v>
      </x:c>
      <x:c r="S284" t="str">
        <x:f>'Vendor Options'!A284</x:f>
        <x:v>OFFER-FDFA8C0B544A</x:v>
      </x:c>
      <x:c r="T284" t="str">
        <x:f>'Vendor Options'!C284</x:f>
        <x:v>PHI</x:v>
      </x:c>
      <x:c r="U284" t="str">
        <x:f>'Vendor Options'!D284</x:f>
        <x:v>PULL TRIM THUMB</x:v>
      </x:c>
      <x:c r="V284" t="str">
        <x:f>'Vendor Options'!E284</x:f>
        <x:v>1703A</x:v>
      </x:c>
      <x:c r="W284" t="n">
        <x:f>'Vendor Options'!F284</x:f>
        <x:v>0</x:v>
      </x:c>
      <x:c r="X284" t="n">
        <x:f>'Vendor Options'!G284</x:f>
        <x:v>0</x:v>
      </x:c>
      <x:c r="Y284" t="n">
        <x:f>'Vendor Options'!H284</x:f>
        <x:v>0</x:v>
      </x:c>
      <x:c r="Z284" t="n">
        <x:f>'Vendor Options'!I284</x:f>
        <x:v>0</x:v>
      </x:c>
      <x:c r="AA284" s="54" t="n">
        <x:f>'Vendor Options'!J284</x:f>
        <x:v>1000</x:v>
      </x:c>
      <x:c r="AB284" t="n">
        <x:f>'Vendor Options'!K284</x:f>
        <x:v>0</x:v>
      </x:c>
      <x:c r="AC284" s="57" t="n">
        <x:f>'Vendor Options'!L284</x:f>
        <x:v>0</x:v>
      </x:c>
      <x:c r="AD284" s="57" t="n">
        <x:f>'Vendor Options'!M284</x:f>
        <x:v>0</x:v>
      </x:c>
      <x:c r="AE284" s="54" t="n">
        <x:f>'Vendor Options'!N284</x:f>
        <x:v>1000</x:v>
      </x:c>
      <x:c r="AF284" t="str">
        <x:f>'Vendor Options'!O284</x:f>
        <x:v>USD</x:v>
      </x:c>
      <x:c r="AG284" t="str">
        <x:f>'Vendor Options'!P284</x:f>
        <x:v>PRICED</x:v>
      </x:c>
      <x:c r="AH284" t="str">
        <x:f>'Vendor Options'!Q284</x:f>
        <x:v>REVIEW</x:v>
      </x:c>
      <x:c r="AI284" t="str">
        <x:f>'Vendor Options'!R284</x:f>
        <x:v>MISSING_PART_NUMBER</x:v>
      </x:c>
      <x:c r="AJ284" t="n">
        <x:f>'Vendor Options'!S284</x:f>
        <x:v>348</x:v>
      </x:c>
    </x:row>
  </x:sheetData>
  <x:pageMargins left="0.7" right="0.7" top="0.75" bottom="0.75" header="0.3" footer="0.3"/>
  <x:tableParts count="1">
    <x:tablePart xmlns:r="http://schemas.openxmlformats.org/officeDocument/2006/relationships" r:id="R7c2cda5642c04f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22" hidden="0" customWidth="1"/>
    <x:col min="5" max="5" width="12" hidden="0" customWidth="1"/>
    <x:col min="6" max="6" width="55" hidden="0" customWidth="1"/>
    <x:col min="7" max="7" width="65" hidden="0" customWidth="1"/>
  </x:cols>
  <x:sheetData>
    <x:row r="1" ht="34" hidden="0" customHeight="1">
      <x:c r="A1" s="34" t="str">
        <x:v>Severity</x:v>
      </x:c>
      <x:c r="B1" s="34" t="str">
        <x:v>Issue_Type</x:v>
      </x:c>
      <x:c r="C1" s="34" t="str">
        <x:v>Offer_ID</x:v>
      </x:c>
      <x:c r="D1" s="34" t="str">
        <x:v>Spec_ID</x:v>
      </x:c>
      <x:c r="E1" s="34" t="str">
        <x:v>Source_Row</x:v>
      </x:c>
      <x:c r="F1" s="34" t="str">
        <x:v>Record_Summary</x:v>
      </x:c>
      <x:c r="G1" s="34" t="str">
        <x:v>Recommended_Action</x:v>
      </x:c>
    </x:row>
    <x:row r="2" ht="15" hidden="0" customHeight="1">
      <x:c r="A2" t="str">
        <x:v>ERROR</x:v>
      </x:c>
      <x:c r="B2" t="str">
        <x:v>EXACT_DUPLICATE_EXCLUDED</x:v>
      </x:c>
      <x:c r="C2" t="str">
        <x:v>OFFER-0D78AFA6972C</x:v>
      </x:c>
      <x:c r="D2" t="str">
        <x:v>SPEC-4729E3036CB9</x:v>
      </x:c>
      <x:c r="E2" t="n">
        <x:v>193</x:v>
      </x:c>
      <x:c r="F2" s="45" t="str">
        <x:v>Exact duplicate of source row 192</x:v>
      </x:c>
      <x:c r="G2" s="45" t="str">
        <x:v>Do not ingest this row; the first identical source row is retained.</x:v>
      </x:c>
    </x:row>
    <x:row r="3" ht="15" hidden="0" customHeight="1">
      <x:c r="A3" t="str">
        <x:v>ERROR</x:v>
      </x:c>
      <x:c r="B3" t="str">
        <x:v>EXACT_DUPLICATE_EXCLUDED</x:v>
      </x:c>
      <x:c r="C3" t="str">
        <x:v>OFFER-E0C8F557F087</x:v>
      </x:c>
      <x:c r="D3" t="str">
        <x:v>SPEC-E1BC0AC27D6E</x:v>
      </x:c>
      <x:c r="E3" t="n">
        <x:v>195</x:v>
      </x:c>
      <x:c r="F3" s="45" t="str">
        <x:v>Exact duplicate of source row 194</x:v>
      </x:c>
      <x:c r="G3" s="45" t="str">
        <x:v>Do not ingest this row; the first identical source row is retained.</x:v>
      </x:c>
    </x:row>
    <x:row r="4" ht="15" hidden="0" customHeight="1">
      <x:c r="A4" t="str">
        <x:v>ERROR</x:v>
      </x:c>
      <x:c r="B4" t="str">
        <x:v>EXACT_DUPLICATE_EXCLUDED</x:v>
      </x:c>
      <x:c r="C4" t="str">
        <x:v>OFFER-2D3ABF1C542C</x:v>
      </x:c>
      <x:c r="D4" t="str">
        <x:v>SPEC-C5B77A68C63A</x:v>
      </x:c>
      <x:c r="E4" t="n">
        <x:v>257</x:v>
      </x:c>
      <x:c r="F4" s="45" t="str">
        <x:v>Exact duplicate of source row 242</x:v>
      </x:c>
      <x:c r="G4" s="45" t="str">
        <x:v>Do not ingest this row; the first identical source row is retained.</x:v>
      </x:c>
    </x:row>
    <x:row r="5" ht="15" hidden="0" customHeight="1">
      <x:c r="A5" t="str">
        <x:v>ERROR</x:v>
      </x:c>
      <x:c r="B5" t="str">
        <x:v>EXACT_DUPLICATE_EXCLUDED</x:v>
      </x:c>
      <x:c r="C5" t="str">
        <x:v>OFFER-71CC3A3DEC37</x:v>
      </x:c>
      <x:c r="D5" t="str">
        <x:v>SPEC-1D93796FD95F</x:v>
      </x:c>
      <x:c r="E5" t="n">
        <x:v>258</x:v>
      </x:c>
      <x:c r="F5" s="45" t="str">
        <x:v>Exact duplicate of source row 243</x:v>
      </x:c>
      <x:c r="G5" s="45" t="str">
        <x:v>Do not ingest this row; the first identical source row is retained.</x:v>
      </x:c>
    </x:row>
    <x:row r="6" ht="15" hidden="0" customHeight="1">
      <x:c r="A6" t="str">
        <x:v>ERROR</x:v>
      </x:c>
      <x:c r="B6" t="str">
        <x:v>EXACT_DUPLICATE_EXCLUDED</x:v>
      </x:c>
      <x:c r="C6" t="str">
        <x:v>OFFER-1D6F45D649A9</x:v>
      </x:c>
      <x:c r="D6" t="str">
        <x:v>SPEC-C4ED33E1B50D</x:v>
      </x:c>
      <x:c r="E6" t="n">
        <x:v>259</x:v>
      </x:c>
      <x:c r="F6" s="45" t="str">
        <x:v>Exact duplicate of source row 244</x:v>
      </x:c>
      <x:c r="G6" s="45" t="str">
        <x:v>Do not ingest this row; the first identical source row is retained.</x:v>
      </x:c>
    </x:row>
    <x:row r="7" ht="15" hidden="0" customHeight="1">
      <x:c r="A7" t="str">
        <x:v>ERROR</x:v>
      </x:c>
      <x:c r="B7" t="str">
        <x:v>EXACT_DUPLICATE_EXCLUDED</x:v>
      </x:c>
      <x:c r="C7" t="str">
        <x:v>OFFER-C9960490322F</x:v>
      </x:c>
      <x:c r="D7" t="str">
        <x:v>SPEC-C0B08F444CF0</x:v>
      </x:c>
      <x:c r="E7" t="n">
        <x:v>260</x:v>
      </x:c>
      <x:c r="F7" s="45" t="str">
        <x:v>Exact duplicate of source row 245</x:v>
      </x:c>
      <x:c r="G7" s="45" t="str">
        <x:v>Do not ingest this row; the first identical source row is retained.</x:v>
      </x:c>
    </x:row>
    <x:row r="8" ht="15" hidden="0" customHeight="1">
      <x:c r="A8" t="str">
        <x:v>ERROR</x:v>
      </x:c>
      <x:c r="B8" t="str">
        <x:v>EXACT_DUPLICATE_EXCLUDED</x:v>
      </x:c>
      <x:c r="C8" t="str">
        <x:v>OFFER-05C9188B3A16</x:v>
      </x:c>
      <x:c r="D8" t="str">
        <x:v>SPEC-C7B25313BBD9</x:v>
      </x:c>
      <x:c r="E8" t="n">
        <x:v>261</x:v>
      </x:c>
      <x:c r="F8" s="45" t="str">
        <x:v>Exact duplicate of source row 246</x:v>
      </x:c>
      <x:c r="G8" s="45" t="str">
        <x:v>Do not ingest this row; the first identical source row is retained.</x:v>
      </x:c>
    </x:row>
    <x:row r="9" ht="15" hidden="0" customHeight="1">
      <x:c r="A9" t="str">
        <x:v>ERROR</x:v>
      </x:c>
      <x:c r="B9" t="str">
        <x:v>EXACT_DUPLICATE_EXCLUDED</x:v>
      </x:c>
      <x:c r="C9" t="str">
        <x:v>OFFER-C67E39244F9C</x:v>
      </x:c>
      <x:c r="D9" t="str">
        <x:v>SPEC-809A92977C48</x:v>
      </x:c>
      <x:c r="E9" t="n">
        <x:v>263</x:v>
      </x:c>
      <x:c r="F9" s="45" t="str">
        <x:v>Exact duplicate of source row 248</x:v>
      </x:c>
      <x:c r="G9" s="45" t="str">
        <x:v>Do not ingest this row; the first identical source row is retained.</x:v>
      </x:c>
    </x:row>
    <x:row r="10" ht="15" hidden="0" customHeight="1">
      <x:c r="A10" t="str">
        <x:v>ERROR</x:v>
      </x:c>
      <x:c r="B10" t="str">
        <x:v>EXACT_DUPLICATE_EXCLUDED</x:v>
      </x:c>
      <x:c r="C10" t="str">
        <x:v>OFFER-5389E6055E2D</x:v>
      </x:c>
      <x:c r="D10" t="str">
        <x:v>SPEC-AFD3426908DC</x:v>
      </x:c>
      <x:c r="E10" t="n">
        <x:v>264</x:v>
      </x:c>
      <x:c r="F10" s="45" t="str">
        <x:v>Exact duplicate of source row 249</x:v>
      </x:c>
      <x:c r="G10" s="45" t="str">
        <x:v>Do not ingest this row; the first identical source row is retained.</x:v>
      </x:c>
    </x:row>
    <x:row r="11" ht="15" hidden="0" customHeight="1">
      <x:c r="A11" t="str">
        <x:v>ERROR</x:v>
      </x:c>
      <x:c r="B11" t="str">
        <x:v>EXACT_DUPLICATE_EXCLUDED</x:v>
      </x:c>
      <x:c r="C11" t="str">
        <x:v>OFFER-30E2A629C269</x:v>
      </x:c>
      <x:c r="D11" t="str">
        <x:v>SPEC-BF967A9B6B97</x:v>
      </x:c>
      <x:c r="E11" t="n">
        <x:v>265</x:v>
      </x:c>
      <x:c r="F11" s="45" t="str">
        <x:v>Exact duplicate of source row 250</x:v>
      </x:c>
      <x:c r="G11" s="45" t="str">
        <x:v>Do not ingest this row; the first identical source row is retained.</x:v>
      </x:c>
    </x:row>
    <x:row r="12" ht="15" hidden="0" customHeight="1">
      <x:c r="A12" t="str">
        <x:v>ERROR</x:v>
      </x:c>
      <x:c r="B12" t="str">
        <x:v>EXACT_DUPLICATE_EXCLUDED</x:v>
      </x:c>
      <x:c r="C12" t="str">
        <x:v>OFFER-C001EC0DB5A4</x:v>
      </x:c>
      <x:c r="D12" t="str">
        <x:v>SPEC-4E844C1A94F7</x:v>
      </x:c>
      <x:c r="E12" t="n">
        <x:v>266</x:v>
      </x:c>
      <x:c r="F12" s="45" t="str">
        <x:v>Exact duplicate of source row 251</x:v>
      </x:c>
      <x:c r="G12" s="45" t="str">
        <x:v>Do not ingest this row; the first identical source row is retained.</x:v>
      </x:c>
    </x:row>
    <x:row r="13" ht="15" hidden="0" customHeight="1">
      <x:c r="A13" t="str">
        <x:v>ERROR</x:v>
      </x:c>
      <x:c r="B13" t="str">
        <x:v>EXACT_DUPLICATE_EXCLUDED</x:v>
      </x:c>
      <x:c r="C13" t="str">
        <x:v>OFFER-481DE3A545B7</x:v>
      </x:c>
      <x:c r="D13" t="str">
        <x:v>SPEC-AAC9EDB8AAE5</x:v>
      </x:c>
      <x:c r="E13" t="n">
        <x:v>267</x:v>
      </x:c>
      <x:c r="F13" s="45" t="str">
        <x:v>Exact duplicate of source row 252</x:v>
      </x:c>
      <x:c r="G13" s="45" t="str">
        <x:v>Do not ingest this row; the first identical source row is retained.</x:v>
      </x:c>
    </x:row>
    <x:row r="14" ht="15" hidden="0" customHeight="1">
      <x:c r="A14" t="str">
        <x:v>ERROR</x:v>
      </x:c>
      <x:c r="B14" t="str">
        <x:v>EXACT_DUPLICATE_EXCLUDED</x:v>
      </x:c>
      <x:c r="C14" t="str">
        <x:v>OFFER-7F49B7D2C161</x:v>
      </x:c>
      <x:c r="D14" t="str">
        <x:v>SPEC-689B22E417E6</x:v>
      </x:c>
      <x:c r="E14" t="n">
        <x:v>273</x:v>
      </x:c>
      <x:c r="F14" s="45" t="str">
        <x:v>Exact duplicate of source row 272</x:v>
      </x:c>
      <x:c r="G14" s="45" t="str">
        <x:v>Do not ingest this row; the first identical source row is retained.</x:v>
      </x:c>
    </x:row>
    <x:row r="15" ht="15" hidden="0" customHeight="1">
      <x:c r="A15" t="str">
        <x:v>ERROR</x:v>
      </x:c>
      <x:c r="B15" t="str">
        <x:v>EXACT_DUPLICATE_EXCLUDED</x:v>
      </x:c>
      <x:c r="C15" t="str">
        <x:v>OFFER-7F49B7D2C161</x:v>
      </x:c>
      <x:c r="D15" t="str">
        <x:v>SPEC-689B22E417E6</x:v>
      </x:c>
      <x:c r="E15" t="n">
        <x:v>274</x:v>
      </x:c>
      <x:c r="F15" s="45" t="str">
        <x:v>Exact duplicate of source row 272</x:v>
      </x:c>
      <x:c r="G15" s="45" t="str">
        <x:v>Do not ingest this row; the first identical source row is retained.</x:v>
      </x:c>
    </x:row>
    <x:row r="16" ht="15" hidden="0" customHeight="1">
      <x:c r="A16" t="str">
        <x:v>ERROR</x:v>
      </x:c>
      <x:c r="B16" t="str">
        <x:v>EXACT_DUPLICATE_EXCLUDED</x:v>
      </x:c>
      <x:c r="C16" t="str">
        <x:v>OFFER-51510BC59675</x:v>
      </x:c>
      <x:c r="D16" t="str">
        <x:v>SPEC-689B22E417E6</x:v>
      </x:c>
      <x:c r="E16" t="n">
        <x:v>276</x:v>
      </x:c>
      <x:c r="F16" s="45" t="str">
        <x:v>Exact duplicate of source row 275</x:v>
      </x:c>
      <x:c r="G16" s="45" t="str">
        <x:v>Do not ingest this row; the first identical source row is retained.</x:v>
      </x:c>
    </x:row>
    <x:row r="17" ht="15" hidden="0" customHeight="1">
      <x:c r="A17" t="str">
        <x:v>ERROR</x:v>
      </x:c>
      <x:c r="B17" t="str">
        <x:v>EXACT_DUPLICATE_EXCLUDED</x:v>
      </x:c>
      <x:c r="C17" t="str">
        <x:v>OFFER-51510BC59675</x:v>
      </x:c>
      <x:c r="D17" t="str">
        <x:v>SPEC-689B22E417E6</x:v>
      </x:c>
      <x:c r="E17" t="n">
        <x:v>277</x:v>
      </x:c>
      <x:c r="F17" s="45" t="str">
        <x:v>Exact duplicate of source row 275</x:v>
      </x:c>
      <x:c r="G17" s="45" t="str">
        <x:v>Do not ingest this row; the first identical source row is retained.</x:v>
      </x:c>
    </x:row>
    <x:row r="18" ht="15" hidden="0" customHeight="1">
      <x:c r="A18" t="str">
        <x:v>ERROR</x:v>
      </x:c>
      <x:c r="B18" t="str">
        <x:v>EXACT_DUPLICATE_EXCLUDED</x:v>
      </x:c>
      <x:c r="C18" t="str">
        <x:v>OFFER-51510BC59675</x:v>
      </x:c>
      <x:c r="D18" t="str">
        <x:v>SPEC-689B22E417E6</x:v>
      </x:c>
      <x:c r="E18" t="n">
        <x:v>278</x:v>
      </x:c>
      <x:c r="F18" s="45" t="str">
        <x:v>Exact duplicate of source row 275</x:v>
      </x:c>
      <x:c r="G18" s="45" t="str">
        <x:v>Do not ingest this row; the first identical source row is retained.</x:v>
      </x:c>
    </x:row>
    <x:row r="19" ht="15" hidden="0" customHeight="1">
      <x:c r="A19" t="str">
        <x:v>ERROR</x:v>
      </x:c>
      <x:c r="B19" t="str">
        <x:v>MISSING_VENDOR</x:v>
      </x:c>
      <x:c r="C19" t="str">
        <x:v>OFFER-FB649CFDCADA</x:v>
      </x:c>
      <x:c r="D19" t="str">
        <x:v>SPEC-DE59CAC94BBD</x:v>
      </x:c>
      <x:c r="E19" t="n">
        <x:v>6</x:v>
      </x:c>
      <x:c r="F19" s="45" t="str">
        <x:v>HINGE | SPRING BUTT HINGE | No vendor | SPRING</x:v>
      </x:c>
      <x:c r="G19" s="45" t="str">
        <x:v>Assign a valid manufacturer/vendor code before publishing this offer.</x:v>
      </x:c>
    </x:row>
    <x:row r="20" ht="15" hidden="0" customHeight="1">
      <x:c r="A20" t="str">
        <x:v>ERROR</x:v>
      </x:c>
      <x:c r="B20" t="str">
        <x:v>MISSING_VENDOR</x:v>
      </x:c>
      <x:c r="C20" t="str">
        <x:v>OFFER-EB397929ED5E</x:v>
      </x:c>
      <x:c r="D20" t="str">
        <x:v>SPEC-E60B40B45B93</x:v>
      </x:c>
      <x:c r="E20" t="n">
        <x:v>8</x:v>
      </x:c>
      <x:c r="F20" s="45" t="str">
        <x:v>HINGE | SPECIAL BUTT HINGE | No vendor | No part number</x:v>
      </x:c>
      <x:c r="G20" s="45" t="str">
        <x:v>Assign a valid manufacturer/vendor code before publishing this offer.</x:v>
      </x:c>
    </x:row>
    <x:row r="21" ht="15" hidden="0" customHeight="1">
      <x:c r="A21" t="str">
        <x:v>ERROR</x:v>
      </x:c>
      <x:c r="B21" t="str">
        <x:v>MISSING_VENDOR</x:v>
      </x:c>
      <x:c r="C21" t="str">
        <x:v>OFFER-EA52B87C0E65</x:v>
      </x:c>
      <x:c r="D21" t="str">
        <x:v>SPEC-CCD60FD58F0B</x:v>
      </x:c>
      <x:c r="E21" t="n">
        <x:v>10</x:v>
      </x:c>
      <x:c r="F21" s="45" t="str">
        <x:v>HINGE | BUTT HINGE | *** | ******</x:v>
      </x:c>
      <x:c r="G21" s="45" t="str">
        <x:v>Assign a valid manufacturer/vendor code before publishing this offer.</x:v>
      </x:c>
    </x:row>
    <x:row r="22" ht="15" hidden="0" customHeight="1">
      <x:c r="A22" t="str">
        <x:v>ERROR</x:v>
      </x:c>
      <x:c r="B22" t="str">
        <x:v>MISSING_VENDOR</x:v>
      </x:c>
      <x:c r="C22" t="str">
        <x:v>OFFER-A4B80386A96D</x:v>
      </x:c>
      <x:c r="D22" t="str">
        <x:v>SPEC-0C603B3070A1</x:v>
      </x:c>
      <x:c r="E22" t="n">
        <x:v>26</x:v>
      </x:c>
      <x:c r="F22" s="45" t="str">
        <x:v>HINGE | CONTINUOUS HINGE | No vendor | No part number</x:v>
      </x:c>
      <x:c r="G22" s="45" t="str">
        <x:v>Assign a valid manufacturer/vendor code before publishing this offer.</x:v>
      </x:c>
    </x:row>
    <x:row r="23" ht="15" hidden="0" customHeight="1">
      <x:c r="A23" t="str">
        <x:v>ERROR</x:v>
      </x:c>
      <x:c r="B23" t="str">
        <x:v>MISSING_VENDOR</x:v>
      </x:c>
      <x:c r="C23" t="str">
        <x:v>OFFER-78EE496E0A73</x:v>
      </x:c>
      <x:c r="D23" t="str">
        <x:v>SPEC-7EAD2E558CB5</x:v>
      </x:c>
      <x:c r="E23" t="n">
        <x:v>94</x:v>
      </x:c>
      <x:c r="F23" s="45" t="str">
        <x:v>DEADBOLT | CLASSROOM DEADBOLT | No vendor | LM23026D</x:v>
      </x:c>
      <x:c r="G23" s="45" t="str">
        <x:v>Assign a valid manufacturer/vendor code before publishing this offer.</x:v>
      </x:c>
    </x:row>
    <x:row r="24" ht="15" hidden="0" customHeight="1">
      <x:c r="A24" t="str">
        <x:v>ERROR</x:v>
      </x:c>
      <x:c r="B24" t="str">
        <x:v>PART_NUMBER_CONFLICT</x:v>
      </x:c>
      <x:c r="C24" t="str">
        <x:v>OFFER-FA185C57E7B9</x:v>
      </x:c>
      <x:c r="D24" t="str">
        <x:v>SPEC-46668F499153</x:v>
      </x:c>
      <x:c r="E24" t="n">
        <x:v>4</x:v>
      </x:c>
      <x:c r="F24" s="45" t="str">
        <x:v>HINGE | HEAVY WEIGHT BUTT HINGE | DH | 78000519</x:v>
      </x:c>
      <x:c r="G24" s="45" t="str">
        <x:v>Confirm whether the same part number legitimately maps to multiple specs/prices.</x:v>
      </x:c>
    </x:row>
    <x:row r="25" ht="15" hidden="0" customHeight="1">
      <x:c r="A25" t="str">
        <x:v>ERROR</x:v>
      </x:c>
      <x:c r="B25" t="str">
        <x:v>PART_NUMBER_CONFLICT</x:v>
      </x:c>
      <x:c r="C25" t="str">
        <x:v>OFFER-464F8F721986</x:v>
      </x:c>
      <x:c r="D25" t="str">
        <x:v>SPEC-0475607E1A90</x:v>
      </x:c>
      <x:c r="E25" t="n">
        <x:v>11</x:v>
      </x:c>
      <x:c r="F25" s="45" t="str">
        <x:v>HINGE | STANDARD WEIGHT BUTT HINGE | DH | 78000519</x:v>
      </x:c>
      <x:c r="G25" s="45" t="str">
        <x:v>Confirm whether the same part number legitimately maps to multiple specs/prices.</x:v>
      </x:c>
    </x:row>
    <x:row r="26" ht="15" hidden="0" customHeight="1">
      <x:c r="A26" t="str">
        <x:v>ERROR</x:v>
      </x:c>
      <x:c r="B26" t="str">
        <x:v>PART_NUMBER_CONFLICT</x:v>
      </x:c>
      <x:c r="C26" t="str">
        <x:v>OFFER-0380400C1FB9</x:v>
      </x:c>
      <x:c r="D26" t="str">
        <x:v>SPEC-34F37FF68132</x:v>
      </x:c>
      <x:c r="E26" t="n">
        <x:v>48</x:v>
      </x:c>
      <x:c r="F26" s="45" t="str">
        <x:v>CLOSER | SURFACE CLOSER | PHG | 80DC689</x:v>
      </x:c>
      <x:c r="G26" s="45" t="str">
        <x:v>Confirm whether the same part number legitimately maps to multiple specs/prices.</x:v>
      </x:c>
    </x:row>
    <x:row r="27" ht="15" hidden="0" customHeight="1">
      <x:c r="A27" t="str">
        <x:v>ERROR</x:v>
      </x:c>
      <x:c r="B27" t="str">
        <x:v>PART_NUMBER_CONFLICT</x:v>
      </x:c>
      <x:c r="C27" t="str">
        <x:v>OFFER-D245A70B4EBF</x:v>
      </x:c>
      <x:c r="D27" t="str">
        <x:v>SPEC-34F37FF68132</x:v>
      </x:c>
      <x:c r="E27" t="n">
        <x:v>49</x:v>
      </x:c>
      <x:c r="F27" s="45" t="str">
        <x:v>CLOSER | SURFACE CLOSER | PHG | 80DC689</x:v>
      </x:c>
      <x:c r="G27" s="45" t="str">
        <x:v>Confirm whether the same part number legitimately maps to multiple specs/prices.</x:v>
      </x:c>
    </x:row>
    <x:row r="28" ht="26.399999618530273" hidden="0" customHeight="1">
      <x:c r="A28" t="str">
        <x:v>ERROR</x:v>
      </x:c>
      <x:c r="B28" t="str">
        <x:v>PART_NUMBER_CONFLICT</x:v>
      </x:c>
      <x:c r="C28" t="str">
        <x:v>OFFER-0A4F27CF4812</x:v>
      </x:c>
      <x:c r="D28" t="str">
        <x:v>SPEC-927A1E98A57A</x:v>
      </x:c>
      <x:c r="E28" t="n">
        <x:v>54</x:v>
      </x:c>
      <x:c r="F28" s="45" t="str">
        <x:v>CLOSER | SURFACE CLOSER | DK | 8916-*-AF89-*-FC-SN2-DPK89-NFHD-689</x:v>
      </x:c>
      <x:c r="G28" s="45" t="str">
        <x:v>Confirm whether the same part number legitimately maps to multiple specs/prices.</x:v>
      </x:c>
    </x:row>
    <x:row r="29" ht="26.399999618530273" hidden="0" customHeight="1">
      <x:c r="A29" t="str">
        <x:v>ERROR</x:v>
      </x:c>
      <x:c r="B29" t="str">
        <x:v>PART_NUMBER_CONFLICT</x:v>
      </x:c>
      <x:c r="C29" t="str">
        <x:v>OFFER-317FD5B0AF83</x:v>
      </x:c>
      <x:c r="D29" t="str">
        <x:v>SPEC-BB70F917EE11</x:v>
      </x:c>
      <x:c r="E29" t="n">
        <x:v>56</x:v>
      </x:c>
      <x:c r="F29" s="45" t="str">
        <x:v>CLOSER | SURFACE CLOSER | DK | 8916-*-AF89-*-FC-SN2-DPK89-NFHD-689</x:v>
      </x:c>
      <x:c r="G29" s="45" t="str">
        <x:v>Confirm whether the same part number legitimately maps to multiple specs/prices.</x:v>
      </x:c>
    </x:row>
    <x:row r="30" ht="15" hidden="0" customHeight="1">
      <x:c r="A30" t="str">
        <x:v>ERROR</x:v>
      </x:c>
      <x:c r="B30" t="str">
        <x:v>PART_NUMBER_CONFLICT</x:v>
      </x:c>
      <x:c r="C30" t="str">
        <x:v>OFFER-C3B7A3F863ED</x:v>
      </x:c>
      <x:c r="D30" t="str">
        <x:v>SPEC-2AEF47AC9FAB</x:v>
      </x:c>
      <x:c r="E30" t="n">
        <x:v>97</x:v>
      </x:c>
      <x:c r="F30" s="45" t="str">
        <x:v>DEADBOLT | SINGLE CYLINDER DEADBOLT | SCH | B660P</x:v>
      </x:c>
      <x:c r="G30" s="45" t="str">
        <x:v>Confirm whether the same part number legitimately maps to multiple specs/prices.</x:v>
      </x:c>
    </x:row>
    <x:row r="31" ht="15" hidden="0" customHeight="1">
      <x:c r="A31" t="str">
        <x:v>ERROR</x:v>
      </x:c>
      <x:c r="B31" t="str">
        <x:v>PART_NUMBER_CONFLICT</x:v>
      </x:c>
      <x:c r="C31" t="str">
        <x:v>OFFER-D08A461B7ED1</x:v>
      </x:c>
      <x:c r="D31" t="str">
        <x:v>SPEC-D1B62C606D00</x:v>
      </x:c>
      <x:c r="E31" t="n">
        <x:v>98</x:v>
      </x:c>
      <x:c r="F31" s="45" t="str">
        <x:v>DEADBOLT | SINGLE CYLINDER DEADBOLT | SCH | B660B</x:v>
      </x:c>
      <x:c r="G31" s="45" t="str">
        <x:v>Confirm whether the same part number legitimately maps to multiple specs/prices.</x:v>
      </x:c>
    </x:row>
    <x:row r="32" ht="15" hidden="0" customHeight="1">
      <x:c r="A32" t="str">
        <x:v>ERROR</x:v>
      </x:c>
      <x:c r="B32" t="str">
        <x:v>PART_NUMBER_CONFLICT</x:v>
      </x:c>
      <x:c r="C32" t="str">
        <x:v>OFFER-6016F1721701</x:v>
      </x:c>
      <x:c r="D32" t="str">
        <x:v>SPEC-C2F54366822D</x:v>
      </x:c>
      <x:c r="E32" t="n">
        <x:v>99</x:v>
      </x:c>
      <x:c r="F32" s="45" t="str">
        <x:v>DEADBOLT | DEADBOLT | SCH | B660B</x:v>
      </x:c>
      <x:c r="G32" s="45" t="str">
        <x:v>Confirm whether the same part number legitimately maps to multiple specs/prices.</x:v>
      </x:c>
    </x:row>
    <x:row r="33" ht="15" hidden="0" customHeight="1">
      <x:c r="A33" t="str">
        <x:v>ERROR</x:v>
      </x:c>
      <x:c r="B33" t="str">
        <x:v>PART_NUMBER_CONFLICT</x:v>
      </x:c>
      <x:c r="C33" t="str">
        <x:v>OFFER-82FC3473DC07</x:v>
      </x:c>
      <x:c r="D33" t="str">
        <x:v>SPEC-F8964A11918A</x:v>
      </x:c>
      <x:c r="E33" t="n">
        <x:v>100</x:v>
      </x:c>
      <x:c r="F33" s="45" t="str">
        <x:v>DEADBOLT | DEADBOLT | SCH | B660P</x:v>
      </x:c>
      <x:c r="G33" s="45" t="str">
        <x:v>Confirm whether the same part number legitimately maps to multiple specs/prices.</x:v>
      </x:c>
    </x:row>
    <x:row r="34" ht="15" hidden="0" customHeight="1">
      <x:c r="A34" t="str">
        <x:v>ERROR</x:v>
      </x:c>
      <x:c r="B34" t="str">
        <x:v>PART_NUMBER_CONFLICT</x:v>
      </x:c>
      <x:c r="C34" t="str">
        <x:v>OFFER-553B6D611A43</x:v>
      </x:c>
      <x:c r="D34" t="str">
        <x:v>SPEC-7935B9EC99E6</x:v>
      </x:c>
      <x:c r="E34" t="n">
        <x:v>288</x:v>
      </x:c>
      <x:c r="F34" s="45" t="str">
        <x:v>EXIT DEVICE | PANIC / EXIT DEVICE | DH | 78002659</x:v>
      </x:c>
      <x:c r="G34" s="45" t="str">
        <x:v>Confirm whether the same part number legitimately maps to multiple specs/prices.</x:v>
      </x:c>
    </x:row>
    <x:row r="35" ht="15" hidden="0" customHeight="1">
      <x:c r="A35" t="str">
        <x:v>ERROR</x:v>
      </x:c>
      <x:c r="B35" t="str">
        <x:v>PART_NUMBER_CONFLICT</x:v>
      </x:c>
      <x:c r="C35" t="str">
        <x:v>OFFER-6B943A94FFA6</x:v>
      </x:c>
      <x:c r="D35" t="str">
        <x:v>SPEC-741297671B6D</x:v>
      </x:c>
      <x:c r="E35" t="n">
        <x:v>293</x:v>
      </x:c>
      <x:c r="F35" s="45" t="str">
        <x:v>EXIT DEVICE | PANIC / EXIT DEVICE | DH | 78002659</x:v>
      </x:c>
      <x:c r="G35" s="45" t="str">
        <x:v>Confirm whether the same part number legitimately maps to multiple specs/prices.</x:v>
      </x:c>
    </x:row>
    <x:row r="36" ht="15" hidden="0" customHeight="1">
      <x:c r="A36" t="str">
        <x:v>ERROR</x:v>
      </x:c>
      <x:c r="B36" t="str">
        <x:v>PART_NUMBER_CONFLICT</x:v>
      </x:c>
      <x:c r="C36" t="str">
        <x:v>OFFER-5D4DD7117B4F</x:v>
      </x:c>
      <x:c r="D36" t="str">
        <x:v>SPEC-EBE22E2E7E86</x:v>
      </x:c>
      <x:c r="E36" t="n">
        <x:v>302</x:v>
      </x:c>
      <x:c r="F36" s="45" t="str">
        <x:v>EXIT DEVICE | PANIC / EXIT DEVICE | PHG | 95ED36FR32D</x:v>
      </x:c>
      <x:c r="G36" s="45" t="str">
        <x:v>Confirm whether the same part number legitimately maps to multiple specs/prices.</x:v>
      </x:c>
    </x:row>
    <x:row r="37" ht="15" hidden="0" customHeight="1">
      <x:c r="A37" t="str">
        <x:v>ERROR</x:v>
      </x:c>
      <x:c r="B37" t="str">
        <x:v>PART_NUMBER_CONFLICT</x:v>
      </x:c>
      <x:c r="C37" t="str">
        <x:v>OFFER-C2B6D96D5EDA</x:v>
      </x:c>
      <x:c r="D37" t="str">
        <x:v>SPEC-A885CA680F72</x:v>
      </x:c>
      <x:c r="E37" t="n">
        <x:v>303</x:v>
      </x:c>
      <x:c r="F37" s="45" t="str">
        <x:v>EXIT DEVICE | PANIC / EXIT DEVICE | PHG | 95ED36FR32D</x:v>
      </x:c>
      <x:c r="G37" s="45" t="str">
        <x:v>Confirm whether the same part number legitimately maps to multiple specs/prices.</x:v>
      </x:c>
    </x:row>
    <x:row r="38" ht="15" hidden="0" customHeight="1">
      <x:c r="A38" t="str">
        <x:v>ERROR</x:v>
      </x:c>
      <x:c r="B38" t="str">
        <x:v>PART_NUMBER_CONFLICT</x:v>
      </x:c>
      <x:c r="C38" t="str">
        <x:v>OFFER-C6180F510030</x:v>
      </x:c>
      <x:c r="D38" t="str">
        <x:v>SPEC-0C7D8610573F</x:v>
      </x:c>
      <x:c r="E38" t="n">
        <x:v>304</x:v>
      </x:c>
      <x:c r="F38" s="45" t="str">
        <x:v>EXIT DEVICE | PANIC / EXIT DEVICE | PHG | 95ED36FR32D</x:v>
      </x:c>
      <x:c r="G38" s="45" t="str">
        <x:v>Confirm whether the same part number legitimately maps to multiple specs/prices.</x:v>
      </x:c>
    </x:row>
    <x:row r="39" ht="15" hidden="0" customHeight="1">
      <x:c r="A39" t="str">
        <x:v>ERROR</x:v>
      </x:c>
      <x:c r="B39" t="str">
        <x:v>PART_NUMBER_CONFLICT</x:v>
      </x:c>
      <x:c r="C39" t="str">
        <x:v>OFFER-CA7344E64657</x:v>
      </x:c>
      <x:c r="D39" t="str">
        <x:v>SPEC-668DCC0882B9</x:v>
      </x:c>
      <x:c r="E39" t="n">
        <x:v>306</x:v>
      </x:c>
      <x:c r="F39" s="45" t="str">
        <x:v>EXIT DEVICE | PANIC / EXIT DEVICE | PHG | 95ED48FR32D</x:v>
      </x:c>
      <x:c r="G39" s="45" t="str">
        <x:v>Confirm whether the same part number legitimately maps to multiple specs/prices.</x:v>
      </x:c>
    </x:row>
    <x:row r="40" ht="15" hidden="0" customHeight="1">
      <x:c r="A40" t="str">
        <x:v>ERROR</x:v>
      </x:c>
      <x:c r="B40" t="str">
        <x:v>PART_NUMBER_CONFLICT</x:v>
      </x:c>
      <x:c r="C40" t="str">
        <x:v>OFFER-7430158E4ED1</x:v>
      </x:c>
      <x:c r="D40" t="str">
        <x:v>SPEC-A885CA680F72</x:v>
      </x:c>
      <x:c r="E40" t="n">
        <x:v>307</x:v>
      </x:c>
      <x:c r="F40" s="45" t="str">
        <x:v>EXIT DEVICE | PANIC / EXIT DEVICE | PHG | 95ED48FR32D</x:v>
      </x:c>
      <x:c r="G40" s="45" t="str">
        <x:v>Confirm whether the same part number legitimately maps to multiple specs/prices.</x:v>
      </x:c>
    </x:row>
    <x:row r="41" ht="15" hidden="0" customHeight="1">
      <x:c r="A41" t="str">
        <x:v>ERROR</x:v>
      </x:c>
      <x:c r="B41" t="str">
        <x:v>PART_NUMBER_CONFLICT</x:v>
      </x:c>
      <x:c r="C41" t="str">
        <x:v>OFFER-AEB5E2F43186</x:v>
      </x:c>
      <x:c r="D41" t="str">
        <x:v>SPEC-FB6463B2EA16</x:v>
      </x:c>
      <x:c r="E41" t="n">
        <x:v>308</x:v>
      </x:c>
      <x:c r="F41" s="45" t="str">
        <x:v>EXIT DEVICE | PANIC / EXIT DEVICE | PHG | 95ED48FR32D</x:v>
      </x:c>
      <x:c r="G41" s="45" t="str">
        <x:v>Confirm whether the same part number legitimately maps to multiple specs/prices.</x:v>
      </x:c>
    </x:row>
    <x:row r="42" ht="26.399999618530273" hidden="0" customHeight="1">
      <x:c r="A42" t="str">
        <x:v>ERROR</x:v>
      </x:c>
      <x:c r="B42" t="str">
        <x:v>POSSIBLE_PRICE_OUTLIER</x:v>
      </x:c>
      <x:c r="C42" t="str">
        <x:v>OFFER-834624F454E0</x:v>
      </x:c>
      <x:c r="D42" t="str">
        <x:v>SPEC-5C4DA25D107E</x:v>
      </x:c>
      <x:c r="E42" t="n">
        <x:v>124</x:v>
      </x:c>
      <x:c r="F42" s="45" t="str">
        <x:v>LOCK | CYLINDRICAL LOCK | DK | C170-J-LR-C-*-*-10252-134-5001-1316</x:v>
      </x:c>
      <x:c r="G42" s="45" t="str">
        <x:v>Verify list price; it is materially outside its comparable vendor/product group.</x:v>
      </x:c>
    </x:row>
    <x:row r="43" ht="26.399999618530273" hidden="0" customHeight="1">
      <x:c r="A43" t="str">
        <x:v>ERROR</x:v>
      </x:c>
      <x:c r="B43" t="str">
        <x:v>POSSIBLE_PRICE_OUTLIER</x:v>
      </x:c>
      <x:c r="C43" t="str">
        <x:v>OFFER-CF9767EEC07F</x:v>
      </x:c>
      <x:c r="D43" t="str">
        <x:v>SPEC-298651EAB3F0</x:v>
      </x:c>
      <x:c r="E43" t="n">
        <x:v>125</x:v>
      </x:c>
      <x:c r="F43" s="45" t="str">
        <x:v>LOCK | CYLINDRICAL LOCK | DK | C150-D-LR-C-*-*-10252-134-5001-1316</x:v>
      </x:c>
      <x:c r="G43" s="45" t="str">
        <x:v>Verify list price; it is materially outside its comparable vendor/product group.</x:v>
      </x:c>
    </x:row>
    <x:row r="44" ht="26.399999618530273" hidden="0" customHeight="1">
      <x:c r="A44" t="str">
        <x:v>ERROR</x:v>
      </x:c>
      <x:c r="B44" t="str">
        <x:v>POSSIBLE_PRICE_OUTLIER</x:v>
      </x:c>
      <x:c r="C44" t="str">
        <x:v>OFFER-774C843A63AE</x:v>
      </x:c>
      <x:c r="D44" t="str">
        <x:v>SPEC-1B29D52847DA</x:v>
      </x:c>
      <x:c r="E44" t="n">
        <x:v>126</x:v>
      </x:c>
      <x:c r="F44" s="45" t="str">
        <x:v>LOCK | CYLINDRICAL LOCK | DK | C150-J-LR-C-*-*-10252-134-5001-1316</x:v>
      </x:c>
      <x:c r="G44" s="45" t="str">
        <x:v>Verify list price; it is materially outside its comparable vendor/product group.</x:v>
      </x:c>
    </x:row>
    <x:row r="45" ht="26.399999618530273" hidden="0" customHeight="1">
      <x:c r="A45" t="str">
        <x:v>ERROR</x:v>
      </x:c>
      <x:c r="B45" t="str">
        <x:v>POSSIBLE_PRICE_OUTLIER</x:v>
      </x:c>
      <x:c r="C45" t="str">
        <x:v>OFFER-BC06A3BF9397</x:v>
      </x:c>
      <x:c r="D45" t="str">
        <x:v>SPEC-5446FAC943AB</x:v>
      </x:c>
      <x:c r="E45" t="n">
        <x:v>127</x:v>
      </x:c>
      <x:c r="F45" s="45" t="str">
        <x:v>LOCK | CYLINDRICAL LOCK | DK | C180EU-D-LR-C-*-*-10252-134-5001-1316</x:v>
      </x:c>
      <x:c r="G45" s="45" t="str">
        <x:v>Verify list price; it is materially outside its comparable vendor/product group.</x:v>
      </x:c>
    </x:row>
    <x:row r="46" ht="26.399999618530273" hidden="0" customHeight="1">
      <x:c r="A46" t="str">
        <x:v>ERROR</x:v>
      </x:c>
      <x:c r="B46" t="str">
        <x:v>POSSIBLE_PRICE_OUTLIER</x:v>
      </x:c>
      <x:c r="C46" t="str">
        <x:v>OFFER-392B449BDFDB</x:v>
      </x:c>
      <x:c r="D46" t="str">
        <x:v>SPEC-4F3533C4A796</x:v>
      </x:c>
      <x:c r="E46" t="n">
        <x:v>128</x:v>
      </x:c>
      <x:c r="F46" s="45" t="str">
        <x:v>LOCK | CYLINDRICAL LOCK | DK | C180EL-D-LR-C-*-*-10252-134-5001-1316</x:v>
      </x:c>
      <x:c r="G46" s="45" t="str">
        <x:v>Verify list price; it is materially outside its comparable vendor/product group.</x:v>
      </x:c>
    </x:row>
    <x:row r="47" ht="15" hidden="0" customHeight="1">
      <x:c r="A47" t="str">
        <x:v>WARNING</x:v>
      </x:c>
      <x:c r="B47" t="str">
        <x:v>MISSING_PART_NUMBER</x:v>
      </x:c>
      <x:c r="C47" t="str">
        <x:v>OFFER-EB397929ED5E</x:v>
      </x:c>
      <x:c r="D47" t="str">
        <x:v>SPEC-E60B40B45B93</x:v>
      </x:c>
      <x:c r="E47" t="n">
        <x:v>8</x:v>
      </x:c>
      <x:c r="F47" s="45" t="str">
        <x:v>HINGE | SPECIAL BUTT HINGE | No vendor | No part number</x:v>
      </x:c>
      <x:c r="G47" s="45" t="str">
        <x:v>Add an orderable manufacturer part/configuration number.</x:v>
      </x:c>
    </x:row>
    <x:row r="48" ht="15" hidden="0" customHeight="1">
      <x:c r="A48" t="str">
        <x:v>WARNING</x:v>
      </x:c>
      <x:c r="B48" t="str">
        <x:v>MISSING_PART_NUMBER</x:v>
      </x:c>
      <x:c r="C48" t="str">
        <x:v>OFFER-38A27EC2BD55</x:v>
      </x:c>
      <x:c r="D48" t="str">
        <x:v>SPEC-244285DE4CEC</x:v>
      </x:c>
      <x:c r="E48" t="n">
        <x:v>12</x:v>
      </x:c>
      <x:c r="F48" s="45" t="str">
        <x:v>HINGE | STANDARD WEIGHT BUTT HINGE | DH | No part number</x:v>
      </x:c>
      <x:c r="G48" s="45" t="str">
        <x:v>Add an orderable manufacturer part/configuration number.</x:v>
      </x:c>
    </x:row>
    <x:row r="49" ht="15" hidden="0" customHeight="1">
      <x:c r="A49" t="str">
        <x:v>WARNING</x:v>
      </x:c>
      <x:c r="B49" t="str">
        <x:v>MISSING_PART_NUMBER</x:v>
      </x:c>
      <x:c r="C49" t="str">
        <x:v>OFFER-AB9524199677</x:v>
      </x:c>
      <x:c r="D49" t="str">
        <x:v>SPEC-3AC38DD8BDA3</x:v>
      </x:c>
      <x:c r="E49" t="n">
        <x:v>14</x:v>
      </x:c>
      <x:c r="F49" s="45" t="str">
        <x:v>HINGE | CONTINUOUS HINGE | ABH | No part number</x:v>
      </x:c>
      <x:c r="G49" s="45" t="str">
        <x:v>Add an orderable manufacturer part/configuration number.</x:v>
      </x:c>
    </x:row>
    <x:row r="50" ht="15" hidden="0" customHeight="1">
      <x:c r="A50" t="str">
        <x:v>WARNING</x:v>
      </x:c>
      <x:c r="B50" t="str">
        <x:v>MISSING_PART_NUMBER</x:v>
      </x:c>
      <x:c r="C50" t="str">
        <x:v>OFFER-0863C6C4B230</x:v>
      </x:c>
      <x:c r="D50" t="str">
        <x:v>SPEC-3AC38DD8BDA3</x:v>
      </x:c>
      <x:c r="E50" t="n">
        <x:v>15</x:v>
      </x:c>
      <x:c r="F50" s="45" t="str">
        <x:v>HINGE | CONTINUOUS HINGE | ABH | No part number</x:v>
      </x:c>
      <x:c r="G50" s="45" t="str">
        <x:v>Add an orderable manufacturer part/configuration number.</x:v>
      </x:c>
    </x:row>
    <x:row r="51" ht="15" hidden="0" customHeight="1">
      <x:c r="A51" t="str">
        <x:v>WARNING</x:v>
      </x:c>
      <x:c r="B51" t="str">
        <x:v>MISSING_PART_NUMBER</x:v>
      </x:c>
      <x:c r="C51" t="str">
        <x:v>OFFER-3004DBA62C49</x:v>
      </x:c>
      <x:c r="D51" t="str">
        <x:v>SPEC-F0BF5C9B897E</x:v>
      </x:c>
      <x:c r="E51" t="n">
        <x:v>16</x:v>
      </x:c>
      <x:c r="F51" s="45" t="str">
        <x:v>HINGE | CONTINUOUS HINGE | ABH | No part number</x:v>
      </x:c>
      <x:c r="G51" s="45" t="str">
        <x:v>Add an orderable manufacturer part/configuration number.</x:v>
      </x:c>
    </x:row>
    <x:row r="52" ht="15" hidden="0" customHeight="1">
      <x:c r="A52" t="str">
        <x:v>WARNING</x:v>
      </x:c>
      <x:c r="B52" t="str">
        <x:v>MISSING_PART_NUMBER</x:v>
      </x:c>
      <x:c r="C52" t="str">
        <x:v>OFFER-71EC4D0EBCD3</x:v>
      </x:c>
      <x:c r="D52" t="str">
        <x:v>SPEC-4A1D73AE37C6</x:v>
      </x:c>
      <x:c r="E52" t="n">
        <x:v>17</x:v>
      </x:c>
      <x:c r="F52" s="45" t="str">
        <x:v>HINGE | CONTINUOUS HINGE | ABH | No part number</x:v>
      </x:c>
      <x:c r="G52" s="45" t="str">
        <x:v>Add an orderable manufacturer part/configuration number.</x:v>
      </x:c>
    </x:row>
    <x:row r="53" ht="15" hidden="0" customHeight="1">
      <x:c r="A53" t="str">
        <x:v>WARNING</x:v>
      </x:c>
      <x:c r="B53" t="str">
        <x:v>MISSING_PART_NUMBER</x:v>
      </x:c>
      <x:c r="C53" t="str">
        <x:v>OFFER-914F68DB47B5</x:v>
      </x:c>
      <x:c r="D53" t="str">
        <x:v>SPEC-4A1D73AE37C6</x:v>
      </x:c>
      <x:c r="E53" t="n">
        <x:v>18</x:v>
      </x:c>
      <x:c r="F53" s="45" t="str">
        <x:v>HINGE | CONTINUOUS HINGE | ABH | No part number</x:v>
      </x:c>
      <x:c r="G53" s="45" t="str">
        <x:v>Add an orderable manufacturer part/configuration number.</x:v>
      </x:c>
    </x:row>
    <x:row r="54" ht="15" hidden="0" customHeight="1">
      <x:c r="A54" t="str">
        <x:v>WARNING</x:v>
      </x:c>
      <x:c r="B54" t="str">
        <x:v>MISSING_PART_NUMBER</x:v>
      </x:c>
      <x:c r="C54" t="str">
        <x:v>OFFER-8BD47D058332</x:v>
      </x:c>
      <x:c r="D54" t="str">
        <x:v>SPEC-297A925280A3</x:v>
      </x:c>
      <x:c r="E54" t="n">
        <x:v>19</x:v>
      </x:c>
      <x:c r="F54" s="45" t="str">
        <x:v>HINGE | CONTINUOUS HINGE | ABH | No part number</x:v>
      </x:c>
      <x:c r="G54" s="45" t="str">
        <x:v>Add an orderable manufacturer part/configuration number.</x:v>
      </x:c>
    </x:row>
    <x:row r="55" ht="15" hidden="0" customHeight="1">
      <x:c r="A55" t="str">
        <x:v>WARNING</x:v>
      </x:c>
      <x:c r="B55" t="str">
        <x:v>MISSING_PART_NUMBER</x:v>
      </x:c>
      <x:c r="C55" t="str">
        <x:v>OFFER-F1B38E8F678D</x:v>
      </x:c>
      <x:c r="D55" t="str">
        <x:v>SPEC-4A1D73AE37C6</x:v>
      </x:c>
      <x:c r="E55" t="n">
        <x:v>21</x:v>
      </x:c>
      <x:c r="F55" s="45" t="str">
        <x:v>HINGE | CONTINUOUS HINGE | ABH | No part number</x:v>
      </x:c>
      <x:c r="G55" s="45" t="str">
        <x:v>Add an orderable manufacturer part/configuration number.</x:v>
      </x:c>
    </x:row>
    <x:row r="56" ht="15" hidden="0" customHeight="1">
      <x:c r="A56" t="str">
        <x:v>WARNING</x:v>
      </x:c>
      <x:c r="B56" t="str">
        <x:v>MISSING_PART_NUMBER</x:v>
      </x:c>
      <x:c r="C56" t="str">
        <x:v>OFFER-48E947663F8B</x:v>
      </x:c>
      <x:c r="D56" t="str">
        <x:v>SPEC-3AC38DD8BDA3</x:v>
      </x:c>
      <x:c r="E56" t="n">
        <x:v>22</x:v>
      </x:c>
      <x:c r="F56" s="45" t="str">
        <x:v>HINGE | CONTINUOUS HINGE | ABH | No part number</x:v>
      </x:c>
      <x:c r="G56" s="45" t="str">
        <x:v>Add an orderable manufacturer part/configuration number.</x:v>
      </x:c>
    </x:row>
    <x:row r="57" ht="15" hidden="0" customHeight="1">
      <x:c r="A57" t="str">
        <x:v>WARNING</x:v>
      </x:c>
      <x:c r="B57" t="str">
        <x:v>MISSING_PART_NUMBER</x:v>
      </x:c>
      <x:c r="C57" t="str">
        <x:v>OFFER-092AAC2B2C23</x:v>
      </x:c>
      <x:c r="D57" t="str">
        <x:v>SPEC-3AC38DD8BDA3</x:v>
      </x:c>
      <x:c r="E57" t="n">
        <x:v>23</x:v>
      </x:c>
      <x:c r="F57" s="45" t="str">
        <x:v>HINGE | CONTINUOUS HINGE | DH | No part number</x:v>
      </x:c>
      <x:c r="G57" s="45" t="str">
        <x:v>Add an orderable manufacturer part/configuration number.</x:v>
      </x:c>
    </x:row>
    <x:row r="58" ht="15" hidden="0" customHeight="1">
      <x:c r="A58" t="str">
        <x:v>WARNING</x:v>
      </x:c>
      <x:c r="B58" t="str">
        <x:v>MISSING_PART_NUMBER</x:v>
      </x:c>
      <x:c r="C58" t="str">
        <x:v>OFFER-E2B5ABDA3D82</x:v>
      </x:c>
      <x:c r="D58" t="str">
        <x:v>SPEC-3AC38DD8BDA3</x:v>
      </x:c>
      <x:c r="E58" t="n">
        <x:v>24</x:v>
      </x:c>
      <x:c r="F58" s="45" t="str">
        <x:v>HINGE | CONTINUOUS HINGE | DH | No part number</x:v>
      </x:c>
      <x:c r="G58" s="45" t="str">
        <x:v>Add an orderable manufacturer part/configuration number.</x:v>
      </x:c>
    </x:row>
    <x:row r="59" ht="15" hidden="0" customHeight="1">
      <x:c r="A59" t="str">
        <x:v>WARNING</x:v>
      </x:c>
      <x:c r="B59" t="str">
        <x:v>MISSING_PART_NUMBER</x:v>
      </x:c>
      <x:c r="C59" t="str">
        <x:v>OFFER-0EC3718493B9</x:v>
      </x:c>
      <x:c r="D59" t="str">
        <x:v>SPEC-F0BF5C9B897E</x:v>
      </x:c>
      <x:c r="E59" t="n">
        <x:v>25</x:v>
      </x:c>
      <x:c r="F59" s="45" t="str">
        <x:v>HINGE | CONTINUOUS HINGE | DH | No part number</x:v>
      </x:c>
      <x:c r="G59" s="45" t="str">
        <x:v>Add an orderable manufacturer part/configuration number.</x:v>
      </x:c>
    </x:row>
    <x:row r="60" ht="15" hidden="0" customHeight="1">
      <x:c r="A60" t="str">
        <x:v>WARNING</x:v>
      </x:c>
      <x:c r="B60" t="str">
        <x:v>MISSING_PART_NUMBER</x:v>
      </x:c>
      <x:c r="C60" t="str">
        <x:v>OFFER-A4B80386A96D</x:v>
      </x:c>
      <x:c r="D60" t="str">
        <x:v>SPEC-0C603B3070A1</x:v>
      </x:c>
      <x:c r="E60" t="n">
        <x:v>26</x:v>
      </x:c>
      <x:c r="F60" s="45" t="str">
        <x:v>HINGE | CONTINUOUS HINGE | No vendor | No part number</x:v>
      </x:c>
      <x:c r="G60" s="45" t="str">
        <x:v>Add an orderable manufacturer part/configuration number.</x:v>
      </x:c>
    </x:row>
    <x:row r="61" ht="15" hidden="0" customHeight="1">
      <x:c r="A61" t="str">
        <x:v>WARNING</x:v>
      </x:c>
      <x:c r="B61" t="str">
        <x:v>MISSING_PART_NUMBER</x:v>
      </x:c>
      <x:c r="C61" t="str">
        <x:v>OFFER-938E2254B25D</x:v>
      </x:c>
      <x:c r="D61" t="str">
        <x:v>SPEC-6525459ED4F5</x:v>
      </x:c>
      <x:c r="E61" t="n">
        <x:v>29</x:v>
      </x:c>
      <x:c r="F61" s="45" t="str">
        <x:v>HINGE | CONTINUOUS PIN HINGE | ABH | No part number</x:v>
      </x:c>
      <x:c r="G61" s="45" t="str">
        <x:v>Add an orderable manufacturer part/configuration number.</x:v>
      </x:c>
    </x:row>
    <x:row r="62" ht="15" hidden="0" customHeight="1">
      <x:c r="A62" t="str">
        <x:v>WARNING</x:v>
      </x:c>
      <x:c r="B62" t="str">
        <x:v>MISSING_PART_NUMBER</x:v>
      </x:c>
      <x:c r="C62" t="str">
        <x:v>OFFER-77EE191595D7</x:v>
      </x:c>
      <x:c r="D62" t="str">
        <x:v>SPEC-3D0B6F726096</x:v>
      </x:c>
      <x:c r="E62" t="n">
        <x:v>41</x:v>
      </x:c>
      <x:c r="F62" s="45" t="str">
        <x:v>HINGE | POWER TRANSFER HINGE | IVES | No part number</x:v>
      </x:c>
      <x:c r="G62" s="45" t="str">
        <x:v>Add an orderable manufacturer part/configuration number.</x:v>
      </x:c>
    </x:row>
    <x:row r="63" ht="15" hidden="0" customHeight="1">
      <x:c r="A63" t="str">
        <x:v>WARNING</x:v>
      </x:c>
      <x:c r="B63" t="str">
        <x:v>MISSING_PART_NUMBER</x:v>
      </x:c>
      <x:c r="C63" t="str">
        <x:v>OFFER-A9FA8C40E47A</x:v>
      </x:c>
      <x:c r="D63" t="str">
        <x:v>SPEC-B4C1DFD4E28A</x:v>
      </x:c>
      <x:c r="E63" t="n">
        <x:v>67</x:v>
      </x:c>
      <x:c r="F63" s="45" t="str">
        <x:v>CLOSER | SURFACE CLOSER | ABH | No part number</x:v>
      </x:c>
      <x:c r="G63" s="45" t="str">
        <x:v>Add an orderable manufacturer part/configuration number.</x:v>
      </x:c>
    </x:row>
    <x:row r="64" ht="15" hidden="0" customHeight="1">
      <x:c r="A64" t="str">
        <x:v>WARNING</x:v>
      </x:c>
      <x:c r="B64" t="str">
        <x:v>MISSING_PART_NUMBER</x:v>
      </x:c>
      <x:c r="C64" t="str">
        <x:v>OFFER-5F9AD40AA0A1</x:v>
      </x:c>
      <x:c r="D64" t="str">
        <x:v>SPEC-E036640F0FCE</x:v>
      </x:c>
      <x:c r="E64" t="n">
        <x:v>190</x:v>
      </x:c>
      <x:c r="F64" s="45" t="str">
        <x:v>LOCK | MORTISE LOCK | DK | No part number</x:v>
      </x:c>
      <x:c r="G64" s="45" t="str">
        <x:v>Add an orderable manufacturer part/configuration number.</x:v>
      </x:c>
    </x:row>
    <x:row r="65" ht="15" hidden="0" customHeight="1">
      <x:c r="A65" t="str">
        <x:v>WARNING</x:v>
      </x:c>
      <x:c r="B65" t="str">
        <x:v>MISSING_PART_NUMBER</x:v>
      </x:c>
      <x:c r="C65" t="str">
        <x:v>OFFER-B6E25609C579</x:v>
      </x:c>
      <x:c r="D65" t="str">
        <x:v>SPEC-E66729F39E6C</x:v>
      </x:c>
      <x:c r="E65" t="n">
        <x:v>191</x:v>
      </x:c>
      <x:c r="F65" s="45" t="str">
        <x:v>LOCK | MORTISE LOCK | DK | No part number</x:v>
      </x:c>
      <x:c r="G65" s="45" t="str">
        <x:v>Add an orderable manufacturer part/configuration number.</x:v>
      </x:c>
    </x:row>
    <x:row r="66" ht="15" hidden="0" customHeight="1">
      <x:c r="A66" t="str">
        <x:v>WARNING</x:v>
      </x:c>
      <x:c r="B66" t="str">
        <x:v>MISSING_PART_NUMBER</x:v>
      </x:c>
      <x:c r="C66" t="str">
        <x:v>OFFER-0D78AFA6972C</x:v>
      </x:c>
      <x:c r="D66" t="str">
        <x:v>SPEC-4729E3036CB9</x:v>
      </x:c>
      <x:c r="E66" t="n">
        <x:v>192</x:v>
      </x:c>
      <x:c r="F66" s="45" t="str">
        <x:v>LOCK | MORTISE LOCK | BST | No part number</x:v>
      </x:c>
      <x:c r="G66" s="45" t="str">
        <x:v>Add an orderable manufacturer part/configuration number.</x:v>
      </x:c>
    </x:row>
    <x:row r="67" ht="15" hidden="0" customHeight="1">
      <x:c r="A67" t="str">
        <x:v>WARNING</x:v>
      </x:c>
      <x:c r="B67" t="str">
        <x:v>MISSING_PART_NUMBER</x:v>
      </x:c>
      <x:c r="C67" t="str">
        <x:v>OFFER-E0C8F557F087</x:v>
      </x:c>
      <x:c r="D67" t="str">
        <x:v>SPEC-E1BC0AC27D6E</x:v>
      </x:c>
      <x:c r="E67" t="n">
        <x:v>194</x:v>
      </x:c>
      <x:c r="F67" s="45" t="str">
        <x:v>LOCK | MORTISE LOCK | DH | No part number</x:v>
      </x:c>
      <x:c r="G67" s="45" t="str">
        <x:v>Add an orderable manufacturer part/configuration number.</x:v>
      </x:c>
    </x:row>
    <x:row r="68" ht="15" hidden="0" customHeight="1">
      <x:c r="A68" t="str">
        <x:v>WARNING</x:v>
      </x:c>
      <x:c r="B68" t="str">
        <x:v>MISSING_PART_NUMBER</x:v>
      </x:c>
      <x:c r="C68" t="str">
        <x:v>OFFER-66F8859642F2</x:v>
      </x:c>
      <x:c r="D68" t="str">
        <x:v>SPEC-7DC0219E8813</x:v>
      </x:c>
      <x:c r="E68" t="n">
        <x:v>203</x:v>
      </x:c>
      <x:c r="F68" s="45" t="str">
        <x:v>EXIT DEVICE | PANIC / EXIT DEVICE | PHG | No part number</x:v>
      </x:c>
      <x:c r="G68" s="45" t="str">
        <x:v>Add an orderable manufacturer part/configuration number.</x:v>
      </x:c>
    </x:row>
    <x:row r="69" ht="15" hidden="0" customHeight="1">
      <x:c r="A69" t="str">
        <x:v>WARNING</x:v>
      </x:c>
      <x:c r="B69" t="str">
        <x:v>MISSING_PART_NUMBER</x:v>
      </x:c>
      <x:c r="C69" t="str">
        <x:v>OFFER-E35D6B863529</x:v>
      </x:c>
      <x:c r="D69" t="str">
        <x:v>SPEC-7BC008234E13</x:v>
      </x:c>
      <x:c r="E69" t="n">
        <x:v>204</x:v>
      </x:c>
      <x:c r="F69" s="45" t="str">
        <x:v>EXIT DEVICE | PANIC / EXIT DEVICE | PHG | No part number</x:v>
      </x:c>
      <x:c r="G69" s="45" t="str">
        <x:v>Add an orderable manufacturer part/configuration number.</x:v>
      </x:c>
    </x:row>
    <x:row r="70" ht="15" hidden="0" customHeight="1">
      <x:c r="A70" t="str">
        <x:v>WARNING</x:v>
      </x:c>
      <x:c r="B70" t="str">
        <x:v>MISSING_PART_NUMBER</x:v>
      </x:c>
      <x:c r="C70" t="str">
        <x:v>OFFER-30C21A41F248</x:v>
      </x:c>
      <x:c r="D70" t="str">
        <x:v>SPEC-B447A07B7E5E</x:v>
      </x:c>
      <x:c r="E70" t="n">
        <x:v>205</x:v>
      </x:c>
      <x:c r="F70" s="45" t="str">
        <x:v>EXIT DEVICE | PANIC / EXIT DEVICE | PHG | No part number</x:v>
      </x:c>
      <x:c r="G70" s="45" t="str">
        <x:v>Add an orderable manufacturer part/configuration number.</x:v>
      </x:c>
    </x:row>
    <x:row r="71" ht="15" hidden="0" customHeight="1">
      <x:c r="A71" t="str">
        <x:v>WARNING</x:v>
      </x:c>
      <x:c r="B71" t="str">
        <x:v>MISSING_PART_NUMBER</x:v>
      </x:c>
      <x:c r="C71" t="str">
        <x:v>OFFER-54584895F34D</x:v>
      </x:c>
      <x:c r="D71" t="str">
        <x:v>SPEC-68F1122034DD</x:v>
      </x:c>
      <x:c r="E71" t="n">
        <x:v>206</x:v>
      </x:c>
      <x:c r="F71" s="45" t="str">
        <x:v>EXIT DEVICE | PANIC / EXIT DEVICE | PHG | No part number</x:v>
      </x:c>
      <x:c r="G71" s="45" t="str">
        <x:v>Add an orderable manufacturer part/configuration number.</x:v>
      </x:c>
    </x:row>
    <x:row r="72" ht="15" hidden="0" customHeight="1">
      <x:c r="A72" t="str">
        <x:v>WARNING</x:v>
      </x:c>
      <x:c r="B72" t="str">
        <x:v>MISSING_PART_NUMBER</x:v>
      </x:c>
      <x:c r="C72" t="str">
        <x:v>OFFER-B57E59305E04</x:v>
      </x:c>
      <x:c r="D72" t="str">
        <x:v>SPEC-7A7EA96B996C</x:v>
      </x:c>
      <x:c r="E72" t="n">
        <x:v>207</x:v>
      </x:c>
      <x:c r="F72" s="45" t="str">
        <x:v>EXIT DEVICE | PANIC / EXIT DEVICE | PHG | No part number</x:v>
      </x:c>
      <x:c r="G72" s="45" t="str">
        <x:v>Add an orderable manufacturer part/configuration number.</x:v>
      </x:c>
    </x:row>
    <x:row r="73" ht="15" hidden="0" customHeight="1">
      <x:c r="A73" t="str">
        <x:v>WARNING</x:v>
      </x:c>
      <x:c r="B73" t="str">
        <x:v>MISSING_PART_NUMBER</x:v>
      </x:c>
      <x:c r="C73" t="str">
        <x:v>OFFER-A792FD009CF0</x:v>
      </x:c>
      <x:c r="D73" t="str">
        <x:v>SPEC-3CB1A46F231A</x:v>
      </x:c>
      <x:c r="E73" t="n">
        <x:v>208</x:v>
      </x:c>
      <x:c r="F73" s="45" t="str">
        <x:v>EXIT DEVICE | PANIC / EXIT DEVICE | PHG | No part number</x:v>
      </x:c>
      <x:c r="G73" s="45" t="str">
        <x:v>Add an orderable manufacturer part/configuration number.</x:v>
      </x:c>
    </x:row>
    <x:row r="74" ht="15" hidden="0" customHeight="1">
      <x:c r="A74" t="str">
        <x:v>WARNING</x:v>
      </x:c>
      <x:c r="B74" t="str">
        <x:v>MISSING_PART_NUMBER</x:v>
      </x:c>
      <x:c r="C74" t="str">
        <x:v>OFFER-FED733124D5F</x:v>
      </x:c>
      <x:c r="D74" t="str">
        <x:v>SPEC-5C9564109A2E</x:v>
      </x:c>
      <x:c r="E74" t="n">
        <x:v>209</x:v>
      </x:c>
      <x:c r="F74" s="45" t="str">
        <x:v>EXIT DEVICE | PANIC / EXIT DEVICE | PHG | No part number</x:v>
      </x:c>
      <x:c r="G74" s="45" t="str">
        <x:v>Add an orderable manufacturer part/configuration number.</x:v>
      </x:c>
    </x:row>
    <x:row r="75" ht="15" hidden="0" customHeight="1">
      <x:c r="A75" t="str">
        <x:v>WARNING</x:v>
      </x:c>
      <x:c r="B75" t="str">
        <x:v>MISSING_PART_NUMBER</x:v>
      </x:c>
      <x:c r="C75" t="str">
        <x:v>OFFER-2C8B47DA9D13</x:v>
      </x:c>
      <x:c r="D75" t="str">
        <x:v>SPEC-37236328FE24</x:v>
      </x:c>
      <x:c r="E75" t="n">
        <x:v>210</x:v>
      </x:c>
      <x:c r="F75" s="45" t="str">
        <x:v>EXIT DEVICE | PANIC / EXIT DEVICE | PHG | No part number</x:v>
      </x:c>
      <x:c r="G75" s="45" t="str">
        <x:v>Add an orderable manufacturer part/configuration number.</x:v>
      </x:c>
    </x:row>
    <x:row r="76" ht="15" hidden="0" customHeight="1">
      <x:c r="A76" t="str">
        <x:v>WARNING</x:v>
      </x:c>
      <x:c r="B76" t="str">
        <x:v>MISSING_PART_NUMBER</x:v>
      </x:c>
      <x:c r="C76" t="str">
        <x:v>OFFER-1EECF8E18C32</x:v>
      </x:c>
      <x:c r="D76" t="str">
        <x:v>SPEC-7DC0219E8813</x:v>
      </x:c>
      <x:c r="E76" t="n">
        <x:v>219</x:v>
      </x:c>
      <x:c r="F76" s="45" t="str">
        <x:v>EXIT DEVICE | PANIC / EXIT DEVICE | DK | No part number</x:v>
      </x:c>
      <x:c r="G76" s="45" t="str">
        <x:v>Add an orderable manufacturer part/configuration number.</x:v>
      </x:c>
    </x:row>
    <x:row r="77" ht="15" hidden="0" customHeight="1">
      <x:c r="A77" t="str">
        <x:v>WARNING</x:v>
      </x:c>
      <x:c r="B77" t="str">
        <x:v>MISSING_PART_NUMBER</x:v>
      </x:c>
      <x:c r="C77" t="str">
        <x:v>OFFER-610EBD06B977</x:v>
      </x:c>
      <x:c r="D77" t="str">
        <x:v>SPEC-7BC008234E13</x:v>
      </x:c>
      <x:c r="E77" t="n">
        <x:v>220</x:v>
      </x:c>
      <x:c r="F77" s="45" t="str">
        <x:v>EXIT DEVICE | PANIC / EXIT DEVICE | DK | No part number</x:v>
      </x:c>
      <x:c r="G77" s="45" t="str">
        <x:v>Add an orderable manufacturer part/configuration number.</x:v>
      </x:c>
    </x:row>
    <x:row r="78" ht="15" hidden="0" customHeight="1">
      <x:c r="A78" t="str">
        <x:v>WARNING</x:v>
      </x:c>
      <x:c r="B78" t="str">
        <x:v>MISSING_PART_NUMBER</x:v>
      </x:c>
      <x:c r="C78" t="str">
        <x:v>OFFER-A59B26AFEF2B</x:v>
      </x:c>
      <x:c r="D78" t="str">
        <x:v>SPEC-B447A07B7E5E</x:v>
      </x:c>
      <x:c r="E78" t="n">
        <x:v>221</x:v>
      </x:c>
      <x:c r="F78" s="45" t="str">
        <x:v>EXIT DEVICE | PANIC / EXIT DEVICE | DK | No part number</x:v>
      </x:c>
      <x:c r="G78" s="45" t="str">
        <x:v>Add an orderable manufacturer part/configuration number.</x:v>
      </x:c>
    </x:row>
    <x:row r="79" ht="15" hidden="0" customHeight="1">
      <x:c r="A79" t="str">
        <x:v>WARNING</x:v>
      </x:c>
      <x:c r="B79" t="str">
        <x:v>MISSING_PART_NUMBER</x:v>
      </x:c>
      <x:c r="C79" t="str">
        <x:v>OFFER-97B6330F0674</x:v>
      </x:c>
      <x:c r="D79" t="str">
        <x:v>SPEC-D5FA5E171F76</x:v>
      </x:c>
      <x:c r="E79" t="n">
        <x:v>222</x:v>
      </x:c>
      <x:c r="F79" s="45" t="str">
        <x:v>EXIT DEVICE | PANIC / EXIT DEVICE | DK | No part number</x:v>
      </x:c>
      <x:c r="G79" s="45" t="str">
        <x:v>Add an orderable manufacturer part/configuration number.</x:v>
      </x:c>
    </x:row>
    <x:row r="80" ht="15" hidden="0" customHeight="1">
      <x:c r="A80" t="str">
        <x:v>WARNING</x:v>
      </x:c>
      <x:c r="B80" t="str">
        <x:v>MISSING_PART_NUMBER</x:v>
      </x:c>
      <x:c r="C80" t="str">
        <x:v>OFFER-5868453C7A1C</x:v>
      </x:c>
      <x:c r="D80" t="str">
        <x:v>SPEC-036361A21AA8</x:v>
      </x:c>
      <x:c r="E80" t="n">
        <x:v>223</x:v>
      </x:c>
      <x:c r="F80" s="45" t="str">
        <x:v>EXIT DEVICE | PANIC / EXIT DEVICE | DK | No part number</x:v>
      </x:c>
      <x:c r="G80" s="45" t="str">
        <x:v>Add an orderable manufacturer part/configuration number.</x:v>
      </x:c>
    </x:row>
    <x:row r="81" ht="15" hidden="0" customHeight="1">
      <x:c r="A81" t="str">
        <x:v>WARNING</x:v>
      </x:c>
      <x:c r="B81" t="str">
        <x:v>MISSING_PART_NUMBER</x:v>
      </x:c>
      <x:c r="C81" t="str">
        <x:v>OFFER-1CCBBDEB60B6</x:v>
      </x:c>
      <x:c r="D81" t="str">
        <x:v>SPEC-90FE8EA35B7D</x:v>
      </x:c>
      <x:c r="E81" t="n">
        <x:v>224</x:v>
      </x:c>
      <x:c r="F81" s="45" t="str">
        <x:v>EXIT DEVICE | PANIC / EXIT DEVICE | DK | No part number</x:v>
      </x:c>
      <x:c r="G81" s="45" t="str">
        <x:v>Add an orderable manufacturer part/configuration number.</x:v>
      </x:c>
    </x:row>
    <x:row r="82" ht="15" hidden="0" customHeight="1">
      <x:c r="A82" t="str">
        <x:v>WARNING</x:v>
      </x:c>
      <x:c r="B82" t="str">
        <x:v>MISSING_PART_NUMBER</x:v>
      </x:c>
      <x:c r="C82" t="str">
        <x:v>OFFER-B19C78D8E403</x:v>
      </x:c>
      <x:c r="D82" t="str">
        <x:v>SPEC-7A7EA96B996C</x:v>
      </x:c>
      <x:c r="E82" t="n">
        <x:v>225</x:v>
      </x:c>
      <x:c r="F82" s="45" t="str">
        <x:v>EXIT DEVICE | PANIC / EXIT DEVICE | DK | No part number</x:v>
      </x:c>
      <x:c r="G82" s="45" t="str">
        <x:v>Add an orderable manufacturer part/configuration number.</x:v>
      </x:c>
    </x:row>
    <x:row r="83" ht="15" hidden="0" customHeight="1">
      <x:c r="A83" t="str">
        <x:v>WARNING</x:v>
      </x:c>
      <x:c r="B83" t="str">
        <x:v>MISSING_PART_NUMBER</x:v>
      </x:c>
      <x:c r="C83" t="str">
        <x:v>OFFER-5D9FF80D2015</x:v>
      </x:c>
      <x:c r="D83" t="str">
        <x:v>SPEC-3CB1A46F231A</x:v>
      </x:c>
      <x:c r="E83" t="n">
        <x:v>226</x:v>
      </x:c>
      <x:c r="F83" s="45" t="str">
        <x:v>EXIT DEVICE | PANIC / EXIT DEVICE | DK | No part number</x:v>
      </x:c>
      <x:c r="G83" s="45" t="str">
        <x:v>Add an orderable manufacturer part/configuration number.</x:v>
      </x:c>
    </x:row>
    <x:row r="84" ht="15" hidden="0" customHeight="1">
      <x:c r="A84" t="str">
        <x:v>WARNING</x:v>
      </x:c>
      <x:c r="B84" t="str">
        <x:v>MISSING_PART_NUMBER</x:v>
      </x:c>
      <x:c r="C84" t="str">
        <x:v>OFFER-FE2A28A67A06</x:v>
      </x:c>
      <x:c r="D84" t="str">
        <x:v>SPEC-5C9564109A2E</x:v>
      </x:c>
      <x:c r="E84" t="n">
        <x:v>227</x:v>
      </x:c>
      <x:c r="F84" s="45" t="str">
        <x:v>EXIT DEVICE | PANIC / EXIT DEVICE | DK | No part number</x:v>
      </x:c>
      <x:c r="G84" s="45" t="str">
        <x:v>Add an orderable manufacturer part/configuration number.</x:v>
      </x:c>
    </x:row>
    <x:row r="85" ht="15" hidden="0" customHeight="1">
      <x:c r="A85" t="str">
        <x:v>WARNING</x:v>
      </x:c>
      <x:c r="B85" t="str">
        <x:v>MISSING_PART_NUMBER</x:v>
      </x:c>
      <x:c r="C85" t="str">
        <x:v>OFFER-30A5D6060632</x:v>
      </x:c>
      <x:c r="D85" t="str">
        <x:v>SPEC-084F11D098B8</x:v>
      </x:c>
      <x:c r="E85" t="n">
        <x:v>228</x:v>
      </x:c>
      <x:c r="F85" s="45" t="str">
        <x:v>EXIT DEVICE | PANIC / EXIT DEVICE | DK | No part number</x:v>
      </x:c>
      <x:c r="G85" s="45" t="str">
        <x:v>Add an orderable manufacturer part/configuration number.</x:v>
      </x:c>
    </x:row>
    <x:row r="86" ht="15" hidden="0" customHeight="1">
      <x:c r="A86" t="str">
        <x:v>WARNING</x:v>
      </x:c>
      <x:c r="B86" t="str">
        <x:v>MISSING_PART_NUMBER</x:v>
      </x:c>
      <x:c r="C86" t="str">
        <x:v>OFFER-D801F6827414</x:v>
      </x:c>
      <x:c r="D86" t="str">
        <x:v>SPEC-0FB060D1DA6E</x:v>
      </x:c>
      <x:c r="E86" t="n">
        <x:v>229</x:v>
      </x:c>
      <x:c r="F86" s="45" t="str">
        <x:v>EXIT DEVICE | PANIC / EXIT DEVICE | DK | No part number</x:v>
      </x:c>
      <x:c r="G86" s="45" t="str">
        <x:v>Add an orderable manufacturer part/configuration number.</x:v>
      </x:c>
    </x:row>
    <x:row r="87" ht="15" hidden="0" customHeight="1">
      <x:c r="A87" t="str">
        <x:v>WARNING</x:v>
      </x:c>
      <x:c r="B87" t="str">
        <x:v>MISSING_PART_NUMBER</x:v>
      </x:c>
      <x:c r="C87" t="str">
        <x:v>OFFER-D985FB53942B</x:v>
      </x:c>
      <x:c r="D87" t="str">
        <x:v>SPEC-6F1E288CFD07</x:v>
      </x:c>
      <x:c r="E87" t="n">
        <x:v>230</x:v>
      </x:c>
      <x:c r="F87" s="45" t="str">
        <x:v>EXIT DEVICE | PANIC / EXIT DEVICE | DK | No part number</x:v>
      </x:c>
      <x:c r="G87" s="45" t="str">
        <x:v>Add an orderable manufacturer part/configuration number.</x:v>
      </x:c>
    </x:row>
    <x:row r="88" ht="15" hidden="0" customHeight="1">
      <x:c r="A88" t="str">
        <x:v>WARNING</x:v>
      </x:c>
      <x:c r="B88" t="str">
        <x:v>MISSING_PART_NUMBER</x:v>
      </x:c>
      <x:c r="C88" t="str">
        <x:v>OFFER-999BB845B6D3</x:v>
      </x:c>
      <x:c r="D88" t="str">
        <x:v>SPEC-AFD3426908DC</x:v>
      </x:c>
      <x:c r="E88" t="n">
        <x:v>232</x:v>
      </x:c>
      <x:c r="F88" s="45" t="str">
        <x:v>PANIC TRIM | LEVER ESCUTCHEON TRIM | DK | No part number</x:v>
      </x:c>
      <x:c r="G88" s="45" t="str">
        <x:v>Add an orderable manufacturer part/configuration number.</x:v>
      </x:c>
    </x:row>
    <x:row r="89" ht="15" hidden="0" customHeight="1">
      <x:c r="A89" t="str">
        <x:v>WARNING</x:v>
      </x:c>
      <x:c r="B89" t="str">
        <x:v>MISSING_PART_NUMBER</x:v>
      </x:c>
      <x:c r="C89" t="str">
        <x:v>OFFER-BC9E35D62890</x:v>
      </x:c>
      <x:c r="D89" t="str">
        <x:v>SPEC-F4E577ACE7BA</x:v>
      </x:c>
      <x:c r="E89" t="n">
        <x:v>233</x:v>
      </x:c>
      <x:c r="F89" s="45" t="str">
        <x:v>PANIC TRIM | LEVER ESCUTCHEON TRIM | DK | No part number</x:v>
      </x:c>
      <x:c r="G89" s="45" t="str">
        <x:v>Add an orderable manufacturer part/configuration number.</x:v>
      </x:c>
    </x:row>
    <x:row r="90" ht="15" hidden="0" customHeight="1">
      <x:c r="A90" t="str">
        <x:v>WARNING</x:v>
      </x:c>
      <x:c r="B90" t="str">
        <x:v>MISSING_PART_NUMBER</x:v>
      </x:c>
      <x:c r="C90" t="str">
        <x:v>OFFER-E2269AD6A283</x:v>
      </x:c>
      <x:c r="D90" t="str">
        <x:v>SPEC-809A92977C48</x:v>
      </x:c>
      <x:c r="E90" t="n">
        <x:v>234</x:v>
      </x:c>
      <x:c r="F90" s="45" t="str">
        <x:v>PANIC TRIM | LEVER ESCUTCHEON TRIM | DK | No part number</x:v>
      </x:c>
      <x:c r="G90" s="45" t="str">
        <x:v>Add an orderable manufacturer part/configuration number.</x:v>
      </x:c>
    </x:row>
    <x:row r="91" ht="15" hidden="0" customHeight="1">
      <x:c r="A91" t="str">
        <x:v>WARNING</x:v>
      </x:c>
      <x:c r="B91" t="str">
        <x:v>MISSING_PART_NUMBER</x:v>
      </x:c>
      <x:c r="C91" t="str">
        <x:v>OFFER-3C02A7843FBB</x:v>
      </x:c>
      <x:c r="D91" t="str">
        <x:v>SPEC-BF967A9B6B97</x:v>
      </x:c>
      <x:c r="E91" t="n">
        <x:v>235</x:v>
      </x:c>
      <x:c r="F91" s="45" t="str">
        <x:v>PANIC TRIM | THUMBPIECE PULL TRIM | DK | No part number</x:v>
      </x:c>
      <x:c r="G91" s="45" t="str">
        <x:v>Add an orderable manufacturer part/configuration number.</x:v>
      </x:c>
    </x:row>
    <x:row r="92" ht="15" hidden="0" customHeight="1">
      <x:c r="A92" t="str">
        <x:v>WARNING</x:v>
      </x:c>
      <x:c r="B92" t="str">
        <x:v>MISSING_PART_NUMBER</x:v>
      </x:c>
      <x:c r="C92" t="str">
        <x:v>OFFER-2EDD82670276</x:v>
      </x:c>
      <x:c r="D92" t="str">
        <x:v>SPEC-4E844C1A94F7</x:v>
      </x:c>
      <x:c r="E92" t="n">
        <x:v>236</x:v>
      </x:c>
      <x:c r="F92" s="45" t="str">
        <x:v>PANIC TRIM | THUMBPIECE PULL TRIM | DK | No part number</x:v>
      </x:c>
      <x:c r="G92" s="45" t="str">
        <x:v>Add an orderable manufacturer part/configuration number.</x:v>
      </x:c>
    </x:row>
    <x:row r="93" ht="15" hidden="0" customHeight="1">
      <x:c r="A93" t="str">
        <x:v>WARNING</x:v>
      </x:c>
      <x:c r="B93" t="str">
        <x:v>MISSING_PART_NUMBER</x:v>
      </x:c>
      <x:c r="C93" t="str">
        <x:v>OFFER-09513B79A176</x:v>
      </x:c>
      <x:c r="D93" t="str">
        <x:v>SPEC-AAC9EDB8AAE5</x:v>
      </x:c>
      <x:c r="E93" t="n">
        <x:v>237</x:v>
      </x:c>
      <x:c r="F93" s="45" t="str">
        <x:v>PANIC TRIM | PULL TRIM WITH CYLINDER | DK | No part number</x:v>
      </x:c>
      <x:c r="G93" s="45" t="str">
        <x:v>Add an orderable manufacturer part/configuration number.</x:v>
      </x:c>
    </x:row>
    <x:row r="94" ht="15" hidden="0" customHeight="1">
      <x:c r="A94" t="str">
        <x:v>WARNING</x:v>
      </x:c>
      <x:c r="B94" t="str">
        <x:v>MISSING_PART_NUMBER</x:v>
      </x:c>
      <x:c r="C94" t="str">
        <x:v>OFFER-32E39328E06C</x:v>
      </x:c>
      <x:c r="D94" t="str">
        <x:v>SPEC-7DC0219E8813</x:v>
      </x:c>
      <x:c r="E94" t="n">
        <x:v>239</x:v>
      </x:c>
      <x:c r="F94" s="45" t="str">
        <x:v>EXIT DEVICE | PANIC / EXIT DEVICE | PHI | No part number</x:v>
      </x:c>
      <x:c r="G94" s="45" t="str">
        <x:v>Add an orderable manufacturer part/configuration number.</x:v>
      </x:c>
    </x:row>
    <x:row r="95" ht="15" hidden="0" customHeight="1">
      <x:c r="A95" t="str">
        <x:v>WARNING</x:v>
      </x:c>
      <x:c r="B95" t="str">
        <x:v>MISSING_PART_NUMBER</x:v>
      </x:c>
      <x:c r="C95" t="str">
        <x:v>OFFER-1AE0A68CDFA0</x:v>
      </x:c>
      <x:c r="D95" t="str">
        <x:v>SPEC-7A7EA96B996C</x:v>
      </x:c>
      <x:c r="E95" t="n">
        <x:v>240</x:v>
      </x:c>
      <x:c r="F95" s="45" t="str">
        <x:v>EXIT DEVICE | PANIC / EXIT DEVICE | PHI | No part number</x:v>
      </x:c>
      <x:c r="G95" s="45" t="str">
        <x:v>Add an orderable manufacturer part/configuration number.</x:v>
      </x:c>
    </x:row>
    <x:row r="96" ht="15" hidden="0" customHeight="1">
      <x:c r="A96" t="str">
        <x:v>WARNING</x:v>
      </x:c>
      <x:c r="B96" t="str">
        <x:v>MISSING_PART_NUMBER</x:v>
      </x:c>
      <x:c r="C96" t="str">
        <x:v>OFFER-0A497BF2957B</x:v>
      </x:c>
      <x:c r="D96" t="str">
        <x:v>SPEC-98123BC5188E</x:v>
      </x:c>
      <x:c r="E96" t="n">
        <x:v>241</x:v>
      </x:c>
      <x:c r="F96" s="45" t="str">
        <x:v>EXIT DEVICE | PANIC / EXIT DEVICE | PHI | No part number</x:v>
      </x:c>
      <x:c r="G96" s="45" t="str">
        <x:v>Add an orderable manufacturer part/configuration number.</x:v>
      </x:c>
    </x:row>
    <x:row r="97" ht="15" hidden="0" customHeight="1">
      <x:c r="A97" t="str">
        <x:v>WARNING</x:v>
      </x:c>
      <x:c r="B97" t="str">
        <x:v>MISSING_PART_NUMBER</x:v>
      </x:c>
      <x:c r="C97" t="str">
        <x:v>OFFER-2D3ABF1C542C</x:v>
      </x:c>
      <x:c r="D97" t="str">
        <x:v>SPEC-C5B77A68C63A</x:v>
      </x:c>
      <x:c r="E97" t="n">
        <x:v>242</x:v>
      </x:c>
      <x:c r="F97" s="45" t="str">
        <x:v>EXIT DEVICE | PANIC / EXIT DEVICE | PHI | No part number</x:v>
      </x:c>
      <x:c r="G97" s="45" t="str">
        <x:v>Add an orderable manufacturer part/configuration number.</x:v>
      </x:c>
    </x:row>
    <x:row r="98" ht="15" hidden="0" customHeight="1">
      <x:c r="A98" t="str">
        <x:v>WARNING</x:v>
      </x:c>
      <x:c r="B98" t="str">
        <x:v>MISSING_PART_NUMBER</x:v>
      </x:c>
      <x:c r="C98" t="str">
        <x:v>OFFER-71CC3A3DEC37</x:v>
      </x:c>
      <x:c r="D98" t="str">
        <x:v>SPEC-1D93796FD95F</x:v>
      </x:c>
      <x:c r="E98" t="n">
        <x:v>243</x:v>
      </x:c>
      <x:c r="F98" s="45" t="str">
        <x:v>EXIT DEVICE | PANIC / EXIT DEVICE | PHI | No part number</x:v>
      </x:c>
      <x:c r="G98" s="45" t="str">
        <x:v>Add an orderable manufacturer part/configuration number.</x:v>
      </x:c>
    </x:row>
    <x:row r="99" ht="15" hidden="0" customHeight="1">
      <x:c r="A99" t="str">
        <x:v>WARNING</x:v>
      </x:c>
      <x:c r="B99" t="str">
        <x:v>MISSING_PART_NUMBER</x:v>
      </x:c>
      <x:c r="C99" t="str">
        <x:v>OFFER-1D6F45D649A9</x:v>
      </x:c>
      <x:c r="D99" t="str">
        <x:v>SPEC-C4ED33E1B50D</x:v>
      </x:c>
      <x:c r="E99" t="n">
        <x:v>244</x:v>
      </x:c>
      <x:c r="F99" s="45" t="str">
        <x:v>EXIT DEVICE | PANIC / EXIT DEVICE | PHI | No part number</x:v>
      </x:c>
      <x:c r="G99" s="45" t="str">
        <x:v>Add an orderable manufacturer part/configuration number.</x:v>
      </x:c>
    </x:row>
    <x:row r="100" ht="15" hidden="0" customHeight="1">
      <x:c r="A100" t="str">
        <x:v>WARNING</x:v>
      </x:c>
      <x:c r="B100" t="str">
        <x:v>MISSING_PART_NUMBER</x:v>
      </x:c>
      <x:c r="C100" t="str">
        <x:v>OFFER-C9960490322F</x:v>
      </x:c>
      <x:c r="D100" t="str">
        <x:v>SPEC-C0B08F444CF0</x:v>
      </x:c>
      <x:c r="E100" t="n">
        <x:v>245</x:v>
      </x:c>
      <x:c r="F100" s="45" t="str">
        <x:v>EXIT DEVICE | PANIC / EXIT DEVICE | PHI | No part number</x:v>
      </x:c>
      <x:c r="G100" s="45" t="str">
        <x:v>Add an orderable manufacturer part/configuration number.</x:v>
      </x:c>
    </x:row>
    <x:row r="101" ht="15" hidden="0" customHeight="1">
      <x:c r="A101" t="str">
        <x:v>WARNING</x:v>
      </x:c>
      <x:c r="B101" t="str">
        <x:v>MISSING_PART_NUMBER</x:v>
      </x:c>
      <x:c r="C101" t="str">
        <x:v>OFFER-05C9188B3A16</x:v>
      </x:c>
      <x:c r="D101" t="str">
        <x:v>SPEC-C7B25313BBD9</x:v>
      </x:c>
      <x:c r="E101" t="n">
        <x:v>246</x:v>
      </x:c>
      <x:c r="F101" s="45" t="str">
        <x:v>EXIT DEVICE | PANIC / EXIT DEVICE | PHI | No part number</x:v>
      </x:c>
      <x:c r="G101" s="45" t="str">
        <x:v>Add an orderable manufacturer part/configuration number.</x:v>
      </x:c>
    </x:row>
    <x:row r="102" ht="15" hidden="0" customHeight="1">
      <x:c r="A102" t="str">
        <x:v>WARNING</x:v>
      </x:c>
      <x:c r="B102" t="str">
        <x:v>MISSING_PART_NUMBER</x:v>
      </x:c>
      <x:c r="C102" t="str">
        <x:v>OFFER-C67E39244F9C</x:v>
      </x:c>
      <x:c r="D102" t="str">
        <x:v>SPEC-809A92977C48</x:v>
      </x:c>
      <x:c r="E102" t="n">
        <x:v>248</x:v>
      </x:c>
      <x:c r="F102" s="45" t="str">
        <x:v>PANIC TRIM | LEVER ESCUTCHEON TRIM | PHI | No part number</x:v>
      </x:c>
      <x:c r="G102" s="45" t="str">
        <x:v>Add an orderable manufacturer part/configuration number.</x:v>
      </x:c>
    </x:row>
    <x:row r="103" ht="15" hidden="0" customHeight="1">
      <x:c r="A103" t="str">
        <x:v>WARNING</x:v>
      </x:c>
      <x:c r="B103" t="str">
        <x:v>MISSING_PART_NUMBER</x:v>
      </x:c>
      <x:c r="C103" t="str">
        <x:v>OFFER-5389E6055E2D</x:v>
      </x:c>
      <x:c r="D103" t="str">
        <x:v>SPEC-AFD3426908DC</x:v>
      </x:c>
      <x:c r="E103" t="n">
        <x:v>249</x:v>
      </x:c>
      <x:c r="F103" s="45" t="str">
        <x:v>PANIC TRIM | LEVER ESCUTCHEON TRIM | PHI | No part number</x:v>
      </x:c>
      <x:c r="G103" s="45" t="str">
        <x:v>Add an orderable manufacturer part/configuration number.</x:v>
      </x:c>
    </x:row>
    <x:row r="104" ht="15" hidden="0" customHeight="1">
      <x:c r="A104" t="str">
        <x:v>WARNING</x:v>
      </x:c>
      <x:c r="B104" t="str">
        <x:v>MISSING_PART_NUMBER</x:v>
      </x:c>
      <x:c r="C104" t="str">
        <x:v>OFFER-30E2A629C269</x:v>
      </x:c>
      <x:c r="D104" t="str">
        <x:v>SPEC-BF967A9B6B97</x:v>
      </x:c>
      <x:c r="E104" t="n">
        <x:v>250</x:v>
      </x:c>
      <x:c r="F104" s="45" t="str">
        <x:v>PANIC TRIM | THUMBPIECE PULL TRIM | PHI | No part number</x:v>
      </x:c>
      <x:c r="G104" s="45" t="str">
        <x:v>Add an orderable manufacturer part/configuration number.</x:v>
      </x:c>
    </x:row>
    <x:row r="105" ht="15" hidden="0" customHeight="1">
      <x:c r="A105" t="str">
        <x:v>WARNING</x:v>
      </x:c>
      <x:c r="B105" t="str">
        <x:v>MISSING_PART_NUMBER</x:v>
      </x:c>
      <x:c r="C105" t="str">
        <x:v>OFFER-C001EC0DB5A4</x:v>
      </x:c>
      <x:c r="D105" t="str">
        <x:v>SPEC-4E844C1A94F7</x:v>
      </x:c>
      <x:c r="E105" t="n">
        <x:v>251</x:v>
      </x:c>
      <x:c r="F105" s="45" t="str">
        <x:v>PANIC TRIM | THUMBPIECE PULL TRIM | PHI | No part number</x:v>
      </x:c>
      <x:c r="G105" s="45" t="str">
        <x:v>Add an orderable manufacturer part/configuration number.</x:v>
      </x:c>
    </x:row>
    <x:row r="106" ht="15" hidden="0" customHeight="1">
      <x:c r="A106" t="str">
        <x:v>WARNING</x:v>
      </x:c>
      <x:c r="B106" t="str">
        <x:v>MISSING_PART_NUMBER</x:v>
      </x:c>
      <x:c r="C106" t="str">
        <x:v>OFFER-481DE3A545B7</x:v>
      </x:c>
      <x:c r="D106" t="str">
        <x:v>SPEC-AAC9EDB8AAE5</x:v>
      </x:c>
      <x:c r="E106" t="n">
        <x:v>252</x:v>
      </x:c>
      <x:c r="F106" s="45" t="str">
        <x:v>PANIC TRIM | PULL TRIM WITH CYLINDER | PHI | No part number</x:v>
      </x:c>
      <x:c r="G106" s="45" t="str">
        <x:v>Add an orderable manufacturer part/configuration number.</x:v>
      </x:c>
    </x:row>
    <x:row r="107" ht="15" hidden="0" customHeight="1">
      <x:c r="A107" t="str">
        <x:v>WARNING</x:v>
      </x:c>
      <x:c r="B107" t="str">
        <x:v>MISSING_PART_NUMBER</x:v>
      </x:c>
      <x:c r="C107" t="str">
        <x:v>OFFER-EF6C09257912</x:v>
      </x:c>
      <x:c r="D107" t="str">
        <x:v>SPEC-30C12BF217D8</x:v>
      </x:c>
      <x:c r="E107" t="n">
        <x:v>254</x:v>
      </x:c>
      <x:c r="F107" s="45" t="str">
        <x:v>EXIT DEVICE | PANIC / EXIT DEVICE | PHI | No part number</x:v>
      </x:c>
      <x:c r="G107" s="45" t="str">
        <x:v>Add an orderable manufacturer part/configuration number.</x:v>
      </x:c>
    </x:row>
    <x:row r="108" ht="15" hidden="0" customHeight="1">
      <x:c r="A108" t="str">
        <x:v>WARNING</x:v>
      </x:c>
      <x:c r="B108" t="str">
        <x:v>MISSING_PART_NUMBER</x:v>
      </x:c>
      <x:c r="C108" t="str">
        <x:v>OFFER-83A8E7594FD2</x:v>
      </x:c>
      <x:c r="D108" t="str">
        <x:v>SPEC-9EB7474E88A1</x:v>
      </x:c>
      <x:c r="E108" t="n">
        <x:v>255</x:v>
      </x:c>
      <x:c r="F108" s="45" t="str">
        <x:v>EXIT DEVICE | PANIC / EXIT DEVICE | PHI | No part number</x:v>
      </x:c>
      <x:c r="G108" s="45" t="str">
        <x:v>Add an orderable manufacturer part/configuration number.</x:v>
      </x:c>
    </x:row>
    <x:row r="109" ht="15" hidden="0" customHeight="1">
      <x:c r="A109" t="str">
        <x:v>WARNING</x:v>
      </x:c>
      <x:c r="B109" t="str">
        <x:v>MISSING_PART_NUMBER</x:v>
      </x:c>
      <x:c r="C109" t="str">
        <x:v>OFFER-05D47A231E98</x:v>
      </x:c>
      <x:c r="D109" t="str">
        <x:v>SPEC-AD3A1C1F2C1E</x:v>
      </x:c>
      <x:c r="E109" t="n">
        <x:v>256</x:v>
      </x:c>
      <x:c r="F109" s="45" t="str">
        <x:v>EXIT DEVICE | PANIC / EXIT DEVICE | PHI | No part number</x:v>
      </x:c>
      <x:c r="G109" s="45" t="str">
        <x:v>Add an orderable manufacturer part/configuration number.</x:v>
      </x:c>
    </x:row>
    <x:row r="110" ht="15" hidden="0" customHeight="1">
      <x:c r="A110" t="str">
        <x:v>WARNING</x:v>
      </x:c>
      <x:c r="B110" t="str">
        <x:v>MISSING_PART_NUMBER</x:v>
      </x:c>
      <x:c r="C110" t="str">
        <x:v>OFFER-03B77EA7DE67</x:v>
      </x:c>
      <x:c r="D110" t="str">
        <x:v>SPEC-689B22E417E6</x:v>
      </x:c>
      <x:c r="E110" t="n">
        <x:v>271</x:v>
      </x:c>
      <x:c r="F110" s="45" t="str">
        <x:v>EXIT DEVICE | PANIC / EXIT DEVICE | COR | No part number</x:v>
      </x:c>
      <x:c r="G110" s="45" t="str">
        <x:v>Add an orderable manufacturer part/configuration number.</x:v>
      </x:c>
    </x:row>
    <x:row r="111" ht="15" hidden="0" customHeight="1">
      <x:c r="A111" t="str">
        <x:v>WARNING</x:v>
      </x:c>
      <x:c r="B111" t="str">
        <x:v>MISSING_PART_NUMBER</x:v>
      </x:c>
      <x:c r="C111" t="str">
        <x:v>OFFER-7F49B7D2C161</x:v>
      </x:c>
      <x:c r="D111" t="str">
        <x:v>SPEC-689B22E417E6</x:v>
      </x:c>
      <x:c r="E111" t="n">
        <x:v>272</x:v>
      </x:c>
      <x:c r="F111" s="45" t="str">
        <x:v>EXIT DEVICE | PANIC / EXIT DEVICE | SAR | No part number</x:v>
      </x:c>
      <x:c r="G111" s="45" t="str">
        <x:v>Add an orderable manufacturer part/configuration number.</x:v>
      </x:c>
    </x:row>
    <x:row r="112" ht="15" hidden="0" customHeight="1">
      <x:c r="A112" t="str">
        <x:v>WARNING</x:v>
      </x:c>
      <x:c r="B112" t="str">
        <x:v>MISSING_PART_NUMBER</x:v>
      </x:c>
      <x:c r="C112" t="str">
        <x:v>OFFER-51510BC59675</x:v>
      </x:c>
      <x:c r="D112" t="str">
        <x:v>SPEC-689B22E417E6</x:v>
      </x:c>
      <x:c r="E112" t="n">
        <x:v>275</x:v>
      </x:c>
      <x:c r="F112" s="45" t="str">
        <x:v>EXIT DEVICE | PANIC / EXIT DEVICE | VD | No part number</x:v>
      </x:c>
      <x:c r="G112" s="45" t="str">
        <x:v>Add an orderable manufacturer part/configuration number.</x:v>
      </x:c>
    </x:row>
    <x:row r="113" ht="15" hidden="0" customHeight="1">
      <x:c r="A113" t="str">
        <x:v>WARNING</x:v>
      </x:c>
      <x:c r="B113" t="str">
        <x:v>MISSING_PART_NUMBER</x:v>
      </x:c>
      <x:c r="C113" t="str">
        <x:v>OFFER-BFF489DEAFE6</x:v>
      </x:c>
      <x:c r="D113" t="str">
        <x:v>SPEC-B9693605514D</x:v>
      </x:c>
      <x:c r="E113" t="n">
        <x:v>318</x:v>
      </x:c>
      <x:c r="F113" s="45" t="str">
        <x:v>EXIT DEVICE | PANIC / EXIT DEVICE | DK | No part number</x:v>
      </x:c>
      <x:c r="G113" s="45" t="str">
        <x:v>Add an orderable manufacturer part/configuration number.</x:v>
      </x:c>
    </x:row>
    <x:row r="114" ht="15" hidden="0" customHeight="1">
      <x:c r="A114" t="str">
        <x:v>WARNING</x:v>
      </x:c>
      <x:c r="B114" t="str">
        <x:v>MISSING_PART_NUMBER</x:v>
      </x:c>
      <x:c r="C114" t="str">
        <x:v>OFFER-CB5C011F38E5</x:v>
      </x:c>
      <x:c r="D114" t="str">
        <x:v>SPEC-EBE22E2E7E86</x:v>
      </x:c>
      <x:c r="E114" t="n">
        <x:v>319</x:v>
      </x:c>
      <x:c r="F114" s="45" t="str">
        <x:v>EXIT DEVICE | PANIC / EXIT DEVICE | DK | No part number</x:v>
      </x:c>
      <x:c r="G114" s="45" t="str">
        <x:v>Add an orderable manufacturer part/configuration number.</x:v>
      </x:c>
    </x:row>
    <x:row r="115" ht="15" hidden="0" customHeight="1">
      <x:c r="A115" t="str">
        <x:v>WARNING</x:v>
      </x:c>
      <x:c r="B115" t="str">
        <x:v>MISSING_PART_NUMBER</x:v>
      </x:c>
      <x:c r="C115" t="str">
        <x:v>OFFER-2CFD0AD52CC3</x:v>
      </x:c>
      <x:c r="D115" t="str">
        <x:v>SPEC-91FCF875ED12</x:v>
      </x:c>
      <x:c r="E115" t="n">
        <x:v>320</x:v>
      </x:c>
      <x:c r="F115" s="45" t="str">
        <x:v>EXIT DEVICE | PANIC / EXIT DEVICE | DK | No part number</x:v>
      </x:c>
      <x:c r="G115" s="45" t="str">
        <x:v>Add an orderable manufacturer part/configuration number.</x:v>
      </x:c>
    </x:row>
    <x:row r="116" ht="15" hidden="0" customHeight="1">
      <x:c r="A116" t="str">
        <x:v>WARNING</x:v>
      </x:c>
      <x:c r="B116" t="str">
        <x:v>MISSING_PART_NUMBER</x:v>
      </x:c>
      <x:c r="C116" t="str">
        <x:v>OFFER-6C961D8DEA02</x:v>
      </x:c>
      <x:c r="D116" t="str">
        <x:v>SPEC-0BAC690514BC</x:v>
      </x:c>
      <x:c r="E116" t="n">
        <x:v>321</x:v>
      </x:c>
      <x:c r="F116" s="45" t="str">
        <x:v>EXIT DEVICE | PANIC / EXIT DEVICE | DK | No part number</x:v>
      </x:c>
      <x:c r="G116" s="45" t="str">
        <x:v>Add an orderable manufacturer part/configuration number.</x:v>
      </x:c>
    </x:row>
    <x:row r="117" ht="15" hidden="0" customHeight="1">
      <x:c r="A117" t="str">
        <x:v>WARNING</x:v>
      </x:c>
      <x:c r="B117" t="str">
        <x:v>MISSING_PART_NUMBER</x:v>
      </x:c>
      <x:c r="C117" t="str">
        <x:v>OFFER-6DDC6924A08A</x:v>
      </x:c>
      <x:c r="D117" t="str">
        <x:v>SPEC-283CB2D05CC5</x:v>
      </x:c>
      <x:c r="E117" t="n">
        <x:v>322</x:v>
      </x:c>
      <x:c r="F117" s="45" t="str">
        <x:v>EXIT DEVICE | PANIC / EXIT DEVICE | DK | No part number</x:v>
      </x:c>
      <x:c r="G117" s="45" t="str">
        <x:v>Add an orderable manufacturer part/configuration number.</x:v>
      </x:c>
    </x:row>
    <x:row r="118" ht="15" hidden="0" customHeight="1">
      <x:c r="A118" t="str">
        <x:v>WARNING</x:v>
      </x:c>
      <x:c r="B118" t="str">
        <x:v>MISSING_PART_NUMBER</x:v>
      </x:c>
      <x:c r="C118" t="str">
        <x:v>OFFER-63F8C9C6FEE8</x:v>
      </x:c>
      <x:c r="D118" t="str">
        <x:v>SPEC-20C076C9626B</x:v>
      </x:c>
      <x:c r="E118" t="n">
        <x:v>323</x:v>
      </x:c>
      <x:c r="F118" s="45" t="str">
        <x:v>EXIT DEVICE | PANIC / EXIT DEVICE | DK | No part number</x:v>
      </x:c>
      <x:c r="G118" s="45" t="str">
        <x:v>Add an orderable manufacturer part/configuration number.</x:v>
      </x:c>
    </x:row>
    <x:row r="119" ht="15" hidden="0" customHeight="1">
      <x:c r="A119" t="str">
        <x:v>WARNING</x:v>
      </x:c>
      <x:c r="B119" t="str">
        <x:v>MISSING_PART_NUMBER</x:v>
      </x:c>
      <x:c r="C119" t="str">
        <x:v>OFFER-3C24BFD0EE63</x:v>
      </x:c>
      <x:c r="D119" t="str">
        <x:v>SPEC-88554AFB1435</x:v>
      </x:c>
      <x:c r="E119" t="n">
        <x:v>324</x:v>
      </x:c>
      <x:c r="F119" s="45" t="str">
        <x:v>EXIT DEVICE | PANIC / EXIT DEVICE | DK | No part number</x:v>
      </x:c>
      <x:c r="G119" s="45" t="str">
        <x:v>Add an orderable manufacturer part/configuration number.</x:v>
      </x:c>
    </x:row>
    <x:row r="120" ht="15" hidden="0" customHeight="1">
      <x:c r="A120" t="str">
        <x:v>WARNING</x:v>
      </x:c>
      <x:c r="B120" t="str">
        <x:v>MISSING_PART_NUMBER</x:v>
      </x:c>
      <x:c r="C120" t="str">
        <x:v>OFFER-024B29992B04</x:v>
      </x:c>
      <x:c r="D120" t="str">
        <x:v>SPEC-F0001889C9A7</x:v>
      </x:c>
      <x:c r="E120" t="n">
        <x:v>325</x:v>
      </x:c>
      <x:c r="F120" s="45" t="str">
        <x:v>EXIT DEVICE | PANIC / EXIT DEVICE | DK | No part number</x:v>
      </x:c>
      <x:c r="G120" s="45" t="str">
        <x:v>Add an orderable manufacturer part/configuration number.</x:v>
      </x:c>
    </x:row>
    <x:row r="121" ht="15" hidden="0" customHeight="1">
      <x:c r="A121" t="str">
        <x:v>WARNING</x:v>
      </x:c>
      <x:c r="B121" t="str">
        <x:v>MISSING_PART_NUMBER</x:v>
      </x:c>
      <x:c r="C121" t="str">
        <x:v>OFFER-5F469931A036</x:v>
      </x:c>
      <x:c r="D121" t="str">
        <x:v>SPEC-17E12F75ACF6</x:v>
      </x:c>
      <x:c r="E121" t="n">
        <x:v>329</x:v>
      </x:c>
      <x:c r="F121" s="45" t="str">
        <x:v>PANIC TRIM | LEVER ESCUTCHEON TRIM | DK | No part number</x:v>
      </x:c>
      <x:c r="G121" s="45" t="str">
        <x:v>Add an orderable manufacturer part/configuration number.</x:v>
      </x:c>
    </x:row>
    <x:row r="122" ht="15" hidden="0" customHeight="1">
      <x:c r="A122" t="str">
        <x:v>WARNING</x:v>
      </x:c>
      <x:c r="B122" t="str">
        <x:v>MISSING_PART_NUMBER</x:v>
      </x:c>
      <x:c r="C122" t="str">
        <x:v>OFFER-D2E05996EFE9</x:v>
      </x:c>
      <x:c r="D122" t="str">
        <x:v>SPEC-3433EE87D2B9</x:v>
      </x:c>
      <x:c r="E122" t="n">
        <x:v>330</x:v>
      </x:c>
      <x:c r="F122" s="45" t="str">
        <x:v>PANIC TRIM | LEVER ESCUTCHEON TRIM | DK | No part number</x:v>
      </x:c>
      <x:c r="G122" s="45" t="str">
        <x:v>Add an orderable manufacturer part/configuration number.</x:v>
      </x:c>
    </x:row>
    <x:row r="123" ht="15" hidden="0" customHeight="1">
      <x:c r="A123" t="str">
        <x:v>WARNING</x:v>
      </x:c>
      <x:c r="B123" t="str">
        <x:v>MISSING_PART_NUMBER</x:v>
      </x:c>
      <x:c r="C123" t="str">
        <x:v>OFFER-44440FEDE09D</x:v>
      </x:c>
      <x:c r="D123" t="str">
        <x:v>SPEC-895F5591D942</x:v>
      </x:c>
      <x:c r="E123" t="n">
        <x:v>331</x:v>
      </x:c>
      <x:c r="F123" s="45" t="str">
        <x:v>PANIC TRIM | LEVER ESCUTCHEON TRIM | DK | No part number</x:v>
      </x:c>
      <x:c r="G123" s="45" t="str">
        <x:v>Add an orderable manufacturer part/configuration number.</x:v>
      </x:c>
    </x:row>
    <x:row r="124" ht="15" hidden="0" customHeight="1">
      <x:c r="A124" t="str">
        <x:v>WARNING</x:v>
      </x:c>
      <x:c r="B124" t="str">
        <x:v>MISSING_PART_NUMBER</x:v>
      </x:c>
      <x:c r="C124" t="str">
        <x:v>OFFER-63EAD5311FF7</x:v>
      </x:c>
      <x:c r="D124" t="str">
        <x:v>SPEC-573D87063710</x:v>
      </x:c>
      <x:c r="E124" t="n">
        <x:v>332</x:v>
      </x:c>
      <x:c r="F124" s="45" t="str">
        <x:v>PANIC TRIM | THUMBPIECE PULL TRIM | DK | No part number</x:v>
      </x:c>
      <x:c r="G124" s="45" t="str">
        <x:v>Add an orderable manufacturer part/configuration number.</x:v>
      </x:c>
    </x:row>
    <x:row r="125" ht="15" hidden="0" customHeight="1">
      <x:c r="A125" t="str">
        <x:v>WARNING</x:v>
      </x:c>
      <x:c r="B125" t="str">
        <x:v>MISSING_PART_NUMBER</x:v>
      </x:c>
      <x:c r="C125" t="str">
        <x:v>OFFER-6E06A2CCC848</x:v>
      </x:c>
      <x:c r="D125" t="str">
        <x:v>SPEC-A097D4F851FA</x:v>
      </x:c>
      <x:c r="E125" t="n">
        <x:v>333</x:v>
      </x:c>
      <x:c r="F125" s="45" t="str">
        <x:v>PANIC TRIM | THUMBPIECE PULL TRIM | DK | No part number</x:v>
      </x:c>
      <x:c r="G125" s="45" t="str">
        <x:v>Add an orderable manufacturer part/configuration number.</x:v>
      </x:c>
    </x:row>
    <x:row r="126" ht="15" hidden="0" customHeight="1">
      <x:c r="A126" t="str">
        <x:v>WARNING</x:v>
      </x:c>
      <x:c r="B126" t="str">
        <x:v>MISSING_PART_NUMBER</x:v>
      </x:c>
      <x:c r="C126" t="str">
        <x:v>OFFER-B9019DF5F2C8</x:v>
      </x:c>
      <x:c r="D126" t="str">
        <x:v>SPEC-8F99897C5F18</x:v>
      </x:c>
      <x:c r="E126" t="n">
        <x:v>334</x:v>
      </x:c>
      <x:c r="F126" s="45" t="str">
        <x:v>PANIC TRIM | PULL TRIM WITH CYLINDER | DK | No part number</x:v>
      </x:c>
      <x:c r="G126" s="45" t="str">
        <x:v>Add an orderable manufacturer part/configuration number.</x:v>
      </x:c>
    </x:row>
    <x:row r="127" ht="15" hidden="0" customHeight="1">
      <x:c r="A127" t="str">
        <x:v>WARNING</x:v>
      </x:c>
      <x:c r="B127" t="str">
        <x:v>MISSING_PART_NUMBER</x:v>
      </x:c>
      <x:c r="C127" t="str">
        <x:v>OFFER-0C3F1190F227</x:v>
      </x:c>
      <x:c r="D127" t="str">
        <x:v>SPEC-B9693605514D</x:v>
      </x:c>
      <x:c r="E127" t="n">
        <x:v>336</x:v>
      </x:c>
      <x:c r="F127" s="45" t="str">
        <x:v>EXIT DEVICE | PANIC / EXIT DEVICE | PHI | No part number</x:v>
      </x:c>
      <x:c r="G127" s="45" t="str">
        <x:v>Add an orderable manufacturer part/configuration number.</x:v>
      </x:c>
    </x:row>
    <x:row r="128" ht="15" hidden="0" customHeight="1">
      <x:c r="A128" t="str">
        <x:v>WARNING</x:v>
      </x:c>
      <x:c r="B128" t="str">
        <x:v>MISSING_PART_NUMBER</x:v>
      </x:c>
      <x:c r="C128" t="str">
        <x:v>OFFER-1F1566827C02</x:v>
      </x:c>
      <x:c r="D128" t="str">
        <x:v>SPEC-91FCF875ED12</x:v>
      </x:c>
      <x:c r="E128" t="n">
        <x:v>337</x:v>
      </x:c>
      <x:c r="F128" s="45" t="str">
        <x:v>EXIT DEVICE | PANIC / EXIT DEVICE | PHI | No part number</x:v>
      </x:c>
      <x:c r="G128" s="45" t="str">
        <x:v>Add an orderable manufacturer part/configuration number.</x:v>
      </x:c>
    </x:row>
    <x:row r="129" ht="15" hidden="0" customHeight="1">
      <x:c r="A129" t="str">
        <x:v>WARNING</x:v>
      </x:c>
      <x:c r="B129" t="str">
        <x:v>MISSING_PART_NUMBER</x:v>
      </x:c>
      <x:c r="C129" t="str">
        <x:v>OFFER-834DF9656AA4</x:v>
      </x:c>
      <x:c r="D129" t="str">
        <x:v>SPEC-9681E11277B4</x:v>
      </x:c>
      <x:c r="E129" t="n">
        <x:v>338</x:v>
      </x:c>
      <x:c r="F129" s="45" t="str">
        <x:v>EXIT DEVICE | PANIC / EXIT DEVICE | PHI | No part number</x:v>
      </x:c>
      <x:c r="G129" s="45" t="str">
        <x:v>Add an orderable manufacturer part/configuration number.</x:v>
      </x:c>
    </x:row>
    <x:row r="130" ht="15" hidden="0" customHeight="1">
      <x:c r="A130" t="str">
        <x:v>WARNING</x:v>
      </x:c>
      <x:c r="B130" t="str">
        <x:v>MISSING_PART_NUMBER</x:v>
      </x:c>
      <x:c r="C130" t="str">
        <x:v>OFFER-4C1667D806E4</x:v>
      </x:c>
      <x:c r="D130" t="str">
        <x:v>SPEC-558A3F2C2CA4</x:v>
      </x:c>
      <x:c r="E130" t="n">
        <x:v>339</x:v>
      </x:c>
      <x:c r="F130" s="45" t="str">
        <x:v>EXIT DEVICE | PANIC / EXIT DEVICE | PHI | No part number</x:v>
      </x:c>
      <x:c r="G130" s="45" t="str">
        <x:v>Add an orderable manufacturer part/configuration number.</x:v>
      </x:c>
    </x:row>
    <x:row r="131" ht="15" hidden="0" customHeight="1">
      <x:c r="A131" t="str">
        <x:v>WARNING</x:v>
      </x:c>
      <x:c r="B131" t="str">
        <x:v>MISSING_PART_NUMBER</x:v>
      </x:c>
      <x:c r="C131" t="str">
        <x:v>OFFER-3D2CE677E537</x:v>
      </x:c>
      <x:c r="D131" t="str">
        <x:v>SPEC-283CB2D05CC5</x:v>
      </x:c>
      <x:c r="E131" t="n">
        <x:v>340</x:v>
      </x:c>
      <x:c r="F131" s="45" t="str">
        <x:v>EXIT DEVICE | PANIC / EXIT DEVICE | PHI | No part number</x:v>
      </x:c>
      <x:c r="G131" s="45" t="str">
        <x:v>Add an orderable manufacturer part/configuration number.</x:v>
      </x:c>
    </x:row>
    <x:row r="132" ht="15" hidden="0" customHeight="1">
      <x:c r="A132" t="str">
        <x:v>WARNING</x:v>
      </x:c>
      <x:c r="B132" t="str">
        <x:v>MISSING_PART_NUMBER</x:v>
      </x:c>
      <x:c r="C132" t="str">
        <x:v>OFFER-2ECB555036ED</x:v>
      </x:c>
      <x:c r="D132" t="str">
        <x:v>SPEC-20C076C9626B</x:v>
      </x:c>
      <x:c r="E132" t="n">
        <x:v>341</x:v>
      </x:c>
      <x:c r="F132" s="45" t="str">
        <x:v>EXIT DEVICE | PANIC / EXIT DEVICE | PHI | No part number</x:v>
      </x:c>
      <x:c r="G132" s="45" t="str">
        <x:v>Add an orderable manufacturer part/configuration number.</x:v>
      </x:c>
    </x:row>
    <x:row r="133" ht="15" hidden="0" customHeight="1">
      <x:c r="A133" t="str">
        <x:v>WARNING</x:v>
      </x:c>
      <x:c r="B133" t="str">
        <x:v>MISSING_PART_NUMBER</x:v>
      </x:c>
      <x:c r="C133" t="str">
        <x:v>OFFER-7E3FA3CE3601</x:v>
      </x:c>
      <x:c r="D133" t="str">
        <x:v>SPEC-88554AFB1435</x:v>
      </x:c>
      <x:c r="E133" t="n">
        <x:v>342</x:v>
      </x:c>
      <x:c r="F133" s="45" t="str">
        <x:v>EXIT DEVICE | PANIC / EXIT DEVICE | PHI | No part number</x:v>
      </x:c>
      <x:c r="G133" s="45" t="str">
        <x:v>Add an orderable manufacturer part/configuration number.</x:v>
      </x:c>
    </x:row>
    <x:row r="134" ht="15" hidden="0" customHeight="1">
      <x:c r="A134" t="str">
        <x:v>WARNING</x:v>
      </x:c>
      <x:c r="B134" t="str">
        <x:v>MISSING_PART_NUMBER</x:v>
      </x:c>
      <x:c r="C134" t="str">
        <x:v>OFFER-4F376B0516E3</x:v>
      </x:c>
      <x:c r="D134" t="str">
        <x:v>SPEC-F0001889C9A7</x:v>
      </x:c>
      <x:c r="E134" t="n">
        <x:v>343</x:v>
      </x:c>
      <x:c r="F134" s="45" t="str">
        <x:v>EXIT DEVICE | PANIC / EXIT DEVICE | PHI | No part number</x:v>
      </x:c>
      <x:c r="G134" s="45" t="str">
        <x:v>Add an orderable manufacturer part/configuration number.</x:v>
      </x:c>
    </x:row>
    <x:row r="135" ht="15" hidden="0" customHeight="1">
      <x:c r="A135" t="str">
        <x:v>WARNING</x:v>
      </x:c>
      <x:c r="B135" t="str">
        <x:v>MISSING_PART_NUMBER</x:v>
      </x:c>
      <x:c r="C135" t="str">
        <x:v>OFFER-6C522B2394D3</x:v>
      </x:c>
      <x:c r="D135" t="str">
        <x:v>SPEC-895F5591D942</x:v>
      </x:c>
      <x:c r="E135" t="n">
        <x:v>345</x:v>
      </x:c>
      <x:c r="F135" s="45" t="str">
        <x:v>PANIC TRIM | LEVER ESCUTCHEON TRIM | PHI | No part number</x:v>
      </x:c>
      <x:c r="G135" s="45" t="str">
        <x:v>Add an orderable manufacturer part/configuration number.</x:v>
      </x:c>
    </x:row>
    <x:row r="136" ht="15" hidden="0" customHeight="1">
      <x:c r="A136" t="str">
        <x:v>WARNING</x:v>
      </x:c>
      <x:c r="B136" t="str">
        <x:v>MISSING_PART_NUMBER</x:v>
      </x:c>
      <x:c r="C136" t="str">
        <x:v>OFFER-881263F3275E</x:v>
      </x:c>
      <x:c r="D136" t="str">
        <x:v>SPEC-17E12F75ACF6</x:v>
      </x:c>
      <x:c r="E136" t="n">
        <x:v>346</x:v>
      </x:c>
      <x:c r="F136" s="45" t="str">
        <x:v>PANIC TRIM | LEVER ESCUTCHEON TRIM | PHI | No part number</x:v>
      </x:c>
      <x:c r="G136" s="45" t="str">
        <x:v>Add an orderable manufacturer part/configuration number.</x:v>
      </x:c>
    </x:row>
    <x:row r="137" ht="15" hidden="0" customHeight="1">
      <x:c r="A137" t="str">
        <x:v>WARNING</x:v>
      </x:c>
      <x:c r="B137" t="str">
        <x:v>MISSING_PART_NUMBER</x:v>
      </x:c>
      <x:c r="C137" t="str">
        <x:v>OFFER-B8F438161444</x:v>
      </x:c>
      <x:c r="D137" t="str">
        <x:v>SPEC-573D87063710</x:v>
      </x:c>
      <x:c r="E137" t="n">
        <x:v>347</x:v>
      </x:c>
      <x:c r="F137" s="45" t="str">
        <x:v>PANIC TRIM | THUMBPIECE PULL TRIM | PHI | No part number</x:v>
      </x:c>
      <x:c r="G137" s="45" t="str">
        <x:v>Add an orderable manufacturer part/configuration number.</x:v>
      </x:c>
    </x:row>
    <x:row r="138" ht="15" hidden="0" customHeight="1">
      <x:c r="A138" t="str">
        <x:v>WARNING</x:v>
      </x:c>
      <x:c r="B138" t="str">
        <x:v>MISSING_PART_NUMBER</x:v>
      </x:c>
      <x:c r="C138" t="str">
        <x:v>OFFER-FDFA8C0B544A</x:v>
      </x:c>
      <x:c r="D138" t="str">
        <x:v>SPEC-A097D4F851FA</x:v>
      </x:c>
      <x:c r="E138" t="n">
        <x:v>348</x:v>
      </x:c>
      <x:c r="F138" s="45" t="str">
        <x:v>PANIC TRIM | THUMBPIECE PULL TRIM | PHI | No part number</x:v>
      </x:c>
      <x:c r="G138" s="45" t="str">
        <x:v>Add an orderable manufacturer part/configuration number.</x:v>
      </x:c>
    </x:row>
    <x:row r="139" ht="15" hidden="0" customHeight="1">
      <x:c r="A139" t="str">
        <x:v>WARNING</x:v>
      </x:c>
      <x:c r="B139" t="str">
        <x:v>MISSING_PART_NUMBER</x:v>
      </x:c>
      <x:c r="C139" t="str">
        <x:v>OFFER-CC8966190185</x:v>
      </x:c>
      <x:c r="D139" t="str">
        <x:v>SPEC-8F99897C5F18</x:v>
      </x:c>
      <x:c r="E139" t="n">
        <x:v>349</x:v>
      </x:c>
      <x:c r="F139" s="45" t="str">
        <x:v>PANIC TRIM | PULL TRIM WITH CYLINDER | PHI | No part number</x:v>
      </x:c>
      <x:c r="G139" s="45" t="str">
        <x:v>Add an orderable manufacturer part/configuration number.</x:v>
      </x:c>
    </x:row>
    <x:row r="140" ht="15" hidden="0" customHeight="1">
      <x:c r="A140" t="str">
        <x:v>WARNING</x:v>
      </x:c>
      <x:c r="B140" t="str">
        <x:v>MISSING_PRICE</x:v>
      </x:c>
      <x:c r="C140" t="str">
        <x:v>OFFER-D5580AC26054</x:v>
      </x:c>
      <x:c r="D140" t="str">
        <x:v>SPEC-5580B38FF507</x:v>
      </x:c>
      <x:c r="E140" t="n">
        <x:v>3</x:v>
      </x:c>
      <x:c r="F140" s="45" t="str">
        <x:v>HINGE | HEAVY WEIGHT BUTT HINGE | DH | 78000505</x:v>
      </x:c>
      <x:c r="G140" s="45" t="str">
        <x:v>Add a current vendor list price and effective date; keep staged until priced.</x:v>
      </x:c>
    </x:row>
    <x:row r="141" ht="15" hidden="0" customHeight="1">
      <x:c r="A141" t="str">
        <x:v>WARNING</x:v>
      </x:c>
      <x:c r="B141" t="str">
        <x:v>MISSING_PRICE</x:v>
      </x:c>
      <x:c r="C141" t="str">
        <x:v>OFFER-FA185C57E7B9</x:v>
      </x:c>
      <x:c r="D141" t="str">
        <x:v>SPEC-46668F499153</x:v>
      </x:c>
      <x:c r="E141" t="n">
        <x:v>4</x:v>
      </x:c>
      <x:c r="F141" s="45" t="str">
        <x:v>HINGE | HEAVY WEIGHT BUTT HINGE | DH | 78000519</x:v>
      </x:c>
      <x:c r="G141" s="45" t="str">
        <x:v>Add a current vendor list price and effective date; keep staged until priced.</x:v>
      </x:c>
    </x:row>
    <x:row r="142" ht="15" hidden="0" customHeight="1">
      <x:c r="A142" t="str">
        <x:v>WARNING</x:v>
      </x:c>
      <x:c r="B142" t="str">
        <x:v>MISSING_PRICE</x:v>
      </x:c>
      <x:c r="C142" t="str">
        <x:v>OFFER-D2A39767A064</x:v>
      </x:c>
      <x:c r="D142" t="str">
        <x:v>SPEC-86E6996563AA</x:v>
      </x:c>
      <x:c r="E142" t="n">
        <x:v>5</x:v>
      </x:c>
      <x:c r="F142" s="45" t="str">
        <x:v>HINGE | SPRING BUTT HINGE | DH | 78000541</x:v>
      </x:c>
      <x:c r="G142" s="45" t="str">
        <x:v>Add a current vendor list price and effective date; keep staged until priced.</x:v>
      </x:c>
    </x:row>
    <x:row r="143" ht="15" hidden="0" customHeight="1">
      <x:c r="A143" t="str">
        <x:v>WARNING</x:v>
      </x:c>
      <x:c r="B143" t="str">
        <x:v>MISSING_PRICE</x:v>
      </x:c>
      <x:c r="C143" t="str">
        <x:v>OFFER-804837E01F90</x:v>
      </x:c>
      <x:c r="D143" t="str">
        <x:v>SPEC-F4CEDBA6C85C</x:v>
      </x:c>
      <x:c r="E143" t="n">
        <x:v>7</x:v>
      </x:c>
      <x:c r="F143" s="45" t="str">
        <x:v>HINGE | SPECIAL BUTT HINGE | DH | 78000531</x:v>
      </x:c>
      <x:c r="G143" s="45" t="str">
        <x:v>Add a current vendor list price and effective date; keep staged until priced.</x:v>
      </x:c>
    </x:row>
    <x:row r="144" ht="15" hidden="0" customHeight="1">
      <x:c r="A144" t="str">
        <x:v>WARNING</x:v>
      </x:c>
      <x:c r="B144" t="str">
        <x:v>MISSING_PRICE</x:v>
      </x:c>
      <x:c r="C144" t="str">
        <x:v>OFFER-EB397929ED5E</x:v>
      </x:c>
      <x:c r="D144" t="str">
        <x:v>SPEC-E60B40B45B93</x:v>
      </x:c>
      <x:c r="E144" t="n">
        <x:v>8</x:v>
      </x:c>
      <x:c r="F144" s="45" t="str">
        <x:v>HINGE | SPECIAL BUTT HINGE | No vendor | No part number</x:v>
      </x:c>
      <x:c r="G144" s="45" t="str">
        <x:v>Add a current vendor list price and effective date; keep staged until priced.</x:v>
      </x:c>
    </x:row>
    <x:row r="145" ht="15" hidden="0" customHeight="1">
      <x:c r="A145" t="str">
        <x:v>WARNING</x:v>
      </x:c>
      <x:c r="B145" t="str">
        <x:v>MISSING_PRICE</x:v>
      </x:c>
      <x:c r="C145" t="str">
        <x:v>OFFER-68B7AE143DF4</x:v>
      </x:c>
      <x:c r="D145" t="str">
        <x:v>SPEC-EAEAADF0DBE0</x:v>
      </x:c>
      <x:c r="E145" t="n">
        <x:v>9</x:v>
      </x:c>
      <x:c r="F145" s="45" t="str">
        <x:v>HINGE | BUTT HINGE | IVE | ******</x:v>
      </x:c>
      <x:c r="G145" s="45" t="str">
        <x:v>Add a current vendor list price and effective date; keep staged until priced.</x:v>
      </x:c>
    </x:row>
    <x:row r="146" ht="15" hidden="0" customHeight="1">
      <x:c r="A146" t="str">
        <x:v>WARNING</x:v>
      </x:c>
      <x:c r="B146" t="str">
        <x:v>MISSING_PRICE</x:v>
      </x:c>
      <x:c r="C146" t="str">
        <x:v>OFFER-EA52B87C0E65</x:v>
      </x:c>
      <x:c r="D146" t="str">
        <x:v>SPEC-CCD60FD58F0B</x:v>
      </x:c>
      <x:c r="E146" t="n">
        <x:v>10</x:v>
      </x:c>
      <x:c r="F146" s="45" t="str">
        <x:v>HINGE | BUTT HINGE | *** | ******</x:v>
      </x:c>
      <x:c r="G146" s="45" t="str">
        <x:v>Add a current vendor list price and effective date; keep staged until priced.</x:v>
      </x:c>
    </x:row>
    <x:row r="147" ht="15" hidden="0" customHeight="1">
      <x:c r="A147" t="str">
        <x:v>WARNING</x:v>
      </x:c>
      <x:c r="B147" t="str">
        <x:v>MISSING_PRICE</x:v>
      </x:c>
      <x:c r="C147" t="str">
        <x:v>OFFER-464F8F721986</x:v>
      </x:c>
      <x:c r="D147" t="str">
        <x:v>SPEC-0475607E1A90</x:v>
      </x:c>
      <x:c r="E147" t="n">
        <x:v>11</x:v>
      </x:c>
      <x:c r="F147" s="45" t="str">
        <x:v>HINGE | STANDARD WEIGHT BUTT HINGE | DH | 78000519</x:v>
      </x:c>
      <x:c r="G147" s="45" t="str">
        <x:v>Add a current vendor list price and effective date; keep staged until priced.</x:v>
      </x:c>
    </x:row>
    <x:row r="148" ht="15" hidden="0" customHeight="1">
      <x:c r="A148" t="str">
        <x:v>WARNING</x:v>
      </x:c>
      <x:c r="B148" t="str">
        <x:v>MISSING_PRICE</x:v>
      </x:c>
      <x:c r="C148" t="str">
        <x:v>OFFER-38A27EC2BD55</x:v>
      </x:c>
      <x:c r="D148" t="str">
        <x:v>SPEC-244285DE4CEC</x:v>
      </x:c>
      <x:c r="E148" t="n">
        <x:v>12</x:v>
      </x:c>
      <x:c r="F148" s="45" t="str">
        <x:v>HINGE | STANDARD WEIGHT BUTT HINGE | DH | No part number</x:v>
      </x:c>
      <x:c r="G148" s="45" t="str">
        <x:v>Add a current vendor list price and effective date; keep staged until priced.</x:v>
      </x:c>
    </x:row>
    <x:row r="149" ht="15" hidden="0" customHeight="1">
      <x:c r="A149" t="str">
        <x:v>WARNING</x:v>
      </x:c>
      <x:c r="B149" t="str">
        <x:v>MISSING_PRICE</x:v>
      </x:c>
      <x:c r="C149" t="str">
        <x:v>OFFER-AB9524199677</x:v>
      </x:c>
      <x:c r="D149" t="str">
        <x:v>SPEC-3AC38DD8BDA3</x:v>
      </x:c>
      <x:c r="E149" t="n">
        <x:v>14</x:v>
      </x:c>
      <x:c r="F149" s="45" t="str">
        <x:v>HINGE | CONTINUOUS HINGE | ABH | No part number</x:v>
      </x:c>
      <x:c r="G149" s="45" t="str">
        <x:v>Add a current vendor list price and effective date; keep staged until priced.</x:v>
      </x:c>
    </x:row>
    <x:row r="150" ht="15" hidden="0" customHeight="1">
      <x:c r="A150" t="str">
        <x:v>WARNING</x:v>
      </x:c>
      <x:c r="B150" t="str">
        <x:v>MISSING_PRICE</x:v>
      </x:c>
      <x:c r="C150" t="str">
        <x:v>OFFER-0863C6C4B230</x:v>
      </x:c>
      <x:c r="D150" t="str">
        <x:v>SPEC-3AC38DD8BDA3</x:v>
      </x:c>
      <x:c r="E150" t="n">
        <x:v>15</x:v>
      </x:c>
      <x:c r="F150" s="45" t="str">
        <x:v>HINGE | CONTINUOUS HINGE | ABH | No part number</x:v>
      </x:c>
      <x:c r="G150" s="45" t="str">
        <x:v>Add a current vendor list price and effective date; keep staged until priced.</x:v>
      </x:c>
    </x:row>
    <x:row r="151" ht="15" hidden="0" customHeight="1">
      <x:c r="A151" t="str">
        <x:v>WARNING</x:v>
      </x:c>
      <x:c r="B151" t="str">
        <x:v>MISSING_PRICE</x:v>
      </x:c>
      <x:c r="C151" t="str">
        <x:v>OFFER-3004DBA62C49</x:v>
      </x:c>
      <x:c r="D151" t="str">
        <x:v>SPEC-F0BF5C9B897E</x:v>
      </x:c>
      <x:c r="E151" t="n">
        <x:v>16</x:v>
      </x:c>
      <x:c r="F151" s="45" t="str">
        <x:v>HINGE | CONTINUOUS HINGE | ABH | No part number</x:v>
      </x:c>
      <x:c r="G151" s="45" t="str">
        <x:v>Add a current vendor list price and effective date; keep staged until priced.</x:v>
      </x:c>
    </x:row>
    <x:row r="152" ht="15" hidden="0" customHeight="1">
      <x:c r="A152" t="str">
        <x:v>WARNING</x:v>
      </x:c>
      <x:c r="B152" t="str">
        <x:v>MISSING_PRICE</x:v>
      </x:c>
      <x:c r="C152" t="str">
        <x:v>OFFER-71EC4D0EBCD3</x:v>
      </x:c>
      <x:c r="D152" t="str">
        <x:v>SPEC-4A1D73AE37C6</x:v>
      </x:c>
      <x:c r="E152" t="n">
        <x:v>17</x:v>
      </x:c>
      <x:c r="F152" s="45" t="str">
        <x:v>HINGE | CONTINUOUS HINGE | ABH | No part number</x:v>
      </x:c>
      <x:c r="G152" s="45" t="str">
        <x:v>Add a current vendor list price and effective date; keep staged until priced.</x:v>
      </x:c>
    </x:row>
    <x:row r="153" ht="15" hidden="0" customHeight="1">
      <x:c r="A153" t="str">
        <x:v>WARNING</x:v>
      </x:c>
      <x:c r="B153" t="str">
        <x:v>MISSING_PRICE</x:v>
      </x:c>
      <x:c r="C153" t="str">
        <x:v>OFFER-914F68DB47B5</x:v>
      </x:c>
      <x:c r="D153" t="str">
        <x:v>SPEC-4A1D73AE37C6</x:v>
      </x:c>
      <x:c r="E153" t="n">
        <x:v>18</x:v>
      </x:c>
      <x:c r="F153" s="45" t="str">
        <x:v>HINGE | CONTINUOUS HINGE | ABH | No part number</x:v>
      </x:c>
      <x:c r="G153" s="45" t="str">
        <x:v>Add a current vendor list price and effective date; keep staged until priced.</x:v>
      </x:c>
    </x:row>
    <x:row r="154" ht="15" hidden="0" customHeight="1">
      <x:c r="A154" t="str">
        <x:v>WARNING</x:v>
      </x:c>
      <x:c r="B154" t="str">
        <x:v>MISSING_PRICE</x:v>
      </x:c>
      <x:c r="C154" t="str">
        <x:v>OFFER-8BD47D058332</x:v>
      </x:c>
      <x:c r="D154" t="str">
        <x:v>SPEC-297A925280A3</x:v>
      </x:c>
      <x:c r="E154" t="n">
        <x:v>19</x:v>
      </x:c>
      <x:c r="F154" s="45" t="str">
        <x:v>HINGE | CONTINUOUS HINGE | ABH | No part number</x:v>
      </x:c>
      <x:c r="G154" s="45" t="str">
        <x:v>Add a current vendor list price and effective date; keep staged until priced.</x:v>
      </x:c>
    </x:row>
    <x:row r="155" ht="15" hidden="0" customHeight="1">
      <x:c r="A155" t="str">
        <x:v>WARNING</x:v>
      </x:c>
      <x:c r="B155" t="str">
        <x:v>MISSING_PRICE</x:v>
      </x:c>
      <x:c r="C155" t="str">
        <x:v>OFFER-679CD343FB67</x:v>
      </x:c>
      <x:c r="D155" t="str">
        <x:v>SPEC-3AC38DD8BDA3</x:v>
      </x:c>
      <x:c r="E155" t="n">
        <x:v>20</x:v>
      </x:c>
      <x:c r="F155" s="45" t="str">
        <x:v>HINGE | CONTINUOUS HINGE | NGP | HD2400</x:v>
      </x:c>
      <x:c r="G155" s="45" t="str">
        <x:v>Add a current vendor list price and effective date; keep staged until priced.</x:v>
      </x:c>
    </x:row>
    <x:row r="156" ht="15" hidden="0" customHeight="1">
      <x:c r="A156" t="str">
        <x:v>WARNING</x:v>
      </x:c>
      <x:c r="B156" t="str">
        <x:v>MISSING_PRICE</x:v>
      </x:c>
      <x:c r="C156" t="str">
        <x:v>OFFER-F1B38E8F678D</x:v>
      </x:c>
      <x:c r="D156" t="str">
        <x:v>SPEC-4A1D73AE37C6</x:v>
      </x:c>
      <x:c r="E156" t="n">
        <x:v>21</x:v>
      </x:c>
      <x:c r="F156" s="45" t="str">
        <x:v>HINGE | CONTINUOUS HINGE | ABH | No part number</x:v>
      </x:c>
      <x:c r="G156" s="45" t="str">
        <x:v>Add a current vendor list price and effective date; keep staged until priced.</x:v>
      </x:c>
    </x:row>
    <x:row r="157" ht="15" hidden="0" customHeight="1">
      <x:c r="A157" t="str">
        <x:v>WARNING</x:v>
      </x:c>
      <x:c r="B157" t="str">
        <x:v>MISSING_PRICE</x:v>
      </x:c>
      <x:c r="C157" t="str">
        <x:v>OFFER-48E947663F8B</x:v>
      </x:c>
      <x:c r="D157" t="str">
        <x:v>SPEC-3AC38DD8BDA3</x:v>
      </x:c>
      <x:c r="E157" t="n">
        <x:v>22</x:v>
      </x:c>
      <x:c r="F157" s="45" t="str">
        <x:v>HINGE | CONTINUOUS HINGE | ABH | No part number</x:v>
      </x:c>
      <x:c r="G157" s="45" t="str">
        <x:v>Add a current vendor list price and effective date; keep staged until priced.</x:v>
      </x:c>
    </x:row>
    <x:row r="158" ht="15" hidden="0" customHeight="1">
      <x:c r="A158" t="str">
        <x:v>WARNING</x:v>
      </x:c>
      <x:c r="B158" t="str">
        <x:v>MISSING_PRICE</x:v>
      </x:c>
      <x:c r="C158" t="str">
        <x:v>OFFER-092AAC2B2C23</x:v>
      </x:c>
      <x:c r="D158" t="str">
        <x:v>SPEC-3AC38DD8BDA3</x:v>
      </x:c>
      <x:c r="E158" t="n">
        <x:v>23</x:v>
      </x:c>
      <x:c r="F158" s="45" t="str">
        <x:v>HINGE | CONTINUOUS HINGE | DH | No part number</x:v>
      </x:c>
      <x:c r="G158" s="45" t="str">
        <x:v>Add a current vendor list price and effective date; keep staged until priced.</x:v>
      </x:c>
    </x:row>
    <x:row r="159" ht="15" hidden="0" customHeight="1">
      <x:c r="A159" t="str">
        <x:v>WARNING</x:v>
      </x:c>
      <x:c r="B159" t="str">
        <x:v>MISSING_PRICE</x:v>
      </x:c>
      <x:c r="C159" t="str">
        <x:v>OFFER-E2B5ABDA3D82</x:v>
      </x:c>
      <x:c r="D159" t="str">
        <x:v>SPEC-3AC38DD8BDA3</x:v>
      </x:c>
      <x:c r="E159" t="n">
        <x:v>24</x:v>
      </x:c>
      <x:c r="F159" s="45" t="str">
        <x:v>HINGE | CONTINUOUS HINGE | DH | No part number</x:v>
      </x:c>
      <x:c r="G159" s="45" t="str">
        <x:v>Add a current vendor list price and effective date; keep staged until priced.</x:v>
      </x:c>
    </x:row>
    <x:row r="160" ht="15" hidden="0" customHeight="1">
      <x:c r="A160" t="str">
        <x:v>WARNING</x:v>
      </x:c>
      <x:c r="B160" t="str">
        <x:v>MISSING_PRICE</x:v>
      </x:c>
      <x:c r="C160" t="str">
        <x:v>OFFER-0EC3718493B9</x:v>
      </x:c>
      <x:c r="D160" t="str">
        <x:v>SPEC-F0BF5C9B897E</x:v>
      </x:c>
      <x:c r="E160" t="n">
        <x:v>25</x:v>
      </x:c>
      <x:c r="F160" s="45" t="str">
        <x:v>HINGE | CONTINUOUS HINGE | DH | No part number</x:v>
      </x:c>
      <x:c r="G160" s="45" t="str">
        <x:v>Add a current vendor list price and effective date; keep staged until priced.</x:v>
      </x:c>
    </x:row>
    <x:row r="161" ht="15" hidden="0" customHeight="1">
      <x:c r="A161" t="str">
        <x:v>WARNING</x:v>
      </x:c>
      <x:c r="B161" t="str">
        <x:v>MISSING_PRICE</x:v>
      </x:c>
      <x:c r="C161" t="str">
        <x:v>OFFER-A4B80386A96D</x:v>
      </x:c>
      <x:c r="D161" t="str">
        <x:v>SPEC-0C603B3070A1</x:v>
      </x:c>
      <x:c r="E161" t="n">
        <x:v>26</x:v>
      </x:c>
      <x:c r="F161" s="45" t="str">
        <x:v>HINGE | CONTINUOUS HINGE | No vendor | No part number</x:v>
      </x:c>
      <x:c r="G161" s="45" t="str">
        <x:v>Add a current vendor list price and effective date; keep staged until priced.</x:v>
      </x:c>
    </x:row>
    <x:row r="162" ht="15" hidden="0" customHeight="1">
      <x:c r="A162" t="str">
        <x:v>WARNING</x:v>
      </x:c>
      <x:c r="B162" t="str">
        <x:v>MISSING_PRICE</x:v>
      </x:c>
      <x:c r="C162" t="str">
        <x:v>OFFER-3F19711692CF</x:v>
      </x:c>
      <x:c r="D162" t="str">
        <x:v>SPEC-6525459ED4F5</x:v>
      </x:c>
      <x:c r="E162" t="n">
        <x:v>28</x:v>
      </x:c>
      <x:c r="F162" s="45" t="str">
        <x:v>HINGE | CONTINUOUS PIN HINGE | ABH | A5500</x:v>
      </x:c>
      <x:c r="G162" s="45" t="str">
        <x:v>Add a current vendor list price and effective date; keep staged until priced.</x:v>
      </x:c>
    </x:row>
    <x:row r="163" ht="15" hidden="0" customHeight="1">
      <x:c r="A163" t="str">
        <x:v>WARNING</x:v>
      </x:c>
      <x:c r="B163" t="str">
        <x:v>MISSING_PRICE</x:v>
      </x:c>
      <x:c r="C163" t="str">
        <x:v>OFFER-938E2254B25D</x:v>
      </x:c>
      <x:c r="D163" t="str">
        <x:v>SPEC-6525459ED4F5</x:v>
      </x:c>
      <x:c r="E163" t="n">
        <x:v>29</x:v>
      </x:c>
      <x:c r="F163" s="45" t="str">
        <x:v>HINGE | CONTINUOUS PIN HINGE | ABH | No part number</x:v>
      </x:c>
      <x:c r="G163" s="45" t="str">
        <x:v>Add a current vendor list price and effective date; keep staged until priced.</x:v>
      </x:c>
    </x:row>
    <x:row r="164" ht="15" hidden="0" customHeight="1">
      <x:c r="A164" t="str">
        <x:v>WARNING</x:v>
      </x:c>
      <x:c r="B164" t="str">
        <x:v>MISSING_PRICE</x:v>
      </x:c>
      <x:c r="C164" t="str">
        <x:v>OFFER-C73B3E06763A</x:v>
      </x:c>
      <x:c r="D164" t="str">
        <x:v>SPEC-73112C7FD382</x:v>
      </x:c>
      <x:c r="E164" t="n">
        <x:v>31</x:v>
      </x:c>
      <x:c r="F164" s="45" t="str">
        <x:v>HINGE | POWER TRANSFER HINGE | DH | 78094088</x:v>
      </x:c>
      <x:c r="G164" s="45" t="str">
        <x:v>Add a current vendor list price and effective date; keep staged until priced.</x:v>
      </x:c>
    </x:row>
    <x:row r="165" ht="15" hidden="0" customHeight="1">
      <x:c r="A165" t="str">
        <x:v>WARNING</x:v>
      </x:c>
      <x:c r="B165" t="str">
        <x:v>MISSING_PRICE</x:v>
      </x:c>
      <x:c r="C165" t="str">
        <x:v>OFFER-35083A9738EB</x:v>
      </x:c>
      <x:c r="D165" t="str">
        <x:v>SPEC-430A2DA8C9BC</x:v>
      </x:c>
      <x:c r="E165" t="n">
        <x:v>32</x:v>
      </x:c>
      <x:c r="F165" s="45" t="str">
        <x:v>HINGE | POWER TRANSFER HINGE | DH | 78004502</x:v>
      </x:c>
      <x:c r="G165" s="45" t="str">
        <x:v>Add a current vendor list price and effective date; keep staged until priced.</x:v>
      </x:c>
    </x:row>
    <x:row r="166" ht="15" hidden="0" customHeight="1">
      <x:c r="A166" t="str">
        <x:v>WARNING</x:v>
      </x:c>
      <x:c r="B166" t="str">
        <x:v>MISSING_PRICE</x:v>
      </x:c>
      <x:c r="C166" t="str">
        <x:v>OFFER-D0B41710DFA6</x:v>
      </x:c>
      <x:c r="D166" t="str">
        <x:v>SPEC-B2224CB4D0BB</x:v>
      </x:c>
      <x:c r="E166" t="n">
        <x:v>33</x:v>
      </x:c>
      <x:c r="F166" s="45" t="str">
        <x:v>HINGE | POWER TRANSFER HINGE | DH | 78000280</x:v>
      </x:c>
      <x:c r="G166" s="45" t="str">
        <x:v>Add a current vendor list price and effective date; keep staged until priced.</x:v>
      </x:c>
    </x:row>
    <x:row r="167" ht="15" hidden="0" customHeight="1">
      <x:c r="A167" t="str">
        <x:v>WARNING</x:v>
      </x:c>
      <x:c r="B167" t="str">
        <x:v>MISSING_PRICE</x:v>
      </x:c>
      <x:c r="C167" t="str">
        <x:v>OFFER-A01737356EFB</x:v>
      </x:c>
      <x:c r="D167" t="str">
        <x:v>SPEC-C7431F5B45E4</x:v>
      </x:c>
      <x:c r="E167" t="n">
        <x:v>34</x:v>
      </x:c>
      <x:c r="F167" s="45" t="str">
        <x:v>HINGE | POWER TRANSFER HINGE | DH | 78094099</x:v>
      </x:c>
      <x:c r="G167" s="45" t="str">
        <x:v>Add a current vendor list price and effective date; keep staged until priced.</x:v>
      </x:c>
    </x:row>
    <x:row r="168" ht="15" hidden="0" customHeight="1">
      <x:c r="A168" t="str">
        <x:v>WARNING</x:v>
      </x:c>
      <x:c r="B168" t="str">
        <x:v>MISSING_PRICE</x:v>
      </x:c>
      <x:c r="C168" t="str">
        <x:v>OFFER-642F3EAA487D</x:v>
      </x:c>
      <x:c r="D168" t="str">
        <x:v>SPEC-6F764A8CF8EF</x:v>
      </x:c>
      <x:c r="E168" t="n">
        <x:v>35</x:v>
      </x:c>
      <x:c r="F168" s="45" t="str">
        <x:v>HINGE | POWER TRANSFER HINGE | DH | 78094093</x:v>
      </x:c>
      <x:c r="G168" s="45" t="str">
        <x:v>Add a current vendor list price and effective date; keep staged until priced.</x:v>
      </x:c>
    </x:row>
    <x:row r="169" ht="15" hidden="0" customHeight="1">
      <x:c r="A169" t="str">
        <x:v>WARNING</x:v>
      </x:c>
      <x:c r="B169" t="str">
        <x:v>MISSING_PRICE</x:v>
      </x:c>
      <x:c r="C169" t="str">
        <x:v>OFFER-CECC89A719E7</x:v>
      </x:c>
      <x:c r="D169" t="str">
        <x:v>SPEC-AA846527D5AE</x:v>
      </x:c>
      <x:c r="E169" t="n">
        <x:v>36</x:v>
      </x:c>
      <x:c r="F169" s="45" t="str">
        <x:v>HINGE | POWER TRANSFER HINGE | DH | 78094094</x:v>
      </x:c>
      <x:c r="G169" s="45" t="str">
        <x:v>Add a current vendor list price and effective date; keep staged until priced.</x:v>
      </x:c>
    </x:row>
    <x:row r="170" ht="15" hidden="0" customHeight="1">
      <x:c r="A170" t="str">
        <x:v>WARNING</x:v>
      </x:c>
      <x:c r="B170" t="str">
        <x:v>MISSING_PRICE</x:v>
      </x:c>
      <x:c r="C170" t="str">
        <x:v>OFFER-1026524A314D</x:v>
      </x:c>
      <x:c r="D170" t="str">
        <x:v>SPEC-BE8831B937F5</x:v>
      </x:c>
      <x:c r="E170" t="n">
        <x:v>37</x:v>
      </x:c>
      <x:c r="F170" s="45" t="str">
        <x:v>HINGE | POWER TRANSFER HINGE | DH | 78000279</x:v>
      </x:c>
      <x:c r="G170" s="45" t="str">
        <x:v>Add a current vendor list price and effective date; keep staged until priced.</x:v>
      </x:c>
    </x:row>
    <x:row r="171" ht="15" hidden="0" customHeight="1">
      <x:c r="A171" t="str">
        <x:v>WARNING</x:v>
      </x:c>
      <x:c r="B171" t="str">
        <x:v>MISSING_PRICE</x:v>
      </x:c>
      <x:c r="C171" t="str">
        <x:v>OFFER-05DCDA4E628E</x:v>
      </x:c>
      <x:c r="D171" t="str">
        <x:v>SPEC-6148A16A1DC5</x:v>
      </x:c>
      <x:c r="E171" t="n">
        <x:v>38</x:v>
      </x:c>
      <x:c r="F171" s="45" t="str">
        <x:v>HINGE | POWER TRANSFER HINGE | DH | 78094104</x:v>
      </x:c>
      <x:c r="G171" s="45" t="str">
        <x:v>Add a current vendor list price and effective date; keep staged until priced.</x:v>
      </x:c>
    </x:row>
    <x:row r="172" ht="15" hidden="0" customHeight="1">
      <x:c r="A172" t="str">
        <x:v>WARNING</x:v>
      </x:c>
      <x:c r="B172" t="str">
        <x:v>MISSING_PRICE</x:v>
      </x:c>
      <x:c r="C172" t="str">
        <x:v>OFFER-EE4737AD53DC</x:v>
      </x:c>
      <x:c r="D172" t="str">
        <x:v>SPEC-670C4978BBE2</x:v>
      </x:c>
      <x:c r="E172" t="n">
        <x:v>39</x:v>
      </x:c>
      <x:c r="F172" s="45" t="str">
        <x:v>HINGE | POWER TRANSFER HINGE | PHG | CH4632E</x:v>
      </x:c>
      <x:c r="G172" s="45" t="str">
        <x:v>Add a current vendor list price and effective date; keep staged until priced.</x:v>
      </x:c>
    </x:row>
    <x:row r="173" ht="15" hidden="0" customHeight="1">
      <x:c r="A173" t="str">
        <x:v>WARNING</x:v>
      </x:c>
      <x:c r="B173" t="str">
        <x:v>MISSING_PRICE</x:v>
      </x:c>
      <x:c r="C173" t="str">
        <x:v>OFFER-B893CCBA816C</x:v>
      </x:c>
      <x:c r="D173" t="str">
        <x:v>SPEC-34F37FF68132</x:v>
      </x:c>
      <x:c r="E173" t="n">
        <x:v>43</x:v>
      </x:c>
      <x:c r="F173" s="45" t="str">
        <x:v>CLOSER | SURFACE CLOSER | DH | 78000015</x:v>
      </x:c>
      <x:c r="G173" s="45" t="str">
        <x:v>Add a current vendor list price and effective date; keep staged until priced.</x:v>
      </x:c>
    </x:row>
    <x:row r="174" ht="15" hidden="0" customHeight="1">
      <x:c r="A174" t="str">
        <x:v>WARNING</x:v>
      </x:c>
      <x:c r="B174" t="str">
        <x:v>MISSING_PRICE</x:v>
      </x:c>
      <x:c r="C174" t="str">
        <x:v>OFFER-936427C75E0B</x:v>
      </x:c>
      <x:c r="D174" t="str">
        <x:v>SPEC-163ABA1E6026</x:v>
      </x:c>
      <x:c r="E174" t="n">
        <x:v>44</x:v>
      </x:c>
      <x:c r="F174" s="45" t="str">
        <x:v>CLOSER | SURFACE CLOSER | DH | 78000767</x:v>
      </x:c>
      <x:c r="G174" s="45" t="str">
        <x:v>Add a current vendor list price and effective date; keep staged until priced.</x:v>
      </x:c>
    </x:row>
    <x:row r="175" ht="15" hidden="0" customHeight="1">
      <x:c r="A175" t="str">
        <x:v>WARNING</x:v>
      </x:c>
      <x:c r="B175" t="str">
        <x:v>MISSING_PRICE</x:v>
      </x:c>
      <x:c r="C175" t="str">
        <x:v>OFFER-1020E6CB214F</x:v>
      </x:c>
      <x:c r="D175" t="str">
        <x:v>SPEC-D20D6C31AF5E</x:v>
      </x:c>
      <x:c r="E175" t="n">
        <x:v>45</x:v>
      </x:c>
      <x:c r="F175" s="45" t="str">
        <x:v>CLOSER | SURFACE CLOSER | DH | 78000738</x:v>
      </x:c>
      <x:c r="G175" s="45" t="str">
        <x:v>Add a current vendor list price and effective date; keep staged until priced.</x:v>
      </x:c>
    </x:row>
    <x:row r="176" ht="15" hidden="0" customHeight="1">
      <x:c r="A176" t="str">
        <x:v>WARNING</x:v>
      </x:c>
      <x:c r="B176" t="str">
        <x:v>MISSING_PRICE</x:v>
      </x:c>
      <x:c r="C176" t="str">
        <x:v>OFFER-9F9C590BC14A</x:v>
      </x:c>
      <x:c r="D176" t="str">
        <x:v>SPEC-2A2BB6A51907</x:v>
      </x:c>
      <x:c r="E176" t="n">
        <x:v>46</x:v>
      </x:c>
      <x:c r="F176" s="45" t="str">
        <x:v>CLOSER | SURFACE CLOSER | DH | 78000720</x:v>
      </x:c>
      <x:c r="G176" s="45" t="str">
        <x:v>Add a current vendor list price and effective date; keep staged until priced.</x:v>
      </x:c>
    </x:row>
    <x:row r="177" ht="15" hidden="0" customHeight="1">
      <x:c r="A177" t="str">
        <x:v>WARNING</x:v>
      </x:c>
      <x:c r="B177" t="str">
        <x:v>MISSING_PRICE</x:v>
      </x:c>
      <x:c r="C177" t="str">
        <x:v>OFFER-6A4FD294BC25</x:v>
      </x:c>
      <x:c r="D177" t="str">
        <x:v>SPEC-E002DFF25150</x:v>
      </x:c>
      <x:c r="E177" t="n">
        <x:v>47</x:v>
      </x:c>
      <x:c r="F177" s="45" t="str">
        <x:v>CLOSER | SURFACE CLOSER | DH | 78000691</x:v>
      </x:c>
      <x:c r="G177" s="45" t="str">
        <x:v>Add a current vendor list price and effective date; keep staged until priced.</x:v>
      </x:c>
    </x:row>
    <x:row r="178" ht="15" hidden="0" customHeight="1">
      <x:c r="A178" t="str">
        <x:v>WARNING</x:v>
      </x:c>
      <x:c r="B178" t="str">
        <x:v>MISSING_PRICE</x:v>
      </x:c>
      <x:c r="C178" t="str">
        <x:v>OFFER-8D67FBF3B952</x:v>
      </x:c>
      <x:c r="D178" t="str">
        <x:v>SPEC-D20D6C31AF5E</x:v>
      </x:c>
      <x:c r="E178" t="n">
        <x:v>51</x:v>
      </x:c>
      <x:c r="F178" s="45" t="str">
        <x:v>CLOSER | SURFACE CLOSER | PHG | 60DC690</x:v>
      </x:c>
      <x:c r="G178" s="45" t="str">
        <x:v>Add a current vendor list price and effective date; keep staged until priced.</x:v>
      </x:c>
    </x:row>
    <x:row r="179" ht="15" hidden="0" customHeight="1">
      <x:c r="A179" t="str">
        <x:v>WARNING</x:v>
      </x:c>
      <x:c r="B179" t="str">
        <x:v>MISSING_PRICE</x:v>
      </x:c>
      <x:c r="C179" t="str">
        <x:v>OFFER-237D5F0EF0F7</x:v>
      </x:c>
      <x:c r="D179" t="str">
        <x:v>SPEC-5AD426F6A2C6</x:v>
      </x:c>
      <x:c r="E179" t="n">
        <x:v>53</x:v>
      </x:c>
      <x:c r="F179" s="45" t="str">
        <x:v>CLOSER | SURFACE CLOSER | DK | 8916-*-AF89-*-FC-*-DPK89-*-689</x:v>
      </x:c>
      <x:c r="G179" s="45" t="str">
        <x:v>Add a current vendor list price and effective date; keep staged until priced.</x:v>
      </x:c>
    </x:row>
    <x:row r="180" ht="26.399999618530273" hidden="0" customHeight="1">
      <x:c r="A180" t="str">
        <x:v>WARNING</x:v>
      </x:c>
      <x:c r="B180" t="str">
        <x:v>MISSING_PRICE</x:v>
      </x:c>
      <x:c r="C180" t="str">
        <x:v>OFFER-0A4F27CF4812</x:v>
      </x:c>
      <x:c r="D180" t="str">
        <x:v>SPEC-927A1E98A57A</x:v>
      </x:c>
      <x:c r="E180" t="n">
        <x:v>54</x:v>
      </x:c>
      <x:c r="F180" s="45" t="str">
        <x:v>CLOSER | SURFACE CLOSER | DK | 8916-*-AF89-*-FC-SN2-DPK89-NFHD-689</x:v>
      </x:c>
      <x:c r="G180" s="45" t="str">
        <x:v>Add a current vendor list price and effective date; keep staged until priced.</x:v>
      </x:c>
    </x:row>
    <x:row r="181" ht="26.399999618530273" hidden="0" customHeight="1">
      <x:c r="A181" t="str">
        <x:v>WARNING</x:v>
      </x:c>
      <x:c r="B181" t="str">
        <x:v>MISSING_PRICE</x:v>
      </x:c>
      <x:c r="C181" t="str">
        <x:v>OFFER-0436672F6ED0</x:v>
      </x:c>
      <x:c r="D181" t="str">
        <x:v>SPEC-ACD801228BB0</x:v>
      </x:c>
      <x:c r="E181" t="n">
        <x:v>55</x:v>
      </x:c>
      <x:c r="F181" s="45" t="str">
        <x:v>CLOSER | SURFACE CLOSER | DK | 8916-*-DS-*-FC-SN2-DPK89-NFHD-689</x:v>
      </x:c>
      <x:c r="G181" s="45" t="str">
        <x:v>Add a current vendor list price and effective date; keep staged until priced.</x:v>
      </x:c>
    </x:row>
    <x:row r="182" ht="26.399999618530273" hidden="0" customHeight="1">
      <x:c r="A182" t="str">
        <x:v>WARNING</x:v>
      </x:c>
      <x:c r="B182" t="str">
        <x:v>MISSING_PRICE</x:v>
      </x:c>
      <x:c r="C182" t="str">
        <x:v>OFFER-317FD5B0AF83</x:v>
      </x:c>
      <x:c r="D182" t="str">
        <x:v>SPEC-BB70F917EE11</x:v>
      </x:c>
      <x:c r="E182" t="n">
        <x:v>56</x:v>
      </x:c>
      <x:c r="F182" s="45" t="str">
        <x:v>CLOSER | SURFACE CLOSER | DK | 8916-*-AF89-*-FC-SN2-DPK89-NFHD-689</x:v>
      </x:c>
      <x:c r="G182" s="45" t="str">
        <x:v>Add a current vendor list price and effective date; keep staged until priced.</x:v>
      </x:c>
    </x:row>
    <x:row r="183" ht="15" hidden="0" customHeight="1">
      <x:c r="A183" t="str">
        <x:v>WARNING</x:v>
      </x:c>
      <x:c r="B183" t="str">
        <x:v>MISSING_PRICE</x:v>
      </x:c>
      <x:c r="C183" t="str">
        <x:v>OFFER-CD8B6902C50E</x:v>
      </x:c>
      <x:c r="D183" t="str">
        <x:v>SPEC-31B6EA026CF7</x:v>
      </x:c>
      <x:c r="E183" t="n">
        <x:v>57</x:v>
      </x:c>
      <x:c r="F183" s="45" t="str">
        <x:v>CLOSER | SURFACE CLOSER | DK | 8916-*-DST-*-FC-SN2-DPK89-*-689</x:v>
      </x:c>
      <x:c r="G183" s="45" t="str">
        <x:v>Add a current vendor list price and effective date; keep staged until priced.</x:v>
      </x:c>
    </x:row>
    <x:row r="184" ht="26.399999618530273" hidden="0" customHeight="1">
      <x:c r="A184" t="str">
        <x:v>WARNING</x:v>
      </x:c>
      <x:c r="B184" t="str">
        <x:v>MISSING_PRICE</x:v>
      </x:c>
      <x:c r="C184" t="str">
        <x:v>OFFER-FF50844A746B</x:v>
      </x:c>
      <x:c r="D184" t="str">
        <x:v>SPEC-84956FA5E7F7</x:v>
      </x:c>
      <x:c r="E184" t="n">
        <x:v>58</x:v>
      </x:c>
      <x:c r="F184" s="45" t="str">
        <x:v>CLOSER | SURFACE CLOSER | DK | 8916-*-DST-*-FC-SN2-DPK89-NFHD-689</x:v>
      </x:c>
      <x:c r="G184" s="45" t="str">
        <x:v>Add a current vendor list price and effective date; keep staged until priced.</x:v>
      </x:c>
    </x:row>
    <x:row r="185" ht="15" hidden="0" customHeight="1">
      <x:c r="A185" t="str">
        <x:v>WARNING</x:v>
      </x:c>
      <x:c r="B185" t="str">
        <x:v>MISSING_PRICE</x:v>
      </x:c>
      <x:c r="C185" t="str">
        <x:v>OFFER-4DA036D9F56F</x:v>
      </x:c>
      <x:c r="D185" t="str">
        <x:v>SPEC-68878C8F942A</x:v>
      </x:c>
      <x:c r="E185" t="n">
        <x:v>60</x:v>
      </x:c>
      <x:c r="F185" s="45" t="str">
        <x:v>CLOSER | SURFACE CLOSER | DK | 8616-*-AF86-*-FC-SN2-DPK89-*-689</x:v>
      </x:c>
      <x:c r="G185" s="45" t="str">
        <x:v>Add a current vendor list price and effective date; keep staged until priced.</x:v>
      </x:c>
    </x:row>
    <x:row r="186" ht="26.399999618530273" hidden="0" customHeight="1">
      <x:c r="A186" t="str">
        <x:v>WARNING</x:v>
      </x:c>
      <x:c r="B186" t="str">
        <x:v>MISSING_PRICE</x:v>
      </x:c>
      <x:c r="C186" t="str">
        <x:v>OFFER-1BBAF72D3C13</x:v>
      </x:c>
      <x:c r="D186" t="str">
        <x:v>SPEC-2F127E570436</x:v>
      </x:c>
      <x:c r="E186" t="n">
        <x:v>61</x:v>
      </x:c>
      <x:c r="F186" s="45" t="str">
        <x:v>CLOSER | SURFACE CLOSER | DK | 8616-*-AF86-*-FC-SN2-DPK89-NFHD-689</x:v>
      </x:c>
      <x:c r="G186" s="45" t="str">
        <x:v>Add a current vendor list price and effective date; keep staged until priced.</x:v>
      </x:c>
    </x:row>
    <x:row r="187" ht="15" hidden="0" customHeight="1">
      <x:c r="A187" t="str">
        <x:v>WARNING</x:v>
      </x:c>
      <x:c r="B187" t="str">
        <x:v>MISSING_PRICE</x:v>
      </x:c>
      <x:c r="C187" t="str">
        <x:v>OFFER-8B64EEF3FD8A</x:v>
      </x:c>
      <x:c r="D187" t="str">
        <x:v>SPEC-454350D47BF8</x:v>
      </x:c>
      <x:c r="E187" t="n">
        <x:v>62</x:v>
      </x:c>
      <x:c r="F187" s="45" t="str">
        <x:v>CLOSER | SURFACE CLOSER | DK | 8616-*-DS-*-FC-SN2-DPK89-*-689</x:v>
      </x:c>
      <x:c r="G187" s="45" t="str">
        <x:v>Add a current vendor list price and effective date; keep staged until priced.</x:v>
      </x:c>
    </x:row>
    <x:row r="188" ht="26.399999618530273" hidden="0" customHeight="1">
      <x:c r="A188" t="str">
        <x:v>WARNING</x:v>
      </x:c>
      <x:c r="B188" t="str">
        <x:v>MISSING_PRICE</x:v>
      </x:c>
      <x:c r="C188" t="str">
        <x:v>OFFER-0D44C1292383</x:v>
      </x:c>
      <x:c r="D188" t="str">
        <x:v>SPEC-83B89DDE240B</x:v>
      </x:c>
      <x:c r="E188" t="n">
        <x:v>63</x:v>
      </x:c>
      <x:c r="F188" s="45" t="str">
        <x:v>CLOSER | SURFACE CLOSER | DK | 8616-*-DS-*-FC-SN2-DPK89-NFHD-689</x:v>
      </x:c>
      <x:c r="G188" s="45" t="str">
        <x:v>Add a current vendor list price and effective date; keep staged until priced.</x:v>
      </x:c>
    </x:row>
    <x:row r="189" ht="15" hidden="0" customHeight="1">
      <x:c r="A189" t="str">
        <x:v>WARNING</x:v>
      </x:c>
      <x:c r="B189" t="str">
        <x:v>MISSING_PRICE</x:v>
      </x:c>
      <x:c r="C189" t="str">
        <x:v>OFFER-F0E707FCCF47</x:v>
      </x:c>
      <x:c r="D189" t="str">
        <x:v>SPEC-454350D47BF8</x:v>
      </x:c>
      <x:c r="E189" t="n">
        <x:v>64</x:v>
      </x:c>
      <x:c r="F189" s="45" t="str">
        <x:v>CLOSER | SURFACE CLOSER | DK | 8616-*-DST-*-FC-SN2-DPK89-*-689</x:v>
      </x:c>
      <x:c r="G189" s="45" t="str">
        <x:v>Add a current vendor list price and effective date; keep staged until priced.</x:v>
      </x:c>
    </x:row>
    <x:row r="190" ht="26.399999618530273" hidden="0" customHeight="1">
      <x:c r="A190" t="str">
        <x:v>WARNING</x:v>
      </x:c>
      <x:c r="B190" t="str">
        <x:v>MISSING_PRICE</x:v>
      </x:c>
      <x:c r="C190" t="str">
        <x:v>OFFER-976262EECFE2</x:v>
      </x:c>
      <x:c r="D190" t="str">
        <x:v>SPEC-83B89DDE240B</x:v>
      </x:c>
      <x:c r="E190" t="n">
        <x:v>65</x:v>
      </x:c>
      <x:c r="F190" s="45" t="str">
        <x:v>CLOSER | SURFACE CLOSER | DK | 8616-*-DST-*-FC-SN2-DPK89-NFHD-689</x:v>
      </x:c>
      <x:c r="G190" s="45" t="str">
        <x:v>Add a current vendor list price and effective date; keep staged until priced.</x:v>
      </x:c>
    </x:row>
    <x:row r="191" ht="15" hidden="0" customHeight="1">
      <x:c r="A191" t="str">
        <x:v>WARNING</x:v>
      </x:c>
      <x:c r="B191" t="str">
        <x:v>MISSING_PRICE</x:v>
      </x:c>
      <x:c r="C191" t="str">
        <x:v>OFFER-A9FA8C40E47A</x:v>
      </x:c>
      <x:c r="D191" t="str">
        <x:v>SPEC-B4C1DFD4E28A</x:v>
      </x:c>
      <x:c r="E191" t="n">
        <x:v>67</x:v>
      </x:c>
      <x:c r="F191" s="45" t="str">
        <x:v>CLOSER | SURFACE CLOSER | ABH | No part number</x:v>
      </x:c>
      <x:c r="G191" s="45" t="str">
        <x:v>Add a current vendor list price and effective date; keep staged until priced.</x:v>
      </x:c>
    </x:row>
    <x:row r="192" ht="15" hidden="0" customHeight="1">
      <x:c r="A192" t="str">
        <x:v>WARNING</x:v>
      </x:c>
      <x:c r="B192" t="str">
        <x:v>MISSING_PRICE</x:v>
      </x:c>
      <x:c r="C192" t="str">
        <x:v>OFFER-6F339B3F6213</x:v>
      </x:c>
      <x:c r="D192" t="str">
        <x:v>SPEC-7396E555AC12</x:v>
      </x:c>
      <x:c r="E192" t="n">
        <x:v>69</x:v>
      </x:c>
      <x:c r="F192" s="45" t="str">
        <x:v>CLOSER | SURFACE CLOSER | LCN | 1461-RW/PA</x:v>
      </x:c>
      <x:c r="G192" s="45" t="str">
        <x:v>Add a current vendor list price and effective date; keep staged until priced.</x:v>
      </x:c>
    </x:row>
    <x:row r="193" ht="15" hidden="0" customHeight="1">
      <x:c r="A193" t="str">
        <x:v>WARNING</x:v>
      </x:c>
      <x:c r="B193" t="str">
        <x:v>MISSING_PRICE</x:v>
      </x:c>
      <x:c r="C193" t="str">
        <x:v>OFFER-5BC97D4E318D</x:v>
      </x:c>
      <x:c r="D193" t="str">
        <x:v>SPEC-F1DE3D632C62</x:v>
      </x:c>
      <x:c r="E193" t="n">
        <x:v>70</x:v>
      </x:c>
      <x:c r="F193" s="45" t="str">
        <x:v>CLOSER | SURFACE CLOSER | LCN | 1460-3049-689</x:v>
      </x:c>
      <x:c r="G193" s="45" t="str">
        <x:v>Add a current vendor list price and effective date; keep staged until priced.</x:v>
      </x:c>
    </x:row>
    <x:row r="194" ht="15" hidden="0" customHeight="1">
      <x:c r="A194" t="str">
        <x:v>WARNING</x:v>
      </x:c>
      <x:c r="B194" t="str">
        <x:v>MISSING_PRICE</x:v>
      </x:c>
      <x:c r="C194" t="str">
        <x:v>OFFER-1449A7A13575</x:v>
      </x:c>
      <x:c r="D194" t="str">
        <x:v>SPEC-E61CB9AEB56F</x:v>
      </x:c>
      <x:c r="E194" t="n">
        <x:v>71</x:v>
      </x:c>
      <x:c r="F194" s="45" t="str">
        <x:v>CLOSER | SURFACE CLOSER | LCN | 1460-3049</x:v>
      </x:c>
      <x:c r="G194" s="45" t="str">
        <x:v>Add a current vendor list price and effective date; keep staged until priced.</x:v>
      </x:c>
    </x:row>
    <x:row r="195" ht="15" hidden="0" customHeight="1">
      <x:c r="A195" t="str">
        <x:v>WARNING</x:v>
      </x:c>
      <x:c r="B195" t="str">
        <x:v>MISSING_PRICE</x:v>
      </x:c>
      <x:c r="C195" t="str">
        <x:v>OFFER-59EE493A79B8</x:v>
      </x:c>
      <x:c r="D195" t="str">
        <x:v>SPEC-05BEAB991446</x:v>
      </x:c>
      <x:c r="E195" t="n">
        <x:v>72</x:v>
      </x:c>
      <x:c r="F195" s="45" t="str">
        <x:v>CLOSER | SURFACE CLOSER | LCN | 1461-CUSH</x:v>
      </x:c>
      <x:c r="G195" s="45" t="str">
        <x:v>Add a current vendor list price and effective date; keep staged until priced.</x:v>
      </x:c>
    </x:row>
    <x:row r="196" ht="15" hidden="0" customHeight="1">
      <x:c r="A196" t="str">
        <x:v>WARNING</x:v>
      </x:c>
      <x:c r="B196" t="str">
        <x:v>MISSING_PRICE</x:v>
      </x:c>
      <x:c r="C196" t="str">
        <x:v>OFFER-AF4D48371066</x:v>
      </x:c>
      <x:c r="D196" t="str">
        <x:v>SPEC-B28DC94068D5</x:v>
      </x:c>
      <x:c r="E196" t="n">
        <x:v>73</x:v>
      </x:c>
      <x:c r="F196" s="45" t="str">
        <x:v>CLOSER | SURFACE CLOSER | LCN | 1461-SCUSH-689</x:v>
      </x:c>
      <x:c r="G196" s="45" t="str">
        <x:v>Add a current vendor list price and effective date; keep staged until priced.</x:v>
      </x:c>
    </x:row>
    <x:row r="197" ht="15" hidden="0" customHeight="1">
      <x:c r="A197" t="str">
        <x:v>WARNING</x:v>
      </x:c>
      <x:c r="B197" t="str">
        <x:v>MISSING_PRICE</x:v>
      </x:c>
      <x:c r="C197" t="str">
        <x:v>OFFER-4C0114C1DB0B</x:v>
      </x:c>
      <x:c r="D197" t="str">
        <x:v>SPEC-7396E555AC12</x:v>
      </x:c>
      <x:c r="E197" t="n">
        <x:v>74</x:v>
      </x:c>
      <x:c r="F197" s="45" t="str">
        <x:v>CLOSER | SURFACE CLOSER | LCN | 4040XP-RW/PA</x:v>
      </x:c>
      <x:c r="G197" s="45" t="str">
        <x:v>Add a current vendor list price and effective date; keep staged until priced.</x:v>
      </x:c>
    </x:row>
    <x:row r="198" ht="15" hidden="0" customHeight="1">
      <x:c r="A198" t="str">
        <x:v>WARNING</x:v>
      </x:c>
      <x:c r="B198" t="str">
        <x:v>MISSING_PRICE</x:v>
      </x:c>
      <x:c r="C198" t="str">
        <x:v>OFFER-80560279FBC5</x:v>
      </x:c>
      <x:c r="D198" t="str">
        <x:v>SPEC-F1DE3D632C62</x:v>
      </x:c>
      <x:c r="E198" t="n">
        <x:v>75</x:v>
      </x:c>
      <x:c r="F198" s="45" t="str">
        <x:v>CLOSER | SURFACE CLOSER | LCN | 4040XP-3049-689</x:v>
      </x:c>
      <x:c r="G198" s="45" t="str">
        <x:v>Add a current vendor list price and effective date; keep staged until priced.</x:v>
      </x:c>
    </x:row>
    <x:row r="199" ht="15" hidden="0" customHeight="1">
      <x:c r="A199" t="str">
        <x:v>WARNING</x:v>
      </x:c>
      <x:c r="B199" t="str">
        <x:v>MISSING_PRICE</x:v>
      </x:c>
      <x:c r="C199" t="str">
        <x:v>OFFER-C74C7E492CFD</x:v>
      </x:c>
      <x:c r="D199" t="str">
        <x:v>SPEC-B3940214D4B6</x:v>
      </x:c>
      <x:c r="E199" t="n">
        <x:v>76</x:v>
      </x:c>
      <x:c r="F199" s="45" t="str">
        <x:v>CLOSER | SURFACE CLOSER | LCN | 4040XP-CUSH-689</x:v>
      </x:c>
      <x:c r="G199" s="45" t="str">
        <x:v>Add a current vendor list price and effective date; keep staged until priced.</x:v>
      </x:c>
    </x:row>
    <x:row r="200" ht="15" hidden="0" customHeight="1">
      <x:c r="A200" t="str">
        <x:v>WARNING</x:v>
      </x:c>
      <x:c r="B200" t="str">
        <x:v>MISSING_PRICE</x:v>
      </x:c>
      <x:c r="C200" t="str">
        <x:v>OFFER-122D3EC55856</x:v>
      </x:c>
      <x:c r="D200" t="str">
        <x:v>SPEC-E61CB9AEB56F</x:v>
      </x:c>
      <x:c r="E200" t="n">
        <x:v>77</x:v>
      </x:c>
      <x:c r="F200" s="45" t="str">
        <x:v>CLOSER | SURFACE CLOSER | LCN | 4040XP-HCUSH-689</x:v>
      </x:c>
      <x:c r="G200" s="45" t="str">
        <x:v>Add a current vendor list price and effective date; keep staged until priced.</x:v>
      </x:c>
    </x:row>
    <x:row r="201" ht="15" hidden="0" customHeight="1">
      <x:c r="A201" t="str">
        <x:v>WARNING</x:v>
      </x:c>
      <x:c r="B201" t="str">
        <x:v>MISSING_PRICE</x:v>
      </x:c>
      <x:c r="C201" t="str">
        <x:v>OFFER-376F4B8FC259</x:v>
      </x:c>
      <x:c r="D201" t="str">
        <x:v>SPEC-2F178D1F8472</x:v>
      </x:c>
      <x:c r="E201" t="n">
        <x:v>78</x:v>
      </x:c>
      <x:c r="F201" s="45" t="str">
        <x:v>CLOSER | SURFACE CLOSER | LCN | 4040XP-SHCUSH-689</x:v>
      </x:c>
      <x:c r="G201" s="45" t="str">
        <x:v>Add a current vendor list price and effective date; keep staged until priced.</x:v>
      </x:c>
    </x:row>
    <x:row r="202" ht="15" hidden="0" customHeight="1">
      <x:c r="A202" t="str">
        <x:v>WARNING</x:v>
      </x:c>
      <x:c r="B202" t="str">
        <x:v>MISSING_PRICE</x:v>
      </x:c>
      <x:c r="C202" t="str">
        <x:v>OFFER-B24E660037BC</x:v>
      </x:c>
      <x:c r="D202" t="str">
        <x:v>SPEC-7396E555AC12</x:v>
      </x:c>
      <x:c r="E202" t="n">
        <x:v>80</x:v>
      </x:c>
      <x:c r="F202" s="45" t="str">
        <x:v>CLOSER | SURFACE CLOSER | SAR | 351-UO</x:v>
      </x:c>
      <x:c r="G202" s="45" t="str">
        <x:v>Add a current vendor list price and effective date; keep staged until priced.</x:v>
      </x:c>
    </x:row>
    <x:row r="203" ht="15" hidden="0" customHeight="1">
      <x:c r="A203" t="str">
        <x:v>WARNING</x:v>
      </x:c>
      <x:c r="B203" t="str">
        <x:v>MISSING_PRICE</x:v>
      </x:c>
      <x:c r="C203" t="str">
        <x:v>OFFER-33CFFEF3BC5A</x:v>
      </x:c>
      <x:c r="D203" t="str">
        <x:v>SPEC-7396E555AC12</x:v>
      </x:c>
      <x:c r="E203" t="n">
        <x:v>81</x:v>
      </x:c>
      <x:c r="F203" s="45" t="str">
        <x:v>CLOSER | SURFACE CLOSER | SAR | 351-0-TB</x:v>
      </x:c>
      <x:c r="G203" s="45" t="str">
        <x:v>Add a current vendor list price and effective date; keep staged until priced.</x:v>
      </x:c>
    </x:row>
    <x:row r="204" ht="15" hidden="0" customHeight="1">
      <x:c r="A204" t="str">
        <x:v>WARNING</x:v>
      </x:c>
      <x:c r="B204" t="str">
        <x:v>MISSING_PRICE</x:v>
      </x:c>
      <x:c r="C204" t="str">
        <x:v>OFFER-5E140B60C1AC</x:v>
      </x:c>
      <x:c r="D204" t="str">
        <x:v>SPEC-7396E555AC12</x:v>
      </x:c>
      <x:c r="E204" t="n">
        <x:v>82</x:v>
      </x:c>
      <x:c r="F204" s="45" t="str">
        <x:v>CLOSER | SURFACE CLOSER | NOR | 1601-689</x:v>
      </x:c>
      <x:c r="G204" s="45" t="str">
        <x:v>Add a current vendor list price and effective date; keep staged until priced.</x:v>
      </x:c>
    </x:row>
    <x:row r="205" ht="15" hidden="0" customHeight="1">
      <x:c r="A205" t="str">
        <x:v>WARNING</x:v>
      </x:c>
      <x:c r="B205" t="str">
        <x:v>MISSING_PRICE</x:v>
      </x:c>
      <x:c r="C205" t="str">
        <x:v>OFFER-0A4062C3081C</x:v>
      </x:c>
      <x:c r="D205" t="str">
        <x:v>SPEC-7396E555AC12</x:v>
      </x:c>
      <x:c r="E205" t="n">
        <x:v>83</x:v>
      </x:c>
      <x:c r="F205" s="45" t="str">
        <x:v>CLOSER | SURFACE CLOSER | NOR | 8501-689</x:v>
      </x:c>
      <x:c r="G205" s="45" t="str">
        <x:v>Add a current vendor list price and effective date; keep staged until priced.</x:v>
      </x:c>
    </x:row>
    <x:row r="206" ht="15" hidden="0" customHeight="1">
      <x:c r="A206" t="str">
        <x:v>WARNING</x:v>
      </x:c>
      <x:c r="B206" t="str">
        <x:v>MISSING_PRICE</x:v>
      </x:c>
      <x:c r="C206" t="str">
        <x:v>OFFER-A97BAAAAD0D4</x:v>
      </x:c>
      <x:c r="D206" t="str">
        <x:v>SPEC-FEDA413E0129</x:v>
      </x:c>
      <x:c r="E206" t="n">
        <x:v>103</x:v>
      </x:c>
      <x:c r="F206" s="45" t="str">
        <x:v>DEADBOLT | PULL PLATE | DJ | CFK</x:v>
      </x:c>
      <x:c r="G206" s="45" t="str">
        <x:v>Add a current vendor list price and effective date; keep staged until priced.</x:v>
      </x:c>
    </x:row>
    <x:row r="207" ht="15" hidden="0" customHeight="1">
      <x:c r="A207" t="str">
        <x:v>WARNING</x:v>
      </x:c>
      <x:c r="B207" t="str">
        <x:v>MISSING_PRICE</x:v>
      </x:c>
      <x:c r="C207" t="str">
        <x:v>OFFER-329B13A6AC55</x:v>
      </x:c>
      <x:c r="D207" t="str">
        <x:v>SPEC-7DFF62A819FC</x:v>
      </x:c>
      <x:c r="E207" t="n">
        <x:v>104</x:v>
      </x:c>
      <x:c r="F207" s="45" t="str">
        <x:v>DEADBOLT | PULL PLATE | DJ | 1875</x:v>
      </x:c>
      <x:c r="G207" s="45" t="str">
        <x:v>Add a current vendor list price and effective date; keep staged until priced.</x:v>
      </x:c>
    </x:row>
    <x:row r="208" ht="15" hidden="0" customHeight="1">
      <x:c r="A208" t="str">
        <x:v>WARNING</x:v>
      </x:c>
      <x:c r="B208" t="str">
        <x:v>MISSING_PRICE</x:v>
      </x:c>
      <x:c r="C208" t="str">
        <x:v>OFFER-00C8B0ED6B07</x:v>
      </x:c>
      <x:c r="D208" t="str">
        <x:v>SPEC-FDC7690E5163</x:v>
      </x:c>
      <x:c r="E208" t="n">
        <x:v>139</x:v>
      </x:c>
      <x:c r="F208" s="45" t="str">
        <x:v>LOCK | CYLINDRICAL LOCK | DH | 78001770</x:v>
      </x:c>
      <x:c r="G208" s="45" t="str">
        <x:v>Add a current vendor list price and effective date; keep staged until priced.</x:v>
      </x:c>
    </x:row>
    <x:row r="209" ht="15" hidden="0" customHeight="1">
      <x:c r="A209" t="str">
        <x:v>WARNING</x:v>
      </x:c>
      <x:c r="B209" t="str">
        <x:v>MISSING_PRICE</x:v>
      </x:c>
      <x:c r="C209" t="str">
        <x:v>OFFER-B377DAF18401</x:v>
      </x:c>
      <x:c r="D209" t="str">
        <x:v>SPEC-478FBADD4B27</x:v>
      </x:c>
      <x:c r="E209" t="n">
        <x:v>140</x:v>
      </x:c>
      <x:c r="F209" s="45" t="str">
        <x:v>LOCK | CYLINDRICAL LOCK | DH | 78001771</x:v>
      </x:c>
      <x:c r="G209" s="45" t="str">
        <x:v>Add a current vendor list price and effective date; keep staged until priced.</x:v>
      </x:c>
    </x:row>
    <x:row r="210" ht="15" hidden="0" customHeight="1">
      <x:c r="A210" t="str">
        <x:v>WARNING</x:v>
      </x:c>
      <x:c r="B210" t="str">
        <x:v>MISSING_PRICE</x:v>
      </x:c>
      <x:c r="C210" t="str">
        <x:v>OFFER-29650C600D8F</x:v>
      </x:c>
      <x:c r="D210" t="str">
        <x:v>SPEC-882618A3F0C9</x:v>
      </x:c>
      <x:c r="E210" t="n">
        <x:v>141</x:v>
      </x:c>
      <x:c r="F210" s="45" t="str">
        <x:v>LOCK | CYLINDRICAL LOCK | DH | 78001764</x:v>
      </x:c>
      <x:c r="G210" s="45" t="str">
        <x:v>Add a current vendor list price and effective date; keep staged until priced.</x:v>
      </x:c>
    </x:row>
    <x:row r="211" ht="15" hidden="0" customHeight="1">
      <x:c r="A211" t="str">
        <x:v>WARNING</x:v>
      </x:c>
      <x:c r="B211" t="str">
        <x:v>MISSING_PRICE</x:v>
      </x:c>
      <x:c r="C211" t="str">
        <x:v>OFFER-D001B5E1EE01</x:v>
      </x:c>
      <x:c r="D211" t="str">
        <x:v>SPEC-3AA63A49680F</x:v>
      </x:c>
      <x:c r="E211" t="n">
        <x:v>142</x:v>
      </x:c>
      <x:c r="F211" s="45" t="str">
        <x:v>LOCK | CYLINDRICAL LOCK | DH | 78001767</x:v>
      </x:c>
      <x:c r="G211" s="45" t="str">
        <x:v>Add a current vendor list price and effective date; keep staged until priced.</x:v>
      </x:c>
    </x:row>
    <x:row r="212" ht="15" hidden="0" customHeight="1">
      <x:c r="A212" t="str">
        <x:v>WARNING</x:v>
      </x:c>
      <x:c r="B212" t="str">
        <x:v>MISSING_PRICE</x:v>
      </x:c>
      <x:c r="C212" t="str">
        <x:v>OFFER-49E3BCBEADDD</x:v>
      </x:c>
      <x:c r="D212" t="str">
        <x:v>SPEC-46A9513103A2</x:v>
      </x:c>
      <x:c r="E212" t="n">
        <x:v>143</x:v>
      </x:c>
      <x:c r="F212" s="45" t="str">
        <x:v>LOCK | CYLINDRICAL LOCK | DH | 78001760</x:v>
      </x:c>
      <x:c r="G212" s="45" t="str">
        <x:v>Add a current vendor list price and effective date; keep staged until priced.</x:v>
      </x:c>
    </x:row>
    <x:row r="213" ht="15" hidden="0" customHeight="1">
      <x:c r="A213" t="str">
        <x:v>WARNING</x:v>
      </x:c>
      <x:c r="B213" t="str">
        <x:v>MISSING_PRICE</x:v>
      </x:c>
      <x:c r="C213" t="str">
        <x:v>OFFER-24671F23C0DA</x:v>
      </x:c>
      <x:c r="D213" t="str">
        <x:v>SPEC-5C4DA25D107E</x:v>
      </x:c>
      <x:c r="E213" t="n">
        <x:v>144</x:v>
      </x:c>
      <x:c r="F213" s="45" t="str">
        <x:v>LOCK | CYLINDRICAL LOCK | DH | 78001763</x:v>
      </x:c>
      <x:c r="G213" s="45" t="str">
        <x:v>Add a current vendor list price and effective date; keep staged until priced.</x:v>
      </x:c>
    </x:row>
    <x:row r="214" ht="15" hidden="0" customHeight="1">
      <x:c r="A214" t="str">
        <x:v>WARNING</x:v>
      </x:c>
      <x:c r="B214" t="str">
        <x:v>MISSING_PRICE</x:v>
      </x:c>
      <x:c r="C214" t="str">
        <x:v>OFFER-B1A403C8D453</x:v>
      </x:c>
      <x:c r="D214" t="str">
        <x:v>SPEC-298651EAB3F0</x:v>
      </x:c>
      <x:c r="E214" t="n">
        <x:v>145</x:v>
      </x:c>
      <x:c r="F214" s="45" t="str">
        <x:v>LOCK | CYLINDRICAL LOCK | DH | 78001756</x:v>
      </x:c>
      <x:c r="G214" s="45" t="str">
        <x:v>Add a current vendor list price and effective date; keep staged until priced.</x:v>
      </x:c>
    </x:row>
    <x:row r="215" ht="15" hidden="0" customHeight="1">
      <x:c r="A215" t="str">
        <x:v>WARNING</x:v>
      </x:c>
      <x:c r="B215" t="str">
        <x:v>MISSING_PRICE</x:v>
      </x:c>
      <x:c r="C215" t="str">
        <x:v>OFFER-0440914A9B71</x:v>
      </x:c>
      <x:c r="D215" t="str">
        <x:v>SPEC-1B29D52847DA</x:v>
      </x:c>
      <x:c r="E215" t="n">
        <x:v>146</x:v>
      </x:c>
      <x:c r="F215" s="45" t="str">
        <x:v>LOCK | CYLINDRICAL LOCK | DH | 78001759</x:v>
      </x:c>
      <x:c r="G215" s="45" t="str">
        <x:v>Add a current vendor list price and effective date; keep staged until priced.</x:v>
      </x:c>
    </x:row>
    <x:row r="216" ht="15" hidden="0" customHeight="1">
      <x:c r="A216" t="str">
        <x:v>WARNING</x:v>
      </x:c>
      <x:c r="B216" t="str">
        <x:v>MISSING_PRICE</x:v>
      </x:c>
      <x:c r="C216" t="str">
        <x:v>OFFER-BB10EC9F3FC2</x:v>
      </x:c>
      <x:c r="D216" t="str">
        <x:v>SPEC-882618A3F0C9</x:v>
      </x:c>
      <x:c r="E216" t="n">
        <x:v>148</x:v>
      </x:c>
      <x:c r="F216" s="45" t="str">
        <x:v>LOCK | CYLINDRICAL LOCK | DH | 78093758</x:v>
      </x:c>
      <x:c r="G216" s="45" t="str">
        <x:v>Add a current vendor list price and effective date; keep staged until priced.</x:v>
      </x:c>
    </x:row>
    <x:row r="217" ht="15" hidden="0" customHeight="1">
      <x:c r="A217" t="str">
        <x:v>WARNING</x:v>
      </x:c>
      <x:c r="B217" t="str">
        <x:v>MISSING_PRICE</x:v>
      </x:c>
      <x:c r="C217" t="str">
        <x:v>OFFER-968E1816DDAC</x:v>
      </x:c>
      <x:c r="D217" t="str">
        <x:v>SPEC-3AA63A49680F</x:v>
      </x:c>
      <x:c r="E217" t="n">
        <x:v>149</x:v>
      </x:c>
      <x:c r="F217" s="45" t="str">
        <x:v>LOCK | CYLINDRICAL LOCK | DH | 78093759</x:v>
      </x:c>
      <x:c r="G217" s="45" t="str">
        <x:v>Add a current vendor list price and effective date; keep staged until priced.</x:v>
      </x:c>
    </x:row>
    <x:row r="218" ht="15" hidden="0" customHeight="1">
      <x:c r="A218" t="str">
        <x:v>WARNING</x:v>
      </x:c>
      <x:c r="B218" t="str">
        <x:v>MISSING_PRICE</x:v>
      </x:c>
      <x:c r="C218" t="str">
        <x:v>OFFER-720E466A7322</x:v>
      </x:c>
      <x:c r="D218" t="str">
        <x:v>SPEC-46A9513103A2</x:v>
      </x:c>
      <x:c r="E218" t="n">
        <x:v>150</x:v>
      </x:c>
      <x:c r="F218" s="45" t="str">
        <x:v>LOCK | CYLINDRICAL LOCK | DH | 78093756</x:v>
      </x:c>
      <x:c r="G218" s="45" t="str">
        <x:v>Add a current vendor list price and effective date; keep staged until priced.</x:v>
      </x:c>
    </x:row>
    <x:row r="219" ht="15" hidden="0" customHeight="1">
      <x:c r="A219" t="str">
        <x:v>WARNING</x:v>
      </x:c>
      <x:c r="B219" t="str">
        <x:v>MISSING_PRICE</x:v>
      </x:c>
      <x:c r="C219" t="str">
        <x:v>OFFER-FF4BF7F3593A</x:v>
      </x:c>
      <x:c r="D219" t="str">
        <x:v>SPEC-5C4DA25D107E</x:v>
      </x:c>
      <x:c r="E219" t="n">
        <x:v>151</x:v>
      </x:c>
      <x:c r="F219" s="45" t="str">
        <x:v>LOCK | CYLINDRICAL LOCK | DH | 78093757</x:v>
      </x:c>
      <x:c r="G219" s="45" t="str">
        <x:v>Add a current vendor list price and effective date; keep staged until priced.</x:v>
      </x:c>
    </x:row>
    <x:row r="220" ht="15" hidden="0" customHeight="1">
      <x:c r="A220" t="str">
        <x:v>WARNING</x:v>
      </x:c>
      <x:c r="B220" t="str">
        <x:v>MISSING_PRICE</x:v>
      </x:c>
      <x:c r="C220" t="str">
        <x:v>OFFER-CE566201C1EC</x:v>
      </x:c>
      <x:c r="D220" t="str">
        <x:v>SPEC-298651EAB3F0</x:v>
      </x:c>
      <x:c r="E220" t="n">
        <x:v>152</x:v>
      </x:c>
      <x:c r="F220" s="45" t="str">
        <x:v>LOCK | CYLINDRICAL LOCK | DH | 78093754</x:v>
      </x:c>
      <x:c r="G220" s="45" t="str">
        <x:v>Add a current vendor list price and effective date; keep staged until priced.</x:v>
      </x:c>
    </x:row>
    <x:row r="221" ht="15" hidden="0" customHeight="1">
      <x:c r="A221" t="str">
        <x:v>WARNING</x:v>
      </x:c>
      <x:c r="B221" t="str">
        <x:v>MISSING_PRICE</x:v>
      </x:c>
      <x:c r="C221" t="str">
        <x:v>OFFER-04A72A153D2B</x:v>
      </x:c>
      <x:c r="D221" t="str">
        <x:v>SPEC-1B29D52847DA</x:v>
      </x:c>
      <x:c r="E221" t="n">
        <x:v>153</x:v>
      </x:c>
      <x:c r="F221" s="45" t="str">
        <x:v>LOCK | CYLINDRICAL LOCK | DH | 78093755</x:v>
      </x:c>
      <x:c r="G221" s="45" t="str">
        <x:v>Add a current vendor list price and effective date; keep staged until priced.</x:v>
      </x:c>
    </x:row>
    <x:row r="222" ht="15" hidden="0" customHeight="1">
      <x:c r="A222" t="str">
        <x:v>WARNING</x:v>
      </x:c>
      <x:c r="B222" t="str">
        <x:v>MISSING_PRICE</x:v>
      </x:c>
      <x:c r="C222" t="str">
        <x:v>OFFER-7B1D57249CFE</x:v>
      </x:c>
      <x:c r="D222" t="str">
        <x:v>SPEC-15FDCC55AD13</x:v>
      </x:c>
      <x:c r="E222" t="n">
        <x:v>189</x:v>
      </x:c>
      <x:c r="F222" s="45" t="str">
        <x:v>LOCK | MORTISE LOCK | DK | M1-980-D-LR-M-*-HAND-134-5006-114</x:v>
      </x:c>
      <x:c r="G222" s="45" t="str">
        <x:v>Add a current vendor list price and effective date; keep staged until priced.</x:v>
      </x:c>
    </x:row>
    <x:row r="223" ht="15" hidden="0" customHeight="1">
      <x:c r="A223" t="str">
        <x:v>WARNING</x:v>
      </x:c>
      <x:c r="B223" t="str">
        <x:v>MISSING_PRICE</x:v>
      </x:c>
      <x:c r="C223" t="str">
        <x:v>OFFER-5F9AD40AA0A1</x:v>
      </x:c>
      <x:c r="D223" t="str">
        <x:v>SPEC-E036640F0FCE</x:v>
      </x:c>
      <x:c r="E223" t="n">
        <x:v>190</x:v>
      </x:c>
      <x:c r="F223" s="45" t="str">
        <x:v>LOCK | MORTISE LOCK | DK | No part number</x:v>
      </x:c>
      <x:c r="G223" s="45" t="str">
        <x:v>Add a current vendor list price and effective date; keep staged until priced.</x:v>
      </x:c>
    </x:row>
    <x:row r="224" ht="15" hidden="0" customHeight="1">
      <x:c r="A224" t="str">
        <x:v>WARNING</x:v>
      </x:c>
      <x:c r="B224" t="str">
        <x:v>MISSING_PRICE</x:v>
      </x:c>
      <x:c r="C224" t="str">
        <x:v>OFFER-B6E25609C579</x:v>
      </x:c>
      <x:c r="D224" t="str">
        <x:v>SPEC-E66729F39E6C</x:v>
      </x:c>
      <x:c r="E224" t="n">
        <x:v>191</x:v>
      </x:c>
      <x:c r="F224" s="45" t="str">
        <x:v>LOCK | MORTISE LOCK | DK | No part number</x:v>
      </x:c>
      <x:c r="G224" s="45" t="str">
        <x:v>Add a current vendor list price and effective date; keep staged until priced.</x:v>
      </x:c>
    </x:row>
    <x:row r="225" ht="15" hidden="0" customHeight="1">
      <x:c r="A225" t="str">
        <x:v>WARNING</x:v>
      </x:c>
      <x:c r="B225" t="str">
        <x:v>MISSING_PRICE</x:v>
      </x:c>
      <x:c r="C225" t="str">
        <x:v>OFFER-0D78AFA6972C</x:v>
      </x:c>
      <x:c r="D225" t="str">
        <x:v>SPEC-4729E3036CB9</x:v>
      </x:c>
      <x:c r="E225" t="n">
        <x:v>192</x:v>
      </x:c>
      <x:c r="F225" s="45" t="str">
        <x:v>LOCK | MORTISE LOCK | BST | No part number</x:v>
      </x:c>
      <x:c r="G225" s="45" t="str">
        <x:v>Add a current vendor list price and effective date; keep staged until priced.</x:v>
      </x:c>
    </x:row>
    <x:row r="226" ht="15" hidden="0" customHeight="1">
      <x:c r="A226" t="str">
        <x:v>WARNING</x:v>
      </x:c>
      <x:c r="B226" t="str">
        <x:v>MISSING_PRICE</x:v>
      </x:c>
      <x:c r="C226" t="str">
        <x:v>OFFER-E0C8F557F087</x:v>
      </x:c>
      <x:c r="D226" t="str">
        <x:v>SPEC-E1BC0AC27D6E</x:v>
      </x:c>
      <x:c r="E226" t="n">
        <x:v>194</x:v>
      </x:c>
      <x:c r="F226" s="45" t="str">
        <x:v>LOCK | MORTISE LOCK | DH | No part number</x:v>
      </x:c>
      <x:c r="G226" s="45" t="str">
        <x:v>Add a current vendor list price and effective date; keep staged until priced.</x:v>
      </x:c>
    </x:row>
    <x:row r="227" ht="15" hidden="0" customHeight="1">
      <x:c r="A227" t="str">
        <x:v>WARNING</x:v>
      </x:c>
      <x:c r="B227" t="str">
        <x:v>MISSING_PRICE</x:v>
      </x:c>
      <x:c r="C227" t="str">
        <x:v>OFFER-EE0C01FAF1AA</x:v>
      </x:c>
      <x:c r="D227" t="str">
        <x:v>SPEC-71EA9B147D8B</x:v>
      </x:c>
      <x:c r="E227" t="n">
        <x:v>196</x:v>
      </x:c>
      <x:c r="F227" s="45" t="str">
        <x:v>LOCK | MORTISE LOCK | PHG | MEW705CT26D</x:v>
      </x:c>
      <x:c r="G227" s="45" t="str">
        <x:v>Add a current vendor list price and effective date; keep staged until priced.</x:v>
      </x:c>
    </x:row>
    <x:row r="228" ht="15" hidden="0" customHeight="1">
      <x:c r="A228" t="str">
        <x:v>WARNING</x:v>
      </x:c>
      <x:c r="B228" t="str">
        <x:v>MISSING_PRICE</x:v>
      </x:c>
      <x:c r="C228" t="str">
        <x:v>OFFER-51DE0707BC24</x:v>
      </x:c>
      <x:c r="D228" t="str">
        <x:v>SPEC-01558E77D141</x:v>
      </x:c>
      <x:c r="E228" t="n">
        <x:v>197</x:v>
      </x:c>
      <x:c r="F228" s="45" t="str">
        <x:v>LOCK | MORTISE LOCK | PHG | MEW707CT26D</x:v>
      </x:c>
      <x:c r="G228" s="45" t="str">
        <x:v>Add a current vendor list price and effective date; keep staged until priced.</x:v>
      </x:c>
    </x:row>
    <x:row r="229" ht="15" hidden="0" customHeight="1">
      <x:c r="A229" t="str">
        <x:v>WARNING</x:v>
      </x:c>
      <x:c r="B229" t="str">
        <x:v>MISSING_PRICE</x:v>
      </x:c>
      <x:c r="C229" t="str">
        <x:v>OFFER-902A6592B544</x:v>
      </x:c>
      <x:c r="D229" t="str">
        <x:v>SPEC-AA2D21F78E1A</x:v>
      </x:c>
      <x:c r="E229" t="n">
        <x:v>198</x:v>
      </x:c>
      <x:c r="F229" s="45" t="str">
        <x:v>LOCK | MORTISE LOCK | PHG | MEW713CT26D</x:v>
      </x:c>
      <x:c r="G229" s="45" t="str">
        <x:v>Add a current vendor list price and effective date; keep staged until priced.</x:v>
      </x:c>
    </x:row>
    <x:row r="230" ht="15" hidden="0" customHeight="1">
      <x:c r="A230" t="str">
        <x:v>WARNING</x:v>
      </x:c>
      <x:c r="B230" t="str">
        <x:v>MISSING_PRICE</x:v>
      </x:c>
      <x:c r="C230" t="str">
        <x:v>OFFER-1EA4A266EC28</x:v>
      </x:c>
      <x:c r="D230" t="str">
        <x:v>SPEC-01558E77D141</x:v>
      </x:c>
      <x:c r="E230" t="n">
        <x:v>199</x:v>
      </x:c>
      <x:c r="F230" s="45" t="str">
        <x:v>LOCK | MORTISE LOCK | PHG | MEW765CT26D</x:v>
      </x:c>
      <x:c r="G230" s="45" t="str">
        <x:v>Add a current vendor list price and effective date; keep staged until priced.</x:v>
      </x:c>
    </x:row>
    <x:row r="231" ht="15" hidden="0" customHeight="1">
      <x:c r="A231" t="str">
        <x:v>WARNING</x:v>
      </x:c>
      <x:c r="B231" t="str">
        <x:v>MISSING_PRICE</x:v>
      </x:c>
      <x:c r="C231" t="str">
        <x:v>OFFER-66F8859642F2</x:v>
      </x:c>
      <x:c r="D231" t="str">
        <x:v>SPEC-7DC0219E8813</x:v>
      </x:c>
      <x:c r="E231" t="n">
        <x:v>203</x:v>
      </x:c>
      <x:c r="F231" s="45" t="str">
        <x:v>EXIT DEVICE | PANIC / EXIT DEVICE | PHG | No part number</x:v>
      </x:c>
      <x:c r="G231" s="45" t="str">
        <x:v>Add a current vendor list price and effective date; keep staged until priced.</x:v>
      </x:c>
    </x:row>
    <x:row r="232" ht="15" hidden="0" customHeight="1">
      <x:c r="A232" t="str">
        <x:v>WARNING</x:v>
      </x:c>
      <x:c r="B232" t="str">
        <x:v>MISSING_PRICE</x:v>
      </x:c>
      <x:c r="C232" t="str">
        <x:v>OFFER-E35D6B863529</x:v>
      </x:c>
      <x:c r="D232" t="str">
        <x:v>SPEC-7BC008234E13</x:v>
      </x:c>
      <x:c r="E232" t="n">
        <x:v>204</x:v>
      </x:c>
      <x:c r="F232" s="45" t="str">
        <x:v>EXIT DEVICE | PANIC / EXIT DEVICE | PHG | No part number</x:v>
      </x:c>
      <x:c r="G232" s="45" t="str">
        <x:v>Add a current vendor list price and effective date; keep staged until priced.</x:v>
      </x:c>
    </x:row>
    <x:row r="233" ht="15" hidden="0" customHeight="1">
      <x:c r="A233" t="str">
        <x:v>WARNING</x:v>
      </x:c>
      <x:c r="B233" t="str">
        <x:v>MISSING_PRICE</x:v>
      </x:c>
      <x:c r="C233" t="str">
        <x:v>OFFER-30C21A41F248</x:v>
      </x:c>
      <x:c r="D233" t="str">
        <x:v>SPEC-B447A07B7E5E</x:v>
      </x:c>
      <x:c r="E233" t="n">
        <x:v>205</x:v>
      </x:c>
      <x:c r="F233" s="45" t="str">
        <x:v>EXIT DEVICE | PANIC / EXIT DEVICE | PHG | No part number</x:v>
      </x:c>
      <x:c r="G233" s="45" t="str">
        <x:v>Add a current vendor list price and effective date; keep staged until priced.</x:v>
      </x:c>
    </x:row>
    <x:row r="234" ht="15" hidden="0" customHeight="1">
      <x:c r="A234" t="str">
        <x:v>WARNING</x:v>
      </x:c>
      <x:c r="B234" t="str">
        <x:v>MISSING_PRICE</x:v>
      </x:c>
      <x:c r="C234" t="str">
        <x:v>OFFER-54584895F34D</x:v>
      </x:c>
      <x:c r="D234" t="str">
        <x:v>SPEC-68F1122034DD</x:v>
      </x:c>
      <x:c r="E234" t="n">
        <x:v>206</x:v>
      </x:c>
      <x:c r="F234" s="45" t="str">
        <x:v>EXIT DEVICE | PANIC / EXIT DEVICE | PHG | No part number</x:v>
      </x:c>
      <x:c r="G234" s="45" t="str">
        <x:v>Add a current vendor list price and effective date; keep staged until priced.</x:v>
      </x:c>
    </x:row>
    <x:row r="235" ht="15" hidden="0" customHeight="1">
      <x:c r="A235" t="str">
        <x:v>WARNING</x:v>
      </x:c>
      <x:c r="B235" t="str">
        <x:v>MISSING_PRICE</x:v>
      </x:c>
      <x:c r="C235" t="str">
        <x:v>OFFER-B57E59305E04</x:v>
      </x:c>
      <x:c r="D235" t="str">
        <x:v>SPEC-7A7EA96B996C</x:v>
      </x:c>
      <x:c r="E235" t="n">
        <x:v>207</x:v>
      </x:c>
      <x:c r="F235" s="45" t="str">
        <x:v>EXIT DEVICE | PANIC / EXIT DEVICE | PHG | No part number</x:v>
      </x:c>
      <x:c r="G235" s="45" t="str">
        <x:v>Add a current vendor list price and effective date; keep staged until priced.</x:v>
      </x:c>
    </x:row>
    <x:row r="236" ht="15" hidden="0" customHeight="1">
      <x:c r="A236" t="str">
        <x:v>WARNING</x:v>
      </x:c>
      <x:c r="B236" t="str">
        <x:v>MISSING_PRICE</x:v>
      </x:c>
      <x:c r="C236" t="str">
        <x:v>OFFER-A792FD009CF0</x:v>
      </x:c>
      <x:c r="D236" t="str">
        <x:v>SPEC-3CB1A46F231A</x:v>
      </x:c>
      <x:c r="E236" t="n">
        <x:v>208</x:v>
      </x:c>
      <x:c r="F236" s="45" t="str">
        <x:v>EXIT DEVICE | PANIC / EXIT DEVICE | PHG | No part number</x:v>
      </x:c>
      <x:c r="G236" s="45" t="str">
        <x:v>Add a current vendor list price and effective date; keep staged until priced.</x:v>
      </x:c>
    </x:row>
    <x:row r="237" ht="15" hidden="0" customHeight="1">
      <x:c r="A237" t="str">
        <x:v>WARNING</x:v>
      </x:c>
      <x:c r="B237" t="str">
        <x:v>MISSING_PRICE</x:v>
      </x:c>
      <x:c r="C237" t="str">
        <x:v>OFFER-FED733124D5F</x:v>
      </x:c>
      <x:c r="D237" t="str">
        <x:v>SPEC-5C9564109A2E</x:v>
      </x:c>
      <x:c r="E237" t="n">
        <x:v>209</x:v>
      </x:c>
      <x:c r="F237" s="45" t="str">
        <x:v>EXIT DEVICE | PANIC / EXIT DEVICE | PHG | No part number</x:v>
      </x:c>
      <x:c r="G237" s="45" t="str">
        <x:v>Add a current vendor list price and effective date; keep staged until priced.</x:v>
      </x:c>
    </x:row>
    <x:row r="238" ht="15" hidden="0" customHeight="1">
      <x:c r="A238" t="str">
        <x:v>WARNING</x:v>
      </x:c>
      <x:c r="B238" t="str">
        <x:v>MISSING_PRICE</x:v>
      </x:c>
      <x:c r="C238" t="str">
        <x:v>OFFER-2C8B47DA9D13</x:v>
      </x:c>
      <x:c r="D238" t="str">
        <x:v>SPEC-37236328FE24</x:v>
      </x:c>
      <x:c r="E238" t="n">
        <x:v>210</x:v>
      </x:c>
      <x:c r="F238" s="45" t="str">
        <x:v>EXIT DEVICE | PANIC / EXIT DEVICE | PHG | No part number</x:v>
      </x:c>
      <x:c r="G238" s="45" t="str">
        <x:v>Add a current vendor list price and effective date; keep staged until priced.</x:v>
      </x:c>
    </x:row>
    <x:row r="239" ht="15" hidden="0" customHeight="1">
      <x:c r="A239" t="str">
        <x:v>WARNING</x:v>
      </x:c>
      <x:c r="B239" t="str">
        <x:v>MISSING_PRICE</x:v>
      </x:c>
      <x:c r="C239" t="str">
        <x:v>OFFER-1EECF8E18C32</x:v>
      </x:c>
      <x:c r="D239" t="str">
        <x:v>SPEC-7DC0219E8813</x:v>
      </x:c>
      <x:c r="E239" t="n">
        <x:v>219</x:v>
      </x:c>
      <x:c r="F239" s="45" t="str">
        <x:v>EXIT DEVICE | PANIC / EXIT DEVICE | DK | No part number</x:v>
      </x:c>
      <x:c r="G239" s="45" t="str">
        <x:v>Add a current vendor list price and effective date; keep staged until priced.</x:v>
      </x:c>
    </x:row>
    <x:row r="240" ht="15" hidden="0" customHeight="1">
      <x:c r="A240" t="str">
        <x:v>WARNING</x:v>
      </x:c>
      <x:c r="B240" t="str">
        <x:v>MISSING_PRICE</x:v>
      </x:c>
      <x:c r="C240" t="str">
        <x:v>OFFER-610EBD06B977</x:v>
      </x:c>
      <x:c r="D240" t="str">
        <x:v>SPEC-7BC008234E13</x:v>
      </x:c>
      <x:c r="E240" t="n">
        <x:v>220</x:v>
      </x:c>
      <x:c r="F240" s="45" t="str">
        <x:v>EXIT DEVICE | PANIC / EXIT DEVICE | DK | No part number</x:v>
      </x:c>
      <x:c r="G240" s="45" t="str">
        <x:v>Add a current vendor list price and effective date; keep staged until priced.</x:v>
      </x:c>
    </x:row>
    <x:row r="241" ht="15" hidden="0" customHeight="1">
      <x:c r="A241" t="str">
        <x:v>WARNING</x:v>
      </x:c>
      <x:c r="B241" t="str">
        <x:v>MISSING_PRICE</x:v>
      </x:c>
      <x:c r="C241" t="str">
        <x:v>OFFER-A59B26AFEF2B</x:v>
      </x:c>
      <x:c r="D241" t="str">
        <x:v>SPEC-B447A07B7E5E</x:v>
      </x:c>
      <x:c r="E241" t="n">
        <x:v>221</x:v>
      </x:c>
      <x:c r="F241" s="45" t="str">
        <x:v>EXIT DEVICE | PANIC / EXIT DEVICE | DK | No part number</x:v>
      </x:c>
      <x:c r="G241" s="45" t="str">
        <x:v>Add a current vendor list price and effective date; keep staged until priced.</x:v>
      </x:c>
    </x:row>
    <x:row r="242" ht="15" hidden="0" customHeight="1">
      <x:c r="A242" t="str">
        <x:v>WARNING</x:v>
      </x:c>
      <x:c r="B242" t="str">
        <x:v>MISSING_PRICE</x:v>
      </x:c>
      <x:c r="C242" t="str">
        <x:v>OFFER-97B6330F0674</x:v>
      </x:c>
      <x:c r="D242" t="str">
        <x:v>SPEC-D5FA5E171F76</x:v>
      </x:c>
      <x:c r="E242" t="n">
        <x:v>222</x:v>
      </x:c>
      <x:c r="F242" s="45" t="str">
        <x:v>EXIT DEVICE | PANIC / EXIT DEVICE | DK | No part number</x:v>
      </x:c>
      <x:c r="G242" s="45" t="str">
        <x:v>Add a current vendor list price and effective date; keep staged until priced.</x:v>
      </x:c>
    </x:row>
    <x:row r="243" ht="15" hidden="0" customHeight="1">
      <x:c r="A243" t="str">
        <x:v>WARNING</x:v>
      </x:c>
      <x:c r="B243" t="str">
        <x:v>MISSING_PRICE</x:v>
      </x:c>
      <x:c r="C243" t="str">
        <x:v>OFFER-5868453C7A1C</x:v>
      </x:c>
      <x:c r="D243" t="str">
        <x:v>SPEC-036361A21AA8</x:v>
      </x:c>
      <x:c r="E243" t="n">
        <x:v>223</x:v>
      </x:c>
      <x:c r="F243" s="45" t="str">
        <x:v>EXIT DEVICE | PANIC / EXIT DEVICE | DK | No part number</x:v>
      </x:c>
      <x:c r="G243" s="45" t="str">
        <x:v>Add a current vendor list price and effective date; keep staged until priced.</x:v>
      </x:c>
    </x:row>
    <x:row r="244" ht="15" hidden="0" customHeight="1">
      <x:c r="A244" t="str">
        <x:v>WARNING</x:v>
      </x:c>
      <x:c r="B244" t="str">
        <x:v>MISSING_PRICE</x:v>
      </x:c>
      <x:c r="C244" t="str">
        <x:v>OFFER-1CCBBDEB60B6</x:v>
      </x:c>
      <x:c r="D244" t="str">
        <x:v>SPEC-90FE8EA35B7D</x:v>
      </x:c>
      <x:c r="E244" t="n">
        <x:v>224</x:v>
      </x:c>
      <x:c r="F244" s="45" t="str">
        <x:v>EXIT DEVICE | PANIC / EXIT DEVICE | DK | No part number</x:v>
      </x:c>
      <x:c r="G244" s="45" t="str">
        <x:v>Add a current vendor list price and effective date; keep staged until priced.</x:v>
      </x:c>
    </x:row>
    <x:row r="245" ht="15" hidden="0" customHeight="1">
      <x:c r="A245" t="str">
        <x:v>WARNING</x:v>
      </x:c>
      <x:c r="B245" t="str">
        <x:v>MISSING_PRICE</x:v>
      </x:c>
      <x:c r="C245" t="str">
        <x:v>OFFER-B19C78D8E403</x:v>
      </x:c>
      <x:c r="D245" t="str">
        <x:v>SPEC-7A7EA96B996C</x:v>
      </x:c>
      <x:c r="E245" t="n">
        <x:v>225</x:v>
      </x:c>
      <x:c r="F245" s="45" t="str">
        <x:v>EXIT DEVICE | PANIC / EXIT DEVICE | DK | No part number</x:v>
      </x:c>
      <x:c r="G245" s="45" t="str">
        <x:v>Add a current vendor list price and effective date; keep staged until priced.</x:v>
      </x:c>
    </x:row>
    <x:row r="246" ht="15" hidden="0" customHeight="1">
      <x:c r="A246" t="str">
        <x:v>WARNING</x:v>
      </x:c>
      <x:c r="B246" t="str">
        <x:v>MISSING_PRICE</x:v>
      </x:c>
      <x:c r="C246" t="str">
        <x:v>OFFER-5D9FF80D2015</x:v>
      </x:c>
      <x:c r="D246" t="str">
        <x:v>SPEC-3CB1A46F231A</x:v>
      </x:c>
      <x:c r="E246" t="n">
        <x:v>226</x:v>
      </x:c>
      <x:c r="F246" s="45" t="str">
        <x:v>EXIT DEVICE | PANIC / EXIT DEVICE | DK | No part number</x:v>
      </x:c>
      <x:c r="G246" s="45" t="str">
        <x:v>Add a current vendor list price and effective date; keep staged until priced.</x:v>
      </x:c>
    </x:row>
    <x:row r="247" ht="15" hidden="0" customHeight="1">
      <x:c r="A247" t="str">
        <x:v>WARNING</x:v>
      </x:c>
      <x:c r="B247" t="str">
        <x:v>MISSING_PRICE</x:v>
      </x:c>
      <x:c r="C247" t="str">
        <x:v>OFFER-FE2A28A67A06</x:v>
      </x:c>
      <x:c r="D247" t="str">
        <x:v>SPEC-5C9564109A2E</x:v>
      </x:c>
      <x:c r="E247" t="n">
        <x:v>227</x:v>
      </x:c>
      <x:c r="F247" s="45" t="str">
        <x:v>EXIT DEVICE | PANIC / EXIT DEVICE | DK | No part number</x:v>
      </x:c>
      <x:c r="G247" s="45" t="str">
        <x:v>Add a current vendor list price and effective date; keep staged until priced.</x:v>
      </x:c>
    </x:row>
    <x:row r="248" ht="15" hidden="0" customHeight="1">
      <x:c r="A248" t="str">
        <x:v>WARNING</x:v>
      </x:c>
      <x:c r="B248" t="str">
        <x:v>MISSING_PRICE</x:v>
      </x:c>
      <x:c r="C248" t="str">
        <x:v>OFFER-30A5D6060632</x:v>
      </x:c>
      <x:c r="D248" t="str">
        <x:v>SPEC-084F11D098B8</x:v>
      </x:c>
      <x:c r="E248" t="n">
        <x:v>228</x:v>
      </x:c>
      <x:c r="F248" s="45" t="str">
        <x:v>EXIT DEVICE | PANIC / EXIT DEVICE | DK | No part number</x:v>
      </x:c>
      <x:c r="G248" s="45" t="str">
        <x:v>Add a current vendor list price and effective date; keep staged until priced.</x:v>
      </x:c>
    </x:row>
    <x:row r="249" ht="15" hidden="0" customHeight="1">
      <x:c r="A249" t="str">
        <x:v>WARNING</x:v>
      </x:c>
      <x:c r="B249" t="str">
        <x:v>MISSING_PRICE</x:v>
      </x:c>
      <x:c r="C249" t="str">
        <x:v>OFFER-D801F6827414</x:v>
      </x:c>
      <x:c r="D249" t="str">
        <x:v>SPEC-0FB060D1DA6E</x:v>
      </x:c>
      <x:c r="E249" t="n">
        <x:v>229</x:v>
      </x:c>
      <x:c r="F249" s="45" t="str">
        <x:v>EXIT DEVICE | PANIC / EXIT DEVICE | DK | No part number</x:v>
      </x:c>
      <x:c r="G249" s="45" t="str">
        <x:v>Add a current vendor list price and effective date; keep staged until priced.</x:v>
      </x:c>
    </x:row>
    <x:row r="250" ht="15" hidden="0" customHeight="1">
      <x:c r="A250" t="str">
        <x:v>WARNING</x:v>
      </x:c>
      <x:c r="B250" t="str">
        <x:v>MISSING_PRICE</x:v>
      </x:c>
      <x:c r="C250" t="str">
        <x:v>OFFER-D985FB53942B</x:v>
      </x:c>
      <x:c r="D250" t="str">
        <x:v>SPEC-6F1E288CFD07</x:v>
      </x:c>
      <x:c r="E250" t="n">
        <x:v>230</x:v>
      </x:c>
      <x:c r="F250" s="45" t="str">
        <x:v>EXIT DEVICE | PANIC / EXIT DEVICE | DK | No part number</x:v>
      </x:c>
      <x:c r="G250" s="45" t="str">
        <x:v>Add a current vendor list price and effective date; keep staged until priced.</x:v>
      </x:c>
    </x:row>
    <x:row r="251" ht="15" hidden="0" customHeight="1">
      <x:c r="A251" t="str">
        <x:v>WARNING</x:v>
      </x:c>
      <x:c r="B251" t="str">
        <x:v>MISSING_PRICE</x:v>
      </x:c>
      <x:c r="C251" t="str">
        <x:v>OFFER-03B77EA7DE67</x:v>
      </x:c>
      <x:c r="D251" t="str">
        <x:v>SPEC-689B22E417E6</x:v>
      </x:c>
      <x:c r="E251" t="n">
        <x:v>271</x:v>
      </x:c>
      <x:c r="F251" s="45" t="str">
        <x:v>EXIT DEVICE | PANIC / EXIT DEVICE | COR | No part number</x:v>
      </x:c>
      <x:c r="G251" s="45" t="str">
        <x:v>Add a current vendor list price and effective date; keep staged until priced.</x:v>
      </x:c>
    </x:row>
    <x:row r="252" ht="15" hidden="0" customHeight="1">
      <x:c r="A252" t="str">
        <x:v>WARNING</x:v>
      </x:c>
      <x:c r="B252" t="str">
        <x:v>MISSING_PRICE</x:v>
      </x:c>
      <x:c r="C252" t="str">
        <x:v>OFFER-7F49B7D2C161</x:v>
      </x:c>
      <x:c r="D252" t="str">
        <x:v>SPEC-689B22E417E6</x:v>
      </x:c>
      <x:c r="E252" t="n">
        <x:v>272</x:v>
      </x:c>
      <x:c r="F252" s="45" t="str">
        <x:v>EXIT DEVICE | PANIC / EXIT DEVICE | SAR | No part number</x:v>
      </x:c>
      <x:c r="G252" s="45" t="str">
        <x:v>Add a current vendor list price and effective date; keep staged until priced.</x:v>
      </x:c>
    </x:row>
    <x:row r="253" ht="15" hidden="0" customHeight="1">
      <x:c r="A253" t="str">
        <x:v>WARNING</x:v>
      </x:c>
      <x:c r="B253" t="str">
        <x:v>MISSING_PRICE</x:v>
      </x:c>
      <x:c r="C253" t="str">
        <x:v>OFFER-51510BC59675</x:v>
      </x:c>
      <x:c r="D253" t="str">
        <x:v>SPEC-689B22E417E6</x:v>
      </x:c>
      <x:c r="E253" t="n">
        <x:v>275</x:v>
      </x:c>
      <x:c r="F253" s="45" t="str">
        <x:v>EXIT DEVICE | PANIC / EXIT DEVICE | VD | No part number</x:v>
      </x:c>
      <x:c r="G253" s="45" t="str">
        <x:v>Add a current vendor list price and effective date; keep staged until priced.</x:v>
      </x:c>
    </x:row>
    <x:row r="254" ht="15" hidden="0" customHeight="1">
      <x:c r="A254" t="str">
        <x:v>WARNING</x:v>
      </x:c>
      <x:c r="B254" t="str">
        <x:v>MISSING_PRICE</x:v>
      </x:c>
      <x:c r="C254" t="str">
        <x:v>OFFER-63F8C9C6FEE8</x:v>
      </x:c>
      <x:c r="D254" t="str">
        <x:v>SPEC-20C076C9626B</x:v>
      </x:c>
      <x:c r="E254" t="n">
        <x:v>323</x:v>
      </x:c>
      <x:c r="F254" s="45" t="str">
        <x:v>EXIT DEVICE | PANIC / EXIT DEVICE | DK | No part number</x:v>
      </x:c>
      <x:c r="G254" s="45" t="str">
        <x:v>Add a current vendor list price and effective date; keep staged until priced.</x:v>
      </x:c>
    </x:row>
    <x:row r="255" ht="15" hidden="0" customHeight="1">
      <x:c r="A255" t="str">
        <x:v>WARNING</x:v>
      </x:c>
      <x:c r="B255" t="str">
        <x:v>MISSING_PRICE</x:v>
      </x:c>
      <x:c r="C255" t="str">
        <x:v>OFFER-024B29992B04</x:v>
      </x:c>
      <x:c r="D255" t="str">
        <x:v>SPEC-F0001889C9A7</x:v>
      </x:c>
      <x:c r="E255" t="n">
        <x:v>325</x:v>
      </x:c>
      <x:c r="F255" s="45" t="str">
        <x:v>EXIT DEVICE | PANIC / EXIT DEVICE | DK | No part number</x:v>
      </x:c>
      <x:c r="G255" s="45" t="str">
        <x:v>Add a current vendor list price and effective date; keep staged until priced.</x:v>
      </x:c>
    </x:row>
    <x:row r="256" ht="15" hidden="0" customHeight="1">
      <x:c r="A256" t="str">
        <x:v>WARNING</x:v>
      </x:c>
      <x:c r="B256" t="str">
        <x:v>MISSING_REQUIRED_SPEC</x:v>
      </x:c>
      <x:c r="C256" t="str">
        <x:v>OFFER-A4B80386A96D</x:v>
      </x:c>
      <x:c r="D256" t="str">
        <x:v>SPEC-0C603B3070A1</x:v>
      </x:c>
      <x:c r="E256" t="n">
        <x:v>26</x:v>
      </x:c>
      <x:c r="F256" s="45" t="str">
        <x:v>HINGE | CONTINUOUS HINGE | No vendor | No part number</x:v>
      </x:c>
      <x:c r="G256" s="45" t="str">
        <x:v>Complete the required spec dimensions before allowing automated matching.</x:v>
      </x:c>
    </x:row>
    <x:row r="257" ht="15" hidden="0" customHeight="1">
      <x:c r="A257" t="str">
        <x:v>WARNING</x:v>
      </x:c>
      <x:c r="B257" t="str">
        <x:v>MISSING_REQUIRED_SPEC</x:v>
      </x:c>
      <x:c r="C257" t="str">
        <x:v>OFFER-59EE493A79B8</x:v>
      </x:c>
      <x:c r="D257" t="str">
        <x:v>SPEC-05BEAB991446</x:v>
      </x:c>
      <x:c r="E257" t="n">
        <x:v>72</x:v>
      </x:c>
      <x:c r="F257" s="45" t="str">
        <x:v>CLOSER | SURFACE CLOSER | LCN | 1461-CUSH</x:v>
      </x:c>
      <x:c r="G257" s="45" t="str">
        <x:v>Complete the required spec dimensions before allowing automated matching.</x:v>
      </x:c>
    </x:row>
    <x:row r="258" ht="15" hidden="0" customHeight="1">
      <x:c r="A258" t="str">
        <x:v>WARNING</x:v>
      </x:c>
      <x:c r="B258" t="str">
        <x:v>MISSING_REQUIRED_SPEC</x:v>
      </x:c>
      <x:c r="C258" t="str">
        <x:v>OFFER-AF4D48371066</x:v>
      </x:c>
      <x:c r="D258" t="str">
        <x:v>SPEC-B28DC94068D5</x:v>
      </x:c>
      <x:c r="E258" t="n">
        <x:v>73</x:v>
      </x:c>
      <x:c r="F258" s="45" t="str">
        <x:v>CLOSER | SURFACE CLOSER | LCN | 1461-SCUSH-689</x:v>
      </x:c>
      <x:c r="G258" s="45" t="str">
        <x:v>Complete the required spec dimensions before allowing automated matching.</x:v>
      </x:c>
    </x:row>
    <x:row r="259" ht="15" hidden="0" customHeight="1">
      <x:c r="A259" t="str">
        <x:v>WARNING</x:v>
      </x:c>
      <x:c r="B259" t="str">
        <x:v>MISSING_REQUIRED_SPEC</x:v>
      </x:c>
      <x:c r="C259" t="str">
        <x:v>OFFER-C74C7E492CFD</x:v>
      </x:c>
      <x:c r="D259" t="str">
        <x:v>SPEC-B3940214D4B6</x:v>
      </x:c>
      <x:c r="E259" t="n">
        <x:v>76</x:v>
      </x:c>
      <x:c r="F259" s="45" t="str">
        <x:v>CLOSER | SURFACE CLOSER | LCN | 4040XP-CUSH-689</x:v>
      </x:c>
      <x:c r="G259" s="45" t="str">
        <x:v>Complete the required spec dimensions before allowing automated matching.</x:v>
      </x:c>
    </x:row>
    <x:row r="260" ht="15" hidden="0" customHeight="1">
      <x:c r="A260" t="str">
        <x:v>WARNING</x:v>
      </x:c>
      <x:c r="B260" t="str">
        <x:v>PLACEHOLDER_PART_NUMBER</x:v>
      </x:c>
      <x:c r="C260" t="str">
        <x:v>OFFER-68B7AE143DF4</x:v>
      </x:c>
      <x:c r="D260" t="str">
        <x:v>SPEC-EAEAADF0DBE0</x:v>
      </x:c>
      <x:c r="E260" t="n">
        <x:v>9</x:v>
      </x:c>
      <x:c r="F260" s="45" t="str">
        <x:v>HINGE | BUTT HINGE | IVE | ******</x:v>
      </x:c>
      <x:c r="G260" s="45" t="str">
        <x:v>Replace the asterisk placeholder with a confirmed part number.</x:v>
      </x:c>
    </x:row>
    <x:row r="261" ht="15" hidden="0" customHeight="1">
      <x:c r="A261" t="str">
        <x:v>WARNING</x:v>
      </x:c>
      <x:c r="B261" t="str">
        <x:v>PLACEHOLDER_PART_NUMBER</x:v>
      </x:c>
      <x:c r="C261" t="str">
        <x:v>OFFER-EA52B87C0E65</x:v>
      </x:c>
      <x:c r="D261" t="str">
        <x:v>SPEC-CCD60FD58F0B</x:v>
      </x:c>
      <x:c r="E261" t="n">
        <x:v>10</x:v>
      </x:c>
      <x:c r="F261" s="45" t="str">
        <x:v>HINGE | BUTT HINGE | *** | ******</x:v>
      </x:c>
      <x:c r="G261" s="45" t="str">
        <x:v>Replace the asterisk placeholder with a confirmed part number.</x:v>
      </x:c>
    </x:row>
    <x:row r="262" ht="15" hidden="0" customHeight="1">
      <x:c r="A262" t="str">
        <x:v>INFO</x:v>
      </x:c>
      <x:c r="B262" t="str">
        <x:v>CATEGORY_ALIAS_NORMALIZED</x:v>
      </x:c>
      <x:c r="C262" t="str">
        <x:v>OFFER-C3B7A3F863ED</x:v>
      </x:c>
      <x:c r="D262" t="str">
        <x:v>SPEC-2AEF47AC9FAB</x:v>
      </x:c>
      <x:c r="E262" t="n">
        <x:v>97</x:v>
      </x:c>
      <x:c r="F262" s="45" t="str">
        <x:v>DEADBOLT | SINGLE CYLINDER DEADBOLT | SCH | B660P</x:v>
      </x:c>
      <x:c r="G262" s="45" t="str">
        <x:v>No action required; DBOLT was normalized to DEADBOLT.</x:v>
      </x:c>
    </x:row>
    <x:row r="263" ht="15" hidden="0" customHeight="1">
      <x:c r="A263" t="str">
        <x:v>INFO</x:v>
      </x:c>
      <x:c r="B263" t="str">
        <x:v>CATEGORY_ALIAS_NORMALIZED</x:v>
      </x:c>
      <x:c r="C263" t="str">
        <x:v>OFFER-D08A461B7ED1</x:v>
      </x:c>
      <x:c r="D263" t="str">
        <x:v>SPEC-D1B62C606D00</x:v>
      </x:c>
      <x:c r="E263" t="n">
        <x:v>98</x:v>
      </x:c>
      <x:c r="F263" s="45" t="str">
        <x:v>DEADBOLT | SINGLE CYLINDER DEADBOLT | SCH | B660B</x:v>
      </x:c>
      <x:c r="G263" s="45" t="str">
        <x:v>No action required; DBOLT was normalized to DEADBOLT.</x:v>
      </x:c>
    </x:row>
    <x:row r="264" ht="15" hidden="0" customHeight="1">
      <x:c r="A264" t="str">
        <x:v>INFO</x:v>
      </x:c>
      <x:c r="B264" t="str">
        <x:v>CATEGORY_ALIAS_NORMALIZED</x:v>
      </x:c>
      <x:c r="C264" t="str">
        <x:v>OFFER-6016F1721701</x:v>
      </x:c>
      <x:c r="D264" t="str">
        <x:v>SPEC-C2F54366822D</x:v>
      </x:c>
      <x:c r="E264" t="n">
        <x:v>99</x:v>
      </x:c>
      <x:c r="F264" s="45" t="str">
        <x:v>DEADBOLT | DEADBOLT | SCH | B660B</x:v>
      </x:c>
      <x:c r="G264" s="45" t="str">
        <x:v>No action required; DBOLT was normalized to DEADBOLT.</x:v>
      </x:c>
    </x:row>
    <x:row r="265" ht="15" hidden="0" customHeight="1">
      <x:c r="A265" t="str">
        <x:v>INFO</x:v>
      </x:c>
      <x:c r="B265" t="str">
        <x:v>CATEGORY_ALIAS_NORMALIZED</x:v>
      </x:c>
      <x:c r="C265" t="str">
        <x:v>OFFER-82FC3473DC07</x:v>
      </x:c>
      <x:c r="D265" t="str">
        <x:v>SPEC-F8964A11918A</x:v>
      </x:c>
      <x:c r="E265" t="n">
        <x:v>100</x:v>
      </x:c>
      <x:c r="F265" s="45" t="str">
        <x:v>DEADBOLT | DEADBOLT | SCH | B660P</x:v>
      </x:c>
      <x:c r="G265" s="45" t="str">
        <x:v>No action required; DBOLT was normalized to DEADBOLT.</x:v>
      </x:c>
    </x:row>
  </x:sheetData>
  <x:conditionalFormatting sqref="A2:A265">
    <x:cfRule type="containsText" dxfId="5" priority="1" operator="containsText" text="ERROR"/>
    <x:cfRule type="containsText" dxfId="6" priority="2" operator="containsText" text="WARNING"/>
    <x:cfRule type="containsText" dxfId="7" priority="3" operator="containsText" text="INFO"/>
  </x:conditionalFormatting>
  <x:pageMargins left="0.7" right="0.7" top="0.75" bottom="0.75" header="0.3" footer="0.3"/>
  <x:tableParts count="1">
    <x:tablePart xmlns:r="http://schemas.openxmlformats.org/officeDocument/2006/relationships" r:id="R13224dfe3a1447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9" hidden="0" customWidth="1"/>
    <x:col min="4" max="4" width="22" hidden="0" customWidth="1"/>
    <x:col min="5" max="5" width="22" hidden="0" customWidth="1"/>
    <x:col min="6" max="6" width="22" hidden="0" customWidth="1"/>
    <x:col min="7" max="7" width="30" hidden="0" customWidth="1"/>
    <x:col min="8" max="8" width="12" hidden="0" customWidth="1"/>
    <x:col min="9" max="9" width="28" hidden="0" customWidth="1"/>
    <x:col min="10" max="10" width="35" hidden="0" customWidth="1"/>
    <x:col min="11" max="11" width="18" hidden="0" customWidth="1"/>
    <x:col min="12" max="12" width="22" hidden="0" customWidth="1"/>
    <x:col min="13" max="13" width="55" hidden="0" customWidth="1"/>
    <x:col min="14" max="14" width="24" hidden="0" customWidth="1"/>
    <x:col min="15" max="15" width="16" hidden="0" customWidth="1"/>
    <x:col min="16" max="16" width="16" hidden="0" customWidth="1"/>
  </x:cols>
  <x:sheetData>
    <x:row r="1" ht="34" hidden="0" customHeight="1">
      <x:c r="A1" s="34" t="str">
        <x:v>Source_Row</x:v>
      </x:c>
      <x:c r="B1" s="34" t="str">
        <x:v>Included_In_Import</x:v>
      </x:c>
      <x:c r="C1" s="34" t="str">
        <x:v>Duplicate_Of_Source_Row</x:v>
      </x:c>
      <x:c r="D1" s="34" t="str">
        <x:v>Offer_ID</x:v>
      </x:c>
      <x:c r="E1" s="34" t="str">
        <x:v>Spec_ID</x:v>
      </x:c>
      <x:c r="F1" s="34" t="str">
        <x:v>GROUP</x:v>
      </x:c>
      <x:c r="G1" s="34" t="str">
        <x:v>FAMILY_FUNCTION</x:v>
      </x:c>
      <x:c r="H1" s="34" t="str">
        <x:v>VENDOR</x:v>
      </x:c>
      <x:c r="I1" s="34" t="str">
        <x:v>SIZE_MODEL</x:v>
      </x:c>
      <x:c r="J1" s="34" t="str">
        <x:v>FUNCTION</x:v>
      </x:c>
      <x:c r="K1" s="34" t="str">
        <x:v>THICKNESS_WT</x:v>
      </x:c>
      <x:c r="L1" s="34" t="str">
        <x:v>MATERIAL_FINISH</x:v>
      </x:c>
      <x:c r="M1" s="34" t="str">
        <x:v>PART_NUMBER_RAW</x:v>
      </x:c>
      <x:c r="N1" s="34" t="str">
        <x:v>CUSTOMER_PART_NUMBER</x:v>
      </x:c>
      <x:c r="O1" s="34" t="str">
        <x:v>VENDOR_LIST_PRICE</x:v>
      </x:c>
      <x:c r="P1" s="34" t="str">
        <x:v>DISCOUNT_RAW</x:v>
      </x:c>
    </x:row>
    <x:row r="2" ht="15" hidden="0" customHeight="1">
      <x:c r="A2" t="n">
        <x:v>3</x:v>
      </x:c>
      <x:c r="B2" t="str">
        <x:v>YES</x:v>
      </x:c>
      <x:c r="C2" t="str"/>
      <x:c r="D2" t="str">
        <x:v>OFFER-D5580AC26054</x:v>
      </x:c>
      <x:c r="E2" t="str">
        <x:v>SPEC-5580B38FF507</x:v>
      </x:c>
      <x:c r="F2" t="str">
        <x:v>HINGES</x:v>
      </x:c>
      <x:c r="G2" t="str">
        <x:v>BUTT HINGE HEAVY WT</x:v>
      </x:c>
      <x:c r="H2" t="str">
        <x:v>DH</x:v>
      </x:c>
      <x:c r="I2" t="str">
        <x:v>4.5 * 4.5</x:v>
      </x:c>
      <x:c r="J2" t="str">
        <x:v>NRP</x:v>
      </x:c>
      <x:c r="K2" t="str">
        <x:v>0.180"</x:v>
      </x:c>
      <x:c r="L2" t="str">
        <x:v>304 SS</x:v>
      </x:c>
      <x:c r="M2" t="str">
        <x:v>78000505 - BB5-HW NRP 4.5 x 4.5</x:v>
      </x:c>
      <x:c r="N2" t="str">
        <x:v>847-******</x:v>
      </x:c>
      <x:c r="O2" s="54"/>
      <x:c r="P2" t="str"/>
    </x:row>
    <x:row r="3" ht="15" hidden="0" customHeight="1">
      <x:c r="A3" t="n">
        <x:v>4</x:v>
      </x:c>
      <x:c r="B3" t="str">
        <x:v>YES</x:v>
      </x:c>
      <x:c r="C3" t="str"/>
      <x:c r="D3" t="str">
        <x:v>OFFER-FA185C57E7B9</x:v>
      </x:c>
      <x:c r="E3" t="str">
        <x:v>SPEC-46668F499153</x:v>
      </x:c>
      <x:c r="F3" t="str">
        <x:v>HINGES</x:v>
      </x:c>
      <x:c r="G3" t="str">
        <x:v>BUTT HINGE HEAVY WT</x:v>
      </x:c>
      <x:c r="H3" t="str">
        <x:v>DH</x:v>
      </x:c>
      <x:c r="I3" t="str">
        <x:v>4.5 * 4.5</x:v>
      </x:c>
      <x:c r="J3" t="str">
        <x:v>NRP</x:v>
      </x:c>
      <x:c r="K3" t="str">
        <x:v>0.180"</x:v>
      </x:c>
      <x:c r="L3" t="str">
        <x:v>316 SS</x:v>
      </x:c>
      <x:c r="M3" t="str">
        <x:v>78000519 - BB5 NRP 4.5 x 4.5</x:v>
      </x:c>
      <x:c r="N3" t="str"/>
      <x:c r="O3" s="54"/>
      <x:c r="P3" t="str"/>
    </x:row>
    <x:row r="4" ht="15" hidden="0" customHeight="1">
      <x:c r="A4" t="n">
        <x:v>5</x:v>
      </x:c>
      <x:c r="B4" t="str">
        <x:v>YES</x:v>
      </x:c>
      <x:c r="C4" t="str"/>
      <x:c r="D4" t="str">
        <x:v>OFFER-D2A39767A064</x:v>
      </x:c>
      <x:c r="E4" t="str">
        <x:v>SPEC-86E6996563AA</x:v>
      </x:c>
      <x:c r="F4" t="str">
        <x:v>HINGES</x:v>
      </x:c>
      <x:c r="G4" t="str">
        <x:v>BUTT HINGE w SPRING</x:v>
      </x:c>
      <x:c r="H4" t="str">
        <x:v>DH</x:v>
      </x:c>
      <x:c r="I4" t="str">
        <x:v>4.5 * 4.5</x:v>
      </x:c>
      <x:c r="J4" t="str">
        <x:v>N/A</x:v>
      </x:c>
      <x:c r="K4" t="str">
        <x:v>0.134"</x:v>
      </x:c>
      <x:c r="L4" t="str">
        <x:v>304 SS</x:v>
      </x:c>
      <x:c r="M4" t="str">
        <x:v>78000541 - Spring Hinge 4.5 x 4.5</x:v>
      </x:c>
      <x:c r="N4" t="str">
        <x:v>847-01985</x:v>
      </x:c>
      <x:c r="O4" s="54"/>
      <x:c r="P4" t="str"/>
    </x:row>
    <x:row r="5" ht="15" hidden="0" customHeight="1">
      <x:c r="A5" t="n">
        <x:v>6</x:v>
      </x:c>
      <x:c r="B5" t="str">
        <x:v>YES</x:v>
      </x:c>
      <x:c r="C5" t="str"/>
      <x:c r="D5" t="str">
        <x:v>OFFER-FB649CFDCADA</x:v>
      </x:c>
      <x:c r="E5" t="str">
        <x:v>SPEC-DE59CAC94BBD</x:v>
      </x:c>
      <x:c r="F5" t="str">
        <x:v>HINGES</x:v>
      </x:c>
      <x:c r="G5" t="str">
        <x:v>BUTT HINGE w SPRING</x:v>
      </x:c>
      <x:c r="H5" t="str"/>
      <x:c r="I5" t="str">
        <x:v>4.5 * 4.5</x:v>
      </x:c>
      <x:c r="J5" t="str">
        <x:v>N/A</x:v>
      </x:c>
      <x:c r="K5" t="str">
        <x:v>0.180"</x:v>
      </x:c>
      <x:c r="L5" t="str">
        <x:v>304 SS</x:v>
      </x:c>
      <x:c r="M5" t="str">
        <x:v>SPRING HW</x:v>
      </x:c>
      <x:c r="N5" t="str"/>
      <x:c r="O5" s="54" t="n">
        <x:v>96.25</x:v>
      </x:c>
      <x:c r="P5" t="str"/>
    </x:row>
    <x:row r="6" ht="15" hidden="0" customHeight="1">
      <x:c r="A6" t="n">
        <x:v>7</x:v>
      </x:c>
      <x:c r="B6" t="str">
        <x:v>YES</x:v>
      </x:c>
      <x:c r="C6" t="str"/>
      <x:c r="D6" t="str">
        <x:v>OFFER-804837E01F90</x:v>
      </x:c>
      <x:c r="E6" t="str">
        <x:v>SPEC-F4CEDBA6C85C</x:v>
      </x:c>
      <x:c r="F6" t="str">
        <x:v>HINGES</x:v>
      </x:c>
      <x:c r="G6" t="str">
        <x:v>BUTT HINGE SPECIAL</x:v>
      </x:c>
      <x:c r="H6" t="str">
        <x:v>DH</x:v>
      </x:c>
      <x:c r="I6" t="str">
        <x:v>5.0 * 4.5</x:v>
      </x:c>
      <x:c r="J6" t="str">
        <x:v>NRP</x:v>
      </x:c>
      <x:c r="K6" t="str">
        <x:v>0.180"</x:v>
      </x:c>
      <x:c r="L6" t="str">
        <x:v>304 SS</x:v>
      </x:c>
      <x:c r="M6" t="str">
        <x:v>78000531 - BB5 NRP 5 x 4.5</x:v>
      </x:c>
      <x:c r="N6" t="str"/>
      <x:c r="O6" s="54"/>
      <x:c r="P6" t="str"/>
    </x:row>
    <x:row r="7" ht="15" hidden="0" customHeight="1">
      <x:c r="A7" t="n">
        <x:v>8</x:v>
      </x:c>
      <x:c r="B7" t="str">
        <x:v>YES</x:v>
      </x:c>
      <x:c r="C7" t="str"/>
      <x:c r="D7" t="str">
        <x:v>OFFER-EB397929ED5E</x:v>
      </x:c>
      <x:c r="E7" t="str">
        <x:v>SPEC-E60B40B45B93</x:v>
      </x:c>
      <x:c r="F7" t="str">
        <x:v>HINGES</x:v>
      </x:c>
      <x:c r="G7" t="str">
        <x:v>BUTT HINGE SPECIAL</x:v>
      </x:c>
      <x:c r="H7" t="str"/>
      <x:c r="I7" t="str">
        <x:v>5.0 * 5.0</x:v>
      </x:c>
      <x:c r="J7" t="str">
        <x:v>NRP</x:v>
      </x:c>
      <x:c r="K7" t="str">
        <x:v>0.180"</x:v>
      </x:c>
      <x:c r="L7" t="str">
        <x:v>304 SS</x:v>
      </x:c>
      <x:c r="M7" t="str"/>
      <x:c r="N7" t="str"/>
      <x:c r="O7" s="54"/>
      <x:c r="P7" t="str"/>
    </x:row>
    <x:row r="8" ht="15" hidden="0" customHeight="1">
      <x:c r="A8" t="n">
        <x:v>9</x:v>
      </x:c>
      <x:c r="B8" t="str">
        <x:v>YES</x:v>
      </x:c>
      <x:c r="C8" t="str"/>
      <x:c r="D8" t="str">
        <x:v>OFFER-68B7AE143DF4</x:v>
      </x:c>
      <x:c r="E8" t="str">
        <x:v>SPEC-EAEAADF0DBE0</x:v>
      </x:c>
      <x:c r="F8" t="str">
        <x:v>HINGES</x:v>
      </x:c>
      <x:c r="G8" t="str">
        <x:v>BUTT</x:v>
      </x:c>
      <x:c r="H8" t="str">
        <x:v>IVE</x:v>
      </x:c>
      <x:c r="I8" t="str">
        <x:v>5.0 * 5.0</x:v>
      </x:c>
      <x:c r="J8" t="str">
        <x:v>NRP</x:v>
      </x:c>
      <x:c r="K8" t="str">
        <x:v>0.180"</x:v>
      </x:c>
      <x:c r="L8" t="str">
        <x:v>304 SS</x:v>
      </x:c>
      <x:c r="M8" t="str">
        <x:v>******</x:v>
      </x:c>
      <x:c r="N8" t="str"/>
      <x:c r="O8" s="54"/>
      <x:c r="P8" t="str"/>
    </x:row>
    <x:row r="9" ht="15" hidden="0" customHeight="1">
      <x:c r="A9" t="n">
        <x:v>10</x:v>
      </x:c>
      <x:c r="B9" t="str">
        <x:v>YES</x:v>
      </x:c>
      <x:c r="C9" t="str"/>
      <x:c r="D9" t="str">
        <x:v>OFFER-EA52B87C0E65</x:v>
      </x:c>
      <x:c r="E9" t="str">
        <x:v>SPEC-CCD60FD58F0B</x:v>
      </x:c>
      <x:c r="F9" t="str">
        <x:v>HINGES</x:v>
      </x:c>
      <x:c r="G9" t="str">
        <x:v>BUTT</x:v>
      </x:c>
      <x:c r="H9" t="str">
        <x:v>***</x:v>
      </x:c>
      <x:c r="I9" t="str"/>
      <x:c r="J9" t="str">
        <x:v>NRP</x:v>
      </x:c>
      <x:c r="K9" t="str"/>
      <x:c r="L9" t="str"/>
      <x:c r="M9" t="str">
        <x:v>******</x:v>
      </x:c>
      <x:c r="N9" t="str"/>
      <x:c r="O9" s="54"/>
      <x:c r="P9" t="str"/>
    </x:row>
    <x:row r="10" ht="15" hidden="0" customHeight="1">
      <x:c r="A10" t="n">
        <x:v>11</x:v>
      </x:c>
      <x:c r="B10" t="str">
        <x:v>YES</x:v>
      </x:c>
      <x:c r="C10" t="str"/>
      <x:c r="D10" t="str">
        <x:v>OFFER-464F8F721986</x:v>
      </x:c>
      <x:c r="E10" t="str">
        <x:v>SPEC-0475607E1A90</x:v>
      </x:c>
      <x:c r="F10" t="str">
        <x:v>HINGES</x:v>
      </x:c>
      <x:c r="G10" t="str">
        <x:v>BUTT HINGE STANDARD WT</x:v>
      </x:c>
      <x:c r="H10" t="str">
        <x:v>DH</x:v>
      </x:c>
      <x:c r="I10" t="str">
        <x:v>4.5 * 4.5</x:v>
      </x:c>
      <x:c r="J10" t="str">
        <x:v>NRP</x:v>
      </x:c>
      <x:c r="K10" t="str">
        <x:v>0.134"</x:v>
      </x:c>
      <x:c r="L10" t="str">
        <x:v>304 SS</x:v>
      </x:c>
      <x:c r="M10" t="str">
        <x:v>78000519 - BB5 NRP 4.5 x 4.5</x:v>
      </x:c>
      <x:c r="N10" t="str"/>
      <x:c r="O10" s="54"/>
      <x:c r="P10" t="str"/>
    </x:row>
    <x:row r="11" ht="15" hidden="0" customHeight="1">
      <x:c r="A11" t="n">
        <x:v>12</x:v>
      </x:c>
      <x:c r="B11" t="str">
        <x:v>YES</x:v>
      </x:c>
      <x:c r="C11" t="str"/>
      <x:c r="D11" t="str">
        <x:v>OFFER-38A27EC2BD55</x:v>
      </x:c>
      <x:c r="E11" t="str">
        <x:v>SPEC-244285DE4CEC</x:v>
      </x:c>
      <x:c r="F11" t="str">
        <x:v>HINGES</x:v>
      </x:c>
      <x:c r="G11" t="str">
        <x:v>BUTT HINGE STANDARD WT</x:v>
      </x:c>
      <x:c r="H11" t="str">
        <x:v>DH</x:v>
      </x:c>
      <x:c r="I11" t="str"/>
      <x:c r="J11" t="str"/>
      <x:c r="K11" t="str">
        <x:v>0.134"</x:v>
      </x:c>
      <x:c r="L11" t="str">
        <x:v>304 SS</x:v>
      </x:c>
      <x:c r="M11" t="str"/>
      <x:c r="N11" t="str"/>
      <x:c r="O11" s="54"/>
      <x:c r="P11" t="str"/>
    </x:row>
    <x:row r="12" ht="15" hidden="0" customHeight="1">
      <x:c r="A12" t="n">
        <x:v>14</x:v>
      </x:c>
      <x:c r="B12" t="str">
        <x:v>YES</x:v>
      </x:c>
      <x:c r="C12" t="str"/>
      <x:c r="D12" t="str">
        <x:v>OFFER-AB9524199677</x:v>
      </x:c>
      <x:c r="E12" t="str">
        <x:v>SPEC-3AC38DD8BDA3</x:v>
      </x:c>
      <x:c r="F12" t="str">
        <x:v>HINGES</x:v>
      </x:c>
      <x:c r="G12" t="str">
        <x:v>CONTINUOUS</x:v>
      </x:c>
      <x:c r="H12" t="str">
        <x:v>ABH</x:v>
      </x:c>
      <x:c r="I12" t="str">
        <x:v>8'</x:v>
      </x:c>
      <x:c r="J12" t="str">
        <x:v>FULL MORT</x:v>
      </x:c>
      <x:c r="K12" t="str">
        <x:v>-</x:v>
      </x:c>
      <x:c r="L12" t="str">
        <x:v>CLEAR AN</x:v>
      </x:c>
      <x:c r="M12" t="str"/>
      <x:c r="N12" t="str"/>
      <x:c r="O12" s="54"/>
      <x:c r="P12" t="str"/>
    </x:row>
    <x:row r="13" ht="15" hidden="0" customHeight="1">
      <x:c r="A13" t="n">
        <x:v>15</x:v>
      </x:c>
      <x:c r="B13" t="str">
        <x:v>YES</x:v>
      </x:c>
      <x:c r="C13" t="str"/>
      <x:c r="D13" t="str">
        <x:v>OFFER-0863C6C4B230</x:v>
      </x:c>
      <x:c r="E13" t="str">
        <x:v>SPEC-3AC38DD8BDA3</x:v>
      </x:c>
      <x:c r="F13" t="str">
        <x:v>HINGES</x:v>
      </x:c>
      <x:c r="G13" t="str">
        <x:v>CONTINUOUS</x:v>
      </x:c>
      <x:c r="H13" t="str">
        <x:v>ABH</x:v>
      </x:c>
      <x:c r="I13" t="str">
        <x:v>7'</x:v>
      </x:c>
      <x:c r="J13" t="str">
        <x:v>FULL MORT</x:v>
      </x:c>
      <x:c r="K13" t="str">
        <x:v>-</x:v>
      </x:c>
      <x:c r="L13" t="str">
        <x:v>CLEAR AN</x:v>
      </x:c>
      <x:c r="M13" t="str"/>
      <x:c r="N13" t="str"/>
      <x:c r="O13" s="54"/>
      <x:c r="P13" t="str"/>
    </x:row>
    <x:row r="14" ht="15" hidden="0" customHeight="1">
      <x:c r="A14" t="n">
        <x:v>16</x:v>
      </x:c>
      <x:c r="B14" t="str">
        <x:v>YES</x:v>
      </x:c>
      <x:c r="C14" t="str"/>
      <x:c r="D14" t="str">
        <x:v>OFFER-3004DBA62C49</x:v>
      </x:c>
      <x:c r="E14" t="str">
        <x:v>SPEC-F0BF5C9B897E</x:v>
      </x:c>
      <x:c r="F14" t="str">
        <x:v>HINGES</x:v>
      </x:c>
      <x:c r="G14" t="str">
        <x:v>CONTINUOUS</x:v>
      </x:c>
      <x:c r="H14" t="str">
        <x:v>ABH</x:v>
      </x:c>
      <x:c r="I14" t="str">
        <x:v>6'8</x:v>
      </x:c>
      <x:c r="J14" t="str">
        <x:v>FULL MORT</x:v>
      </x:c>
      <x:c r="K14" t="str">
        <x:v>-</x:v>
      </x:c>
      <x:c r="L14" t="str">
        <x:v>CLEAR AN</x:v>
      </x:c>
      <x:c r="M14" t="str"/>
      <x:c r="N14" t="str"/>
      <x:c r="O14" s="54"/>
      <x:c r="P14" t="str"/>
    </x:row>
    <x:row r="15" ht="15" hidden="0" customHeight="1">
      <x:c r="A15" t="n">
        <x:v>17</x:v>
      </x:c>
      <x:c r="B15" t="str">
        <x:v>YES</x:v>
      </x:c>
      <x:c r="C15" t="str"/>
      <x:c r="D15" t="str">
        <x:v>OFFER-71EC4D0EBCD3</x:v>
      </x:c>
      <x:c r="E15" t="str">
        <x:v>SPEC-4A1D73AE37C6</x:v>
      </x:c>
      <x:c r="F15" t="str">
        <x:v>HINGES</x:v>
      </x:c>
      <x:c r="G15" t="str">
        <x:v>CONTINUOUS</x:v>
      </x:c>
      <x:c r="H15" t="str">
        <x:v>ABH</x:v>
      </x:c>
      <x:c r="I15" t="str">
        <x:v>8'</x:v>
      </x:c>
      <x:c r="J15" t="str">
        <x:v>FULL SURF</x:v>
      </x:c>
      <x:c r="K15" t="str">
        <x:v>-</x:v>
      </x:c>
      <x:c r="L15" t="str">
        <x:v>CLEAR AN</x:v>
      </x:c>
      <x:c r="M15" t="str"/>
      <x:c r="N15" t="str"/>
      <x:c r="O15" s="54"/>
      <x:c r="P15" t="str"/>
    </x:row>
    <x:row r="16" ht="15" hidden="0" customHeight="1">
      <x:c r="A16" t="n">
        <x:v>18</x:v>
      </x:c>
      <x:c r="B16" t="str">
        <x:v>YES</x:v>
      </x:c>
      <x:c r="C16" t="str"/>
      <x:c r="D16" t="str">
        <x:v>OFFER-914F68DB47B5</x:v>
      </x:c>
      <x:c r="E16" t="str">
        <x:v>SPEC-4A1D73AE37C6</x:v>
      </x:c>
      <x:c r="F16" t="str">
        <x:v>HINGES</x:v>
      </x:c>
      <x:c r="G16" t="str">
        <x:v>CONTINUOUS</x:v>
      </x:c>
      <x:c r="H16" t="str">
        <x:v>ABH</x:v>
      </x:c>
      <x:c r="I16" t="str">
        <x:v>7'</x:v>
      </x:c>
      <x:c r="J16" t="str">
        <x:v>FULL SURF</x:v>
      </x:c>
      <x:c r="K16" t="str">
        <x:v>-</x:v>
      </x:c>
      <x:c r="L16" t="str">
        <x:v>CLEAR AN</x:v>
      </x:c>
      <x:c r="M16" t="str"/>
      <x:c r="N16" t="str"/>
      <x:c r="O16" s="54"/>
      <x:c r="P16" t="str"/>
    </x:row>
    <x:row r="17" ht="15" hidden="0" customHeight="1">
      <x:c r="A17" t="n">
        <x:v>19</x:v>
      </x:c>
      <x:c r="B17" t="str">
        <x:v>YES</x:v>
      </x:c>
      <x:c r="C17" t="str"/>
      <x:c r="D17" t="str">
        <x:v>OFFER-8BD47D058332</x:v>
      </x:c>
      <x:c r="E17" t="str">
        <x:v>SPEC-297A925280A3</x:v>
      </x:c>
      <x:c r="F17" t="str">
        <x:v>HINGES</x:v>
      </x:c>
      <x:c r="G17" t="str">
        <x:v>CONTINUOUS</x:v>
      </x:c>
      <x:c r="H17" t="str">
        <x:v>ABH</x:v>
      </x:c>
      <x:c r="I17" t="str">
        <x:v>6'8</x:v>
      </x:c>
      <x:c r="J17" t="str">
        <x:v>FULL SURF</x:v>
      </x:c>
      <x:c r="K17" t="str">
        <x:v>-</x:v>
      </x:c>
      <x:c r="L17" t="str">
        <x:v>CLEAR AN</x:v>
      </x:c>
      <x:c r="M17" t="str"/>
      <x:c r="N17" t="str"/>
      <x:c r="O17" s="54"/>
      <x:c r="P17" t="str"/>
    </x:row>
    <x:row r="18" ht="15" hidden="0" customHeight="1">
      <x:c r="A18" t="n">
        <x:v>20</x:v>
      </x:c>
      <x:c r="B18" t="str">
        <x:v>YES</x:v>
      </x:c>
      <x:c r="C18" t="str"/>
      <x:c r="D18" t="str">
        <x:v>OFFER-679CD343FB67</x:v>
      </x:c>
      <x:c r="E18" t="str">
        <x:v>SPEC-3AC38DD8BDA3</x:v>
      </x:c>
      <x:c r="F18" t="str">
        <x:v>HINGES</x:v>
      </x:c>
      <x:c r="G18" t="str">
        <x:v>CONTINUOUS</x:v>
      </x:c>
      <x:c r="H18" t="str">
        <x:v>NGP</x:v>
      </x:c>
      <x:c r="I18" t="str">
        <x:v>7'</x:v>
      </x:c>
      <x:c r="J18" t="str">
        <x:v>FULL MORT</x:v>
      </x:c>
      <x:c r="K18" t="str"/>
      <x:c r="L18" t="str">
        <x:v>CLEAR AN</x:v>
      </x:c>
      <x:c r="M18" t="str">
        <x:v>HD2400</x:v>
      </x:c>
      <x:c r="N18" t="str"/>
      <x:c r="O18" s="54"/>
      <x:c r="P18" t="str"/>
    </x:row>
    <x:row r="19" ht="15" hidden="0" customHeight="1">
      <x:c r="A19" t="n">
        <x:v>21</x:v>
      </x:c>
      <x:c r="B19" t="str">
        <x:v>YES</x:v>
      </x:c>
      <x:c r="C19" t="str"/>
      <x:c r="D19" t="str">
        <x:v>OFFER-F1B38E8F678D</x:v>
      </x:c>
      <x:c r="E19" t="str">
        <x:v>SPEC-4A1D73AE37C6</x:v>
      </x:c>
      <x:c r="F19" t="str">
        <x:v>HINGES</x:v>
      </x:c>
      <x:c r="G19" t="str">
        <x:v>CONTINUOUS</x:v>
      </x:c>
      <x:c r="H19" t="str">
        <x:v>ABH</x:v>
      </x:c>
      <x:c r="I19" t="str">
        <x:v>FULL SURF</x:v>
      </x:c>
      <x:c r="J19" t="str">
        <x:v>FULL SURF</x:v>
      </x:c>
      <x:c r="K19" t="str"/>
      <x:c r="L19" t="str">
        <x:v>CLEAR AN</x:v>
      </x:c>
      <x:c r="M19" t="str"/>
      <x:c r="N19" t="str"/>
      <x:c r="O19" s="54"/>
      <x:c r="P19" t="str"/>
    </x:row>
    <x:row r="20" ht="15" hidden="0" customHeight="1">
      <x:c r="A20" t="n">
        <x:v>22</x:v>
      </x:c>
      <x:c r="B20" t="str">
        <x:v>YES</x:v>
      </x:c>
      <x:c r="C20" t="str"/>
      <x:c r="D20" t="str">
        <x:v>OFFER-48E947663F8B</x:v>
      </x:c>
      <x:c r="E20" t="str">
        <x:v>SPEC-3AC38DD8BDA3</x:v>
      </x:c>
      <x:c r="F20" t="str">
        <x:v>HINGES</x:v>
      </x:c>
      <x:c r="G20" t="str">
        <x:v>CONTINUOUS</x:v>
      </x:c>
      <x:c r="H20" t="str">
        <x:v>ABH</x:v>
      </x:c>
      <x:c r="I20" t="str">
        <x:v>EZ</x:v>
      </x:c>
      <x:c r="J20" t="str">
        <x:v>FULL MORT</x:v>
      </x:c>
      <x:c r="K20" t="str"/>
      <x:c r="L20" t="str">
        <x:v>CLEAR AN</x:v>
      </x:c>
      <x:c r="M20" t="str"/>
      <x:c r="N20" t="str"/>
      <x:c r="O20" s="54"/>
      <x:c r="P20" t="str"/>
    </x:row>
    <x:row r="21" ht="15" hidden="0" customHeight="1">
      <x:c r="A21" t="n">
        <x:v>23</x:v>
      </x:c>
      <x:c r="B21" t="str">
        <x:v>YES</x:v>
      </x:c>
      <x:c r="C21" t="str"/>
      <x:c r="D21" t="str">
        <x:v>OFFER-092AAC2B2C23</x:v>
      </x:c>
      <x:c r="E21" t="str">
        <x:v>SPEC-3AC38DD8BDA3</x:v>
      </x:c>
      <x:c r="F21" t="str">
        <x:v>HINGES</x:v>
      </x:c>
      <x:c r="G21" t="str">
        <x:v>CONTINUOUS</x:v>
      </x:c>
      <x:c r="H21" t="str">
        <x:v>DH</x:v>
      </x:c>
      <x:c r="I21" t="str">
        <x:v>8'</x:v>
      </x:c>
      <x:c r="J21" t="str">
        <x:v>FULL MORT</x:v>
      </x:c>
      <x:c r="K21" t="str"/>
      <x:c r="L21" t="str">
        <x:v>CLEAR AN</x:v>
      </x:c>
      <x:c r="M21" t="str"/>
      <x:c r="N21" t="str"/>
      <x:c r="O21" s="54"/>
      <x:c r="P21" t="str"/>
    </x:row>
    <x:row r="22" ht="15" hidden="0" customHeight="1">
      <x:c r="A22" t="n">
        <x:v>24</x:v>
      </x:c>
      <x:c r="B22" t="str">
        <x:v>YES</x:v>
      </x:c>
      <x:c r="C22" t="str"/>
      <x:c r="D22" t="str">
        <x:v>OFFER-E2B5ABDA3D82</x:v>
      </x:c>
      <x:c r="E22" t="str">
        <x:v>SPEC-3AC38DD8BDA3</x:v>
      </x:c>
      <x:c r="F22" t="str">
        <x:v>HINGES</x:v>
      </x:c>
      <x:c r="G22" t="str">
        <x:v>CONTINUOUS</x:v>
      </x:c>
      <x:c r="H22" t="str">
        <x:v>DH</x:v>
      </x:c>
      <x:c r="I22" t="str">
        <x:v>7'</x:v>
      </x:c>
      <x:c r="J22" t="str">
        <x:v>FULL MORT</x:v>
      </x:c>
      <x:c r="K22" t="str"/>
      <x:c r="L22" t="str">
        <x:v>CLEAR AN</x:v>
      </x:c>
      <x:c r="M22" t="str"/>
      <x:c r="N22" t="str"/>
      <x:c r="O22" s="54"/>
      <x:c r="P22" t="str"/>
    </x:row>
    <x:row r="23" ht="15" hidden="0" customHeight="1">
      <x:c r="A23" t="n">
        <x:v>25</x:v>
      </x:c>
      <x:c r="B23" t="str">
        <x:v>YES</x:v>
      </x:c>
      <x:c r="C23" t="str"/>
      <x:c r="D23" t="str">
        <x:v>OFFER-0EC3718493B9</x:v>
      </x:c>
      <x:c r="E23" t="str">
        <x:v>SPEC-F0BF5C9B897E</x:v>
      </x:c>
      <x:c r="F23" t="str">
        <x:v>HINGES</x:v>
      </x:c>
      <x:c r="G23" t="str">
        <x:v>CONTINUOUS</x:v>
      </x:c>
      <x:c r="H23" t="str">
        <x:v>DH</x:v>
      </x:c>
      <x:c r="I23" t="str">
        <x:v>6'8</x:v>
      </x:c>
      <x:c r="J23" t="str">
        <x:v>FULL MORT</x:v>
      </x:c>
      <x:c r="K23" t="str"/>
      <x:c r="L23" t="str">
        <x:v>CLEAR AN</x:v>
      </x:c>
      <x:c r="M23" t="str"/>
      <x:c r="N23" t="str"/>
      <x:c r="O23" s="54"/>
      <x:c r="P23" t="str"/>
    </x:row>
    <x:row r="24" ht="15" hidden="0" customHeight="1">
      <x:c r="A24" t="n">
        <x:v>26</x:v>
      </x:c>
      <x:c r="B24" t="str">
        <x:v>YES</x:v>
      </x:c>
      <x:c r="C24" t="str"/>
      <x:c r="D24" t="str">
        <x:v>OFFER-A4B80386A96D</x:v>
      </x:c>
      <x:c r="E24" t="str">
        <x:v>SPEC-0C603B3070A1</x:v>
      </x:c>
      <x:c r="F24" t="str">
        <x:v>HINGES</x:v>
      </x:c>
      <x:c r="G24" t="str">
        <x:v>CONTINUOUS</x:v>
      </x:c>
      <x:c r="H24" t="str"/>
      <x:c r="I24" t="str"/>
      <x:c r="J24" t="str"/>
      <x:c r="K24" t="str"/>
      <x:c r="L24" t="str"/>
      <x:c r="M24" t="str"/>
      <x:c r="N24" t="str"/>
      <x:c r="O24" s="54"/>
      <x:c r="P24" t="str"/>
    </x:row>
    <x:row r="25" ht="15" hidden="0" customHeight="1">
      <x:c r="A25" t="n">
        <x:v>28</x:v>
      </x:c>
      <x:c r="B25" t="str">
        <x:v>YES</x:v>
      </x:c>
      <x:c r="C25" t="str"/>
      <x:c r="D25" t="str">
        <x:v>OFFER-3F19711692CF</x:v>
      </x:c>
      <x:c r="E25" t="str">
        <x:v>SPEC-6525459ED4F5</x:v>
      </x:c>
      <x:c r="F25" t="str">
        <x:v>HINGES</x:v>
      </x:c>
      <x:c r="G25" t="str">
        <x:v>CONTINUOS PIN</x:v>
      </x:c>
      <x:c r="H25" t="str">
        <x:v>ABH</x:v>
      </x:c>
      <x:c r="I25" t="str">
        <x:v>7'</x:v>
      </x:c>
      <x:c r="J25" t="str">
        <x:v>FULL MORT</x:v>
      </x:c>
      <x:c r="K25" t="str">
        <x:v>12 GAUGE</x:v>
      </x:c>
      <x:c r="L25" t="str">
        <x:v>304 SS</x:v>
      </x:c>
      <x:c r="M25" t="str">
        <x:v>A5500</x:v>
      </x:c>
      <x:c r="N25" t="str"/>
      <x:c r="O25" s="54"/>
      <x:c r="P25" t="str"/>
    </x:row>
    <x:row r="26" ht="15" hidden="0" customHeight="1">
      <x:c r="A26" t="n">
        <x:v>29</x:v>
      </x:c>
      <x:c r="B26" t="str">
        <x:v>YES</x:v>
      </x:c>
      <x:c r="C26" t="str"/>
      <x:c r="D26" t="str">
        <x:v>OFFER-938E2254B25D</x:v>
      </x:c>
      <x:c r="E26" t="str">
        <x:v>SPEC-6525459ED4F5</x:v>
      </x:c>
      <x:c r="F26" t="str">
        <x:v>HINGES</x:v>
      </x:c>
      <x:c r="G26" t="str">
        <x:v>CONTINUOS PIN</x:v>
      </x:c>
      <x:c r="H26" t="str">
        <x:v>ABH</x:v>
      </x:c>
      <x:c r="I26" t="str">
        <x:v>8'</x:v>
      </x:c>
      <x:c r="J26" t="str">
        <x:v>FULL MORT</x:v>
      </x:c>
      <x:c r="K26" t="str">
        <x:v>12 GAUGE</x:v>
      </x:c>
      <x:c r="L26" t="str">
        <x:v>304 SS</x:v>
      </x:c>
      <x:c r="M26" t="str"/>
      <x:c r="N26" t="str"/>
      <x:c r="O26" s="54"/>
      <x:c r="P26" t="str"/>
    </x:row>
    <x:row r="27" ht="15" hidden="0" customHeight="1">
      <x:c r="A27" t="n">
        <x:v>31</x:v>
      </x:c>
      <x:c r="B27" t="str">
        <x:v>YES</x:v>
      </x:c>
      <x:c r="C27" t="str"/>
      <x:c r="D27" t="str">
        <x:v>OFFER-C73B3E06763A</x:v>
      </x:c>
      <x:c r="E27" t="str">
        <x:v>SPEC-73112C7FD382</x:v>
      </x:c>
      <x:c r="F27" t="str">
        <x:v>HINGES</x:v>
      </x:c>
      <x:c r="G27" t="str">
        <x:v>POWER TRSFR</x:v>
      </x:c>
      <x:c r="H27" t="str">
        <x:v>DH</x:v>
      </x:c>
      <x:c r="I27" t="str">
        <x:v>4.5 * 4.5</x:v>
      </x:c>
      <x:c r="J27" t="str">
        <x:v>4-28</x:v>
      </x:c>
      <x:c r="K27" t="str">
        <x:v>0.134"</x:v>
      </x:c>
      <x:c r="L27" t="str">
        <x:v>304 SS</x:v>
      </x:c>
      <x:c r="M27" t="str">
        <x:v>78094088 - ETW4-BB5 4.5 x 4.5 (4 - 28 Ga. wires)</x:v>
      </x:c>
      <x:c r="N27" t="str"/>
      <x:c r="O27" s="54"/>
      <x:c r="P27" t="str"/>
    </x:row>
    <x:row r="28" ht="15" hidden="0" customHeight="1">
      <x:c r="A28" t="n">
        <x:v>32</x:v>
      </x:c>
      <x:c r="B28" t="str">
        <x:v>YES</x:v>
      </x:c>
      <x:c r="C28" t="str"/>
      <x:c r="D28" t="str">
        <x:v>OFFER-35083A9738EB</x:v>
      </x:c>
      <x:c r="E28" t="str">
        <x:v>SPEC-430A2DA8C9BC</x:v>
      </x:c>
      <x:c r="F28" t="str">
        <x:v>HINGES</x:v>
      </x:c>
      <x:c r="G28" t="str">
        <x:v>POWER TRSFR</x:v>
      </x:c>
      <x:c r="H28" t="str">
        <x:v>DH</x:v>
      </x:c>
      <x:c r="I28" t="str">
        <x:v>4.5 * 4.5</x:v>
      </x:c>
      <x:c r="J28" t="str">
        <x:v>4-28</x:v>
      </x:c>
      <x:c r="K28" t="str">
        <x:v>0.134"</x:v>
      </x:c>
      <x:c r="L28" t="str">
        <x:v>316 SS</x:v>
      </x:c>
      <x:c r="M28" t="str">
        <x:v>78004502 - ETW4-BB5 4.5 x 4.5 (4 - 28 Ga. wires)</x:v>
      </x:c>
      <x:c r="N28" t="str"/>
      <x:c r="O28" s="54"/>
      <x:c r="P28" t="str"/>
    </x:row>
    <x:row r="29" ht="15" hidden="0" customHeight="1">
      <x:c r="A29" t="n">
        <x:v>33</x:v>
      </x:c>
      <x:c r="B29" t="str">
        <x:v>YES</x:v>
      </x:c>
      <x:c r="C29" t="str"/>
      <x:c r="D29" t="str">
        <x:v>OFFER-D0B41710DFA6</x:v>
      </x:c>
      <x:c r="E29" t="str">
        <x:v>SPEC-B2224CB4D0BB</x:v>
      </x:c>
      <x:c r="F29" t="str">
        <x:v>HINGES</x:v>
      </x:c>
      <x:c r="G29" t="str">
        <x:v>POWER TRSFR</x:v>
      </x:c>
      <x:c r="H29" t="str">
        <x:v>DH</x:v>
      </x:c>
      <x:c r="I29" t="str">
        <x:v>4.5 * 4.5</x:v>
      </x:c>
      <x:c r="J29" t="str">
        <x:v>8-28</x:v>
      </x:c>
      <x:c r="K29" t="str">
        <x:v>0.134"</x:v>
      </x:c>
      <x:c r="L29" t="str">
        <x:v>304 SS</x:v>
      </x:c>
      <x:c r="M29" t="str">
        <x:v>78000280 - ETW8-BB5 4.5 x 4.5 (8 - 28 Ga. wires)</x:v>
      </x:c>
      <x:c r="N29" t="str"/>
      <x:c r="O29" s="54"/>
      <x:c r="P29" t="str"/>
    </x:row>
    <x:row r="30" ht="15" hidden="0" customHeight="1">
      <x:c r="A30" t="n">
        <x:v>34</x:v>
      </x:c>
      <x:c r="B30" t="str">
        <x:v>YES</x:v>
      </x:c>
      <x:c r="C30" t="str"/>
      <x:c r="D30" t="str">
        <x:v>OFFER-A01737356EFB</x:v>
      </x:c>
      <x:c r="E30" t="str">
        <x:v>SPEC-C7431F5B45E4</x:v>
      </x:c>
      <x:c r="F30" t="str">
        <x:v>HINGES</x:v>
      </x:c>
      <x:c r="G30" t="str">
        <x:v>POWER TRSFR</x:v>
      </x:c>
      <x:c r="H30" t="str">
        <x:v>DH</x:v>
      </x:c>
      <x:c r="I30" t="str">
        <x:v>4.5 * 4.5</x:v>
      </x:c>
      <x:c r="J30" t="str">
        <x:v>8-28</x:v>
      </x:c>
      <x:c r="K30" t="str">
        <x:v>0.134"</x:v>
      </x:c>
      <x:c r="L30" t="str">
        <x:v>316 SS</x:v>
      </x:c>
      <x:c r="M30" t="str">
        <x:v>78094099 - ETW8-BB5 4.5 x 4.5 (8 - 28 Ga. wires)</x:v>
      </x:c>
      <x:c r="N30" t="str"/>
      <x:c r="O30" s="54"/>
      <x:c r="P30" t="str"/>
    </x:row>
    <x:row r="31" ht="15" hidden="0" customHeight="1">
      <x:c r="A31" t="n">
        <x:v>35</x:v>
      </x:c>
      <x:c r="B31" t="str">
        <x:v>YES</x:v>
      </x:c>
      <x:c r="C31" t="str"/>
      <x:c r="D31" t="str">
        <x:v>OFFER-642F3EAA487D</x:v>
      </x:c>
      <x:c r="E31" t="str">
        <x:v>SPEC-6F764A8CF8EF</x:v>
      </x:c>
      <x:c r="F31" t="str">
        <x:v>HINGES</x:v>
      </x:c>
      <x:c r="G31" t="str">
        <x:v>POWER TRSFR</x:v>
      </x:c>
      <x:c r="H31" t="str">
        <x:v>DH</x:v>
      </x:c>
      <x:c r="I31" t="str">
        <x:v>4.5 * 4.5</x:v>
      </x:c>
      <x:c r="J31" t="str">
        <x:v>4-28</x:v>
      </x:c>
      <x:c r="K31" t="str">
        <x:v>0.180"</x:v>
      </x:c>
      <x:c r="L31" t="str">
        <x:v>304SS</x:v>
      </x:c>
      <x:c r="M31" t="str">
        <x:v>78094093 - ETW4-BB5-HW 4.5 x 4.5 (4 - 28 Ga. wires)</x:v>
      </x:c>
      <x:c r="N31" t="str">
        <x:v>847-00649</x:v>
      </x:c>
      <x:c r="O31" s="54"/>
      <x:c r="P31" t="str"/>
    </x:row>
    <x:row r="32" ht="15" hidden="0" customHeight="1">
      <x:c r="A32" t="n">
        <x:v>36</x:v>
      </x:c>
      <x:c r="B32" t="str">
        <x:v>YES</x:v>
      </x:c>
      <x:c r="C32" t="str"/>
      <x:c r="D32" t="str">
        <x:v>OFFER-CECC89A719E7</x:v>
      </x:c>
      <x:c r="E32" t="str">
        <x:v>SPEC-AA846527D5AE</x:v>
      </x:c>
      <x:c r="F32" t="str">
        <x:v>HINGES</x:v>
      </x:c>
      <x:c r="G32" t="str">
        <x:v>POWER TRSFR</x:v>
      </x:c>
      <x:c r="H32" t="str">
        <x:v>DH</x:v>
      </x:c>
      <x:c r="I32" t="str">
        <x:v>4.5 * 4.5</x:v>
      </x:c>
      <x:c r="J32" t="str">
        <x:v>4-28</x:v>
      </x:c>
      <x:c r="K32" t="str">
        <x:v>0.180"</x:v>
      </x:c>
      <x:c r="L32" t="str">
        <x:v>316 SS</x:v>
      </x:c>
      <x:c r="M32" t="str">
        <x:v>78094094 - ETW4-BB5-HW 4.5 x 4.5 (4 - 28 Ga. wires)</x:v>
      </x:c>
      <x:c r="N32" t="str"/>
      <x:c r="O32" s="54"/>
      <x:c r="P32" t="str"/>
    </x:row>
    <x:row r="33" ht="15" hidden="0" customHeight="1">
      <x:c r="A33" t="n">
        <x:v>37</x:v>
      </x:c>
      <x:c r="B33" t="str">
        <x:v>YES</x:v>
      </x:c>
      <x:c r="C33" t="str"/>
      <x:c r="D33" t="str">
        <x:v>OFFER-1026524A314D</x:v>
      </x:c>
      <x:c r="E33" t="str">
        <x:v>SPEC-BE8831B937F5</x:v>
      </x:c>
      <x:c r="F33" t="str">
        <x:v>HINGES</x:v>
      </x:c>
      <x:c r="G33" t="str">
        <x:v>POWER TRSFR</x:v>
      </x:c>
      <x:c r="H33" t="str">
        <x:v>DH</x:v>
      </x:c>
      <x:c r="I33" t="str">
        <x:v>4.5 * 4.5</x:v>
      </x:c>
      <x:c r="J33" t="str">
        <x:v>8-28</x:v>
      </x:c>
      <x:c r="K33" t="str">
        <x:v>0.180"</x:v>
      </x:c>
      <x:c r="L33" t="str">
        <x:v>304 SS</x:v>
      </x:c>
      <x:c r="M33" t="str">
        <x:v>78000279 - ETW8-BB5-HW 4.5 x 4.5 (8 - 28 Ga. wires)</x:v>
      </x:c>
      <x:c r="N33" t="str"/>
      <x:c r="O33" s="54"/>
      <x:c r="P33" t="str"/>
    </x:row>
    <x:row r="34" ht="15" hidden="0" customHeight="1">
      <x:c r="A34" t="n">
        <x:v>38</x:v>
      </x:c>
      <x:c r="B34" t="str">
        <x:v>YES</x:v>
      </x:c>
      <x:c r="C34" t="str"/>
      <x:c r="D34" t="str">
        <x:v>OFFER-05DCDA4E628E</x:v>
      </x:c>
      <x:c r="E34" t="str">
        <x:v>SPEC-6148A16A1DC5</x:v>
      </x:c>
      <x:c r="F34" t="str">
        <x:v>HINGES</x:v>
      </x:c>
      <x:c r="G34" t="str">
        <x:v>POWER TRSFR</x:v>
      </x:c>
      <x:c r="H34" t="str">
        <x:v>DH</x:v>
      </x:c>
      <x:c r="I34" t="str">
        <x:v>4.5 * 4.5</x:v>
      </x:c>
      <x:c r="J34" t="str">
        <x:v>8-28</x:v>
      </x:c>
      <x:c r="K34" t="str">
        <x:v>0.180"</x:v>
      </x:c>
      <x:c r="L34" t="str">
        <x:v>316 SS</x:v>
      </x:c>
      <x:c r="M34" t="str">
        <x:v>78094104 - ETW8-BB5-HW 4.5 x 4.5 (8 - 28 Ga. wires)</x:v>
      </x:c>
      <x:c r="N34" t="str"/>
      <x:c r="O34" s="54"/>
      <x:c r="P34" t="str"/>
    </x:row>
    <x:row r="35" ht="15" hidden="0" customHeight="1">
      <x:c r="A35" t="n">
        <x:v>39</x:v>
      </x:c>
      <x:c r="B35" t="str">
        <x:v>YES</x:v>
      </x:c>
      <x:c r="C35" t="str"/>
      <x:c r="D35" t="str">
        <x:v>OFFER-EE4737AD53DC</x:v>
      </x:c>
      <x:c r="E35" t="str">
        <x:v>SPEC-670C4978BBE2</x:v>
      </x:c>
      <x:c r="F35" t="str">
        <x:v>HINGES</x:v>
      </x:c>
      <x:c r="G35" t="str">
        <x:v>POWER TRSFR</x:v>
      </x:c>
      <x:c r="H35" t="str">
        <x:v>PHG</x:v>
      </x:c>
      <x:c r="I35" t="str">
        <x:v>4.5 * 4.5</x:v>
      </x:c>
      <x:c r="J35" t="str">
        <x:v>2-18_2-26</x:v>
      </x:c>
      <x:c r="K35" t="str">
        <x:v>.180"</x:v>
      </x:c>
      <x:c r="L35" t="str">
        <x:v>304 SS</x:v>
      </x:c>
      <x:c r="M35" t="str">
        <x:v>CH4632E 4H ELR</x:v>
      </x:c>
      <x:c r="N35" t="str"/>
      <x:c r="O35" s="54"/>
      <x:c r="P35" t="str"/>
    </x:row>
    <x:row r="36" ht="15" hidden="0" customHeight="1">
      <x:c r="A36" t="n">
        <x:v>40</x:v>
      </x:c>
      <x:c r="B36" t="str">
        <x:v>YES</x:v>
      </x:c>
      <x:c r="C36" t="str"/>
      <x:c r="D36" t="str">
        <x:v>OFFER-1B610C4D1DE7</x:v>
      </x:c>
      <x:c r="E36" t="str">
        <x:v>SPEC-3D0B6F726096</x:v>
      </x:c>
      <x:c r="F36" t="str">
        <x:v>HINGES</x:v>
      </x:c>
      <x:c r="G36" t="str">
        <x:v>POWER TRSFR</x:v>
      </x:c>
      <x:c r="H36" t="str">
        <x:v>IVES</x:v>
      </x:c>
      <x:c r="I36" t="str">
        <x:v>4.5 * 4.5</x:v>
      </x:c>
      <x:c r="J36" t="str">
        <x:v>8 wire</x:v>
      </x:c>
      <x:c r="K36" t="str">
        <x:v>.180"</x:v>
      </x:c>
      <x:c r="L36" t="str">
        <x:v>304 SS</x:v>
      </x:c>
      <x:c r="M36" t="str">
        <x:v>5BB1HW 4.5X4.5 630 TW8 CON</x:v>
      </x:c>
      <x:c r="N36" t="str"/>
      <x:c r="O36" s="54" t="n">
        <x:v>556.5</x:v>
      </x:c>
      <x:c r="P36" t="str"/>
    </x:row>
    <x:row r="37" ht="15" hidden="0" customHeight="1">
      <x:c r="A37" t="n">
        <x:v>41</x:v>
      </x:c>
      <x:c r="B37" t="str">
        <x:v>YES</x:v>
      </x:c>
      <x:c r="C37" t="str"/>
      <x:c r="D37" t="str">
        <x:v>OFFER-77EE191595D7</x:v>
      </x:c>
      <x:c r="E37" t="str">
        <x:v>SPEC-3D0B6F726096</x:v>
      </x:c>
      <x:c r="F37" t="str">
        <x:v>HINGES</x:v>
      </x:c>
      <x:c r="G37" t="str">
        <x:v>POWER TRSFR</x:v>
      </x:c>
      <x:c r="H37" t="str">
        <x:v>IVES</x:v>
      </x:c>
      <x:c r="I37" t="str">
        <x:v>4.5 * 4.5</x:v>
      </x:c>
      <x:c r="J37" t="str">
        <x:v>8 wire</x:v>
      </x:c>
      <x:c r="K37" t="str">
        <x:v>.180"</x:v>
      </x:c>
      <x:c r="L37" t="str">
        <x:v>304 SS</x:v>
      </x:c>
      <x:c r="M37" t="str"/>
      <x:c r="N37" t="str">
        <x:v>847-01799</x:v>
      </x:c>
      <x:c r="O37" s="54" t="n">
        <x:v>235</x:v>
      </x:c>
      <x:c r="P37" t="str"/>
    </x:row>
    <x:row r="38" ht="15" hidden="0" customHeight="1">
      <x:c r="A38" t="n">
        <x:v>43</x:v>
      </x:c>
      <x:c r="B38" t="str">
        <x:v>YES</x:v>
      </x:c>
      <x:c r="C38" t="str"/>
      <x:c r="D38" t="str">
        <x:v>OFFER-B893CCBA816C</x:v>
      </x:c>
      <x:c r="E38" t="str">
        <x:v>SPEC-34F37FF68132</x:v>
      </x:c>
      <x:c r="F38" t="str">
        <x:v>CLOSER</x:v>
      </x:c>
      <x:c r="G38" t="str">
        <x:v>416</x:v>
      </x:c>
      <x:c r="H38" t="str">
        <x:v>DH</x:v>
      </x:c>
      <x:c r="I38" t="str">
        <x:v>416 NON_HO</x:v>
      </x:c>
      <x:c r="J38" t="str">
        <x:v>INSTITUTIONAL</x:v>
      </x:c>
      <x:c r="K38" t="str">
        <x:v>HD GRADE 1</x:v>
      </x:c>
      <x:c r="L38" t="str">
        <x:v>CAST BODY</x:v>
      </x:c>
      <x:c r="M38" t="str">
        <x:v>78000015 - 416 Door Closer (size 1-6)</x:v>
      </x:c>
      <x:c r="N38" t="str"/>
      <x:c r="O38" s="54"/>
      <x:c r="P38" t="str"/>
    </x:row>
    <x:row r="39" ht="15" hidden="0" customHeight="1">
      <x:c r="A39" t="n">
        <x:v>44</x:v>
      </x:c>
      <x:c r="B39" t="str">
        <x:v>YES</x:v>
      </x:c>
      <x:c r="C39" t="str"/>
      <x:c r="D39" t="str">
        <x:v>OFFER-936427C75E0B</x:v>
      </x:c>
      <x:c r="E39" t="str">
        <x:v>SPEC-163ABA1E6026</x:v>
      </x:c>
      <x:c r="F39" t="str">
        <x:v>CLOSER</x:v>
      </x:c>
      <x:c r="G39" t="str">
        <x:v>416</x:v>
      </x:c>
      <x:c r="H39" t="str">
        <x:v>DH</x:v>
      </x:c>
      <x:c r="I39" t="str">
        <x:v>416 H0 ARM</x:v>
      </x:c>
      <x:c r="J39" t="str">
        <x:v>INSTITUTION</x:v>
      </x:c>
      <x:c r="K39" t="str">
        <x:v>HD GRADE 1</x:v>
      </x:c>
      <x:c r="L39" t="str">
        <x:v>AL SPRAY</x:v>
      </x:c>
      <x:c r="M39" t="str">
        <x:v>78000767 - 416 HD Hold Open Arm w/ Deadstop</x:v>
      </x:c>
      <x:c r="N39" t="str"/>
      <x:c r="O39" s="54"/>
      <x:c r="P39" t="str"/>
    </x:row>
    <x:row r="40" ht="15" hidden="0" customHeight="1">
      <x:c r="A40" t="n">
        <x:v>45</x:v>
      </x:c>
      <x:c r="B40" t="str">
        <x:v>YES</x:v>
      </x:c>
      <x:c r="C40" t="str"/>
      <x:c r="D40" t="str">
        <x:v>OFFER-1020E6CB214F</x:v>
      </x:c>
      <x:c r="E40" t="str">
        <x:v>SPEC-D20D6C31AF5E</x:v>
      </x:c>
      <x:c r="F40" t="str">
        <x:v>CLOSER</x:v>
      </x:c>
      <x:c r="G40" t="str">
        <x:v>316</x:v>
      </x:c>
      <x:c r="H40" t="str">
        <x:v>DH</x:v>
      </x:c>
      <x:c r="I40" t="str">
        <x:v>316 NON HO</x:v>
      </x:c>
      <x:c r="J40" t="str">
        <x:v>MED_HDUTY</x:v>
      </x:c>
      <x:c r="K40" t="str">
        <x:v>SD GRADE 1</x:v>
      </x:c>
      <x:c r="L40" t="str">
        <x:v>AL BODY</x:v>
      </x:c>
      <x:c r="M40" t="str">
        <x:v>78000738 - 316 Door Closer (size 1-6)</x:v>
      </x:c>
      <x:c r="N40" t="str"/>
      <x:c r="O40" s="54"/>
      <x:c r="P40" t="str"/>
    </x:row>
    <x:row r="41" ht="15" hidden="0" customHeight="1">
      <x:c r="A41" t="n">
        <x:v>46</x:v>
      </x:c>
      <x:c r="B41" t="str">
        <x:v>YES</x:v>
      </x:c>
      <x:c r="C41" t="str"/>
      <x:c r="D41" t="str">
        <x:v>OFFER-9F9C590BC14A</x:v>
      </x:c>
      <x:c r="E41" t="str">
        <x:v>SPEC-2A2BB6A51907</x:v>
      </x:c>
      <x:c r="F41" t="str">
        <x:v>CLOSER</x:v>
      </x:c>
      <x:c r="G41" t="str">
        <x:v>316</x:v>
      </x:c>
      <x:c r="H41" t="str">
        <x:v>DH</x:v>
      </x:c>
      <x:c r="I41" t="str">
        <x:v>316 HO ARM</x:v>
      </x:c>
      <x:c r="J41" t="str">
        <x:v>MED_HDUTY</x:v>
      </x:c>
      <x:c r="K41" t="str">
        <x:v>SD GRADE 1</x:v>
      </x:c>
      <x:c r="L41" t="str">
        <x:v>AL SPRAY</x:v>
      </x:c>
      <x:c r="M41" t="str">
        <x:v>78000720 - 316 /116 Heavy Duty Arm w/ Deadstop</x:v>
      </x:c>
      <x:c r="N41" t="str"/>
      <x:c r="O41" s="54"/>
      <x:c r="P41" t="str"/>
    </x:row>
    <x:row r="42" ht="15" hidden="0" customHeight="1">
      <x:c r="A42" t="n">
        <x:v>47</x:v>
      </x:c>
      <x:c r="B42" t="str">
        <x:v>YES</x:v>
      </x:c>
      <x:c r="C42" t="str"/>
      <x:c r="D42" t="str">
        <x:v>OFFER-6A4FD294BC25</x:v>
      </x:c>
      <x:c r="E42" t="str">
        <x:v>SPEC-E002DFF25150</x:v>
      </x:c>
      <x:c r="F42" t="str">
        <x:v>CLOSER</x:v>
      </x:c>
      <x:c r="G42" t="str">
        <x:v>116</x:v>
      </x:c>
      <x:c r="H42" t="str">
        <x:v>DH</x:v>
      </x:c>
      <x:c r="I42" t="str">
        <x:v>116 NON HO</x:v>
      </x:c>
      <x:c r="J42" t="str">
        <x:v>LIGHT COMMERCIAL</x:v>
      </x:c>
      <x:c r="K42" t="str">
        <x:v>LT GRADE 1</x:v>
      </x:c>
      <x:c r="L42" t="str">
        <x:v>AL BODY</x:v>
      </x:c>
      <x:c r="M42" t="str">
        <x:v>78000691 - 116 Door Closer</x:v>
      </x:c>
      <x:c r="N42" t="str"/>
      <x:c r="O42" s="54"/>
      <x:c r="P42" t="str"/>
    </x:row>
    <x:row r="43" ht="15" hidden="0" customHeight="1">
      <x:c r="A43" t="n">
        <x:v>48</x:v>
      </x:c>
      <x:c r="B43" t="str">
        <x:v>YES</x:v>
      </x:c>
      <x:c r="C43" t="str"/>
      <x:c r="D43" t="str">
        <x:v>OFFER-0380400C1FB9</x:v>
      </x:c>
      <x:c r="E43" t="str">
        <x:v>SPEC-34F37FF68132</x:v>
      </x:c>
      <x:c r="F43" t="str">
        <x:v>CLOSER</x:v>
      </x:c>
      <x:c r="G43" t="str">
        <x:v>8000</x:v>
      </x:c>
      <x:c r="H43" t="str">
        <x:v>PHG</x:v>
      </x:c>
      <x:c r="I43" t="str">
        <x:v>8000</x:v>
      </x:c>
      <x:c r="J43" t="str">
        <x:v>INSTITUTIONAL</x:v>
      </x:c>
      <x:c r="K43" t="str">
        <x:v>HD GRADE 1</x:v>
      </x:c>
      <x:c r="L43" t="str">
        <x:v>CST BODY</x:v>
      </x:c>
      <x:c r="M43" t="str">
        <x:v>80DC689</x:v>
      </x:c>
      <x:c r="N43" t="str"/>
      <x:c r="O43" s="54" t="n">
        <x:v>177.04</x:v>
      </x:c>
      <x:c r="P43" t="str"/>
    </x:row>
    <x:row r="44" ht="15" hidden="0" customHeight="1">
      <x:c r="A44" t="n">
        <x:v>49</x:v>
      </x:c>
      <x:c r="B44" t="str">
        <x:v>YES</x:v>
      </x:c>
      <x:c r="C44" t="str"/>
      <x:c r="D44" t="str">
        <x:v>OFFER-D245A70B4EBF</x:v>
      </x:c>
      <x:c r="E44" t="str">
        <x:v>SPEC-34F37FF68132</x:v>
      </x:c>
      <x:c r="F44" t="str">
        <x:v>CLOSER</x:v>
      </x:c>
      <x:c r="G44" t="str">
        <x:v>8000</x:v>
      </x:c>
      <x:c r="H44" t="str">
        <x:v>PHG</x:v>
      </x:c>
      <x:c r="I44" t="str">
        <x:v>8000</x:v>
      </x:c>
      <x:c r="J44" t="str">
        <x:v>INSTITUTION</x:v>
      </x:c>
      <x:c r="K44" t="str">
        <x:v>HD GRADE 1</x:v>
      </x:c>
      <x:c r="L44" t="str">
        <x:v>CST BODY</x:v>
      </x:c>
      <x:c r="M44" t="str">
        <x:v>80DC689</x:v>
      </x:c>
      <x:c r="N44" t="str"/>
      <x:c r="O44" s="54" t="n">
        <x:v>122.72</x:v>
      </x:c>
      <x:c r="P44" t="str"/>
    </x:row>
    <x:row r="45" ht="15" hidden="0" customHeight="1">
      <x:c r="A45" t="n">
        <x:v>50</x:v>
      </x:c>
      <x:c r="B45" t="str">
        <x:v>YES</x:v>
      </x:c>
      <x:c r="C45" t="str"/>
      <x:c r="D45" t="str">
        <x:v>OFFER-78C39747F5FE</x:v>
      </x:c>
      <x:c r="E45" t="str">
        <x:v>SPEC-D20D6C31AF5E</x:v>
      </x:c>
      <x:c r="F45" t="str">
        <x:v>CLOSER</x:v>
      </x:c>
      <x:c r="G45" t="str">
        <x:v>6000</x:v>
      </x:c>
      <x:c r="H45" t="str">
        <x:v>PHG</x:v>
      </x:c>
      <x:c r="I45" t="str">
        <x:v>6000</x:v>
      </x:c>
      <x:c r="J45" t="str">
        <x:v>MED_HDUTY</x:v>
      </x:c>
      <x:c r="K45" t="str">
        <x:v>SD GRADE 1</x:v>
      </x:c>
      <x:c r="L45" t="str">
        <x:v>AL BODY</x:v>
      </x:c>
      <x:c r="M45" t="str">
        <x:v>60DC689</x:v>
      </x:c>
      <x:c r="N45" t="str"/>
      <x:c r="O45" s="54" t="n">
        <x:v>126.64</x:v>
      </x:c>
      <x:c r="P45" t="str"/>
    </x:row>
    <x:row r="46" ht="15" hidden="0" customHeight="1">
      <x:c r="A46" t="n">
        <x:v>51</x:v>
      </x:c>
      <x:c r="B46" t="str">
        <x:v>YES</x:v>
      </x:c>
      <x:c r="C46" t="str"/>
      <x:c r="D46" t="str">
        <x:v>OFFER-8D67FBF3B952</x:v>
      </x:c>
      <x:c r="E46" t="str">
        <x:v>SPEC-D20D6C31AF5E</x:v>
      </x:c>
      <x:c r="F46" t="str">
        <x:v>CLOSER</x:v>
      </x:c>
      <x:c r="G46" t="str">
        <x:v>6000</x:v>
      </x:c>
      <x:c r="H46" t="str">
        <x:v>PHG</x:v>
      </x:c>
      <x:c r="I46" t="str">
        <x:v>6000</x:v>
      </x:c>
      <x:c r="J46" t="str">
        <x:v>MED_HDUTY</x:v>
      </x:c>
      <x:c r="K46" t="str">
        <x:v>SD GRADE 1</x:v>
      </x:c>
      <x:c r="L46" t="str">
        <x:v>AL BODY</x:v>
      </x:c>
      <x:c r="M46" t="str">
        <x:v>60DC690</x:v>
      </x:c>
      <x:c r="N46" t="str"/>
      <x:c r="O46" s="54"/>
      <x:c r="P46" t="str"/>
    </x:row>
    <x:row r="47" ht="15" hidden="0" customHeight="1">
      <x:c r="A47" t="n">
        <x:v>53</x:v>
      </x:c>
      <x:c r="B47" t="str">
        <x:v>YES</x:v>
      </x:c>
      <x:c r="C47" t="str"/>
      <x:c r="D47" t="str">
        <x:v>OFFER-237D5F0EF0F7</x:v>
      </x:c>
      <x:c r="E47" t="str">
        <x:v>SPEC-5AD426F6A2C6</x:v>
      </x:c>
      <x:c r="F47" t="str">
        <x:v>CLOSER</x:v>
      </x:c>
      <x:c r="G47" t="str">
        <x:v>8916</x:v>
      </x:c>
      <x:c r="H47" t="str">
        <x:v>DK</x:v>
      </x:c>
      <x:c r="I47" t="str">
        <x:v>REG ARM</x:v>
      </x:c>
      <x:c r="J47" t="str">
        <x:v>INST REGULAR ARM</x:v>
      </x:c>
      <x:c r="K47" t="str">
        <x:v>AF89</x:v>
      </x:c>
      <x:c r="L47" t="str"/>
      <x:c r="M47" t="str">
        <x:v>8916-*-AF89-*-FC-*-DPK89-*-689</x:v>
      </x:c>
      <x:c r="N47" t="str"/>
      <x:c r="O47" s="54"/>
      <x:c r="P47" t="str"/>
    </x:row>
    <x:row r="48" ht="15" hidden="0" customHeight="1">
      <x:c r="A48" t="n">
        <x:v>54</x:v>
      </x:c>
      <x:c r="B48" t="str">
        <x:v>YES</x:v>
      </x:c>
      <x:c r="C48" t="str"/>
      <x:c r="D48" t="str">
        <x:v>OFFER-0A4F27CF4812</x:v>
      </x:c>
      <x:c r="E48" t="str">
        <x:v>SPEC-927A1E98A57A</x:v>
      </x:c>
      <x:c r="F48" t="str">
        <x:v>CLOSER</x:v>
      </x:c>
      <x:c r="G48" t="str">
        <x:v>8916-NFHD</x:v>
      </x:c>
      <x:c r="H48" t="str">
        <x:v>DK</x:v>
      </x:c>
      <x:c r="I48" t="str">
        <x:v>REG ARM</x:v>
      </x:c>
      <x:c r="J48" t="str">
        <x:v>INST REGULAR ARM NFHD</x:v>
      </x:c>
      <x:c r="K48" t="str">
        <x:v>AF89 NFHD</x:v>
      </x:c>
      <x:c r="L48" t="str"/>
      <x:c r="M48" t="str">
        <x:v>8916-*-AF89-*-FC-SN2-DPK89-NFHD-689</x:v>
      </x:c>
      <x:c r="N48" t="str"/>
      <x:c r="O48" s="54"/>
      <x:c r="P48" t="str"/>
    </x:row>
    <x:row r="49" ht="15" hidden="0" customHeight="1">
      <x:c r="A49" t="n">
        <x:v>55</x:v>
      </x:c>
      <x:c r="B49" t="str">
        <x:v>YES</x:v>
      </x:c>
      <x:c r="C49" t="str"/>
      <x:c r="D49" t="str">
        <x:v>OFFER-0436672F6ED0</x:v>
      </x:c>
      <x:c r="E49" t="str">
        <x:v>SPEC-ACD801228BB0</x:v>
      </x:c>
      <x:c r="F49" t="str">
        <x:v>CLOSER</x:v>
      </x:c>
      <x:c r="G49" t="str">
        <x:v>8916-DS</x:v>
      </x:c>
      <x:c r="H49" t="str">
        <x:v>DK</x:v>
      </x:c>
      <x:c r="I49" t="str">
        <x:v>NO HOLD CUSH</x:v>
      </x:c>
      <x:c r="J49" t="str">
        <x:v>INST DOOR SAVER</x:v>
      </x:c>
      <x:c r="K49" t="str">
        <x:v>DS</x:v>
      </x:c>
      <x:c r="L49" t="str"/>
      <x:c r="M49" t="str">
        <x:v>8916-*-DS-*-FC-SN2-DPK89-NFHD-689</x:v>
      </x:c>
      <x:c r="N49" t="str"/>
      <x:c r="O49" s="54"/>
      <x:c r="P49" t="str"/>
    </x:row>
    <x:row r="50" ht="15" hidden="0" customHeight="1">
      <x:c r="A50" t="n">
        <x:v>56</x:v>
      </x:c>
      <x:c r="B50" t="str">
        <x:v>YES</x:v>
      </x:c>
      <x:c r="C50" t="str"/>
      <x:c r="D50" t="str">
        <x:v>OFFER-317FD5B0AF83</x:v>
      </x:c>
      <x:c r="E50" t="str">
        <x:v>SPEC-BB70F917EE11</x:v>
      </x:c>
      <x:c r="F50" t="str">
        <x:v>CLOSER</x:v>
      </x:c>
      <x:c r="G50" t="str">
        <x:v>8916-DS-NFHD</x:v>
      </x:c>
      <x:c r="H50" t="str">
        <x:v>DK</x:v>
      </x:c>
      <x:c r="I50" t="str">
        <x:v>NO HOLD CUSH</x:v>
      </x:c>
      <x:c r="J50" t="str">
        <x:v>INST DOOR SAVER NFHD</x:v>
      </x:c>
      <x:c r="K50" t="str">
        <x:v>DS NFHD</x:v>
      </x:c>
      <x:c r="L50" t="str"/>
      <x:c r="M50" t="str">
        <x:v>8916-*-AF89-*-FC-SN2-DPK89-NFHD-689</x:v>
      </x:c>
      <x:c r="N50" t="str"/>
      <x:c r="O50" s="54"/>
      <x:c r="P50" t="str"/>
    </x:row>
    <x:row r="51" ht="15" hidden="0" customHeight="1">
      <x:c r="A51" t="n">
        <x:v>57</x:v>
      </x:c>
      <x:c r="B51" t="str">
        <x:v>YES</x:v>
      </x:c>
      <x:c r="C51" t="str"/>
      <x:c r="D51" t="str">
        <x:v>OFFER-CD8B6902C50E</x:v>
      </x:c>
      <x:c r="E51" t="str">
        <x:v>SPEC-31B6EA026CF7</x:v>
      </x:c>
      <x:c r="F51" t="str">
        <x:v>CLOSER</x:v>
      </x:c>
      <x:c r="G51" t="str">
        <x:v>8916-DST</x:v>
      </x:c>
      <x:c r="H51" t="str">
        <x:v>DK</x:v>
      </x:c>
      <x:c r="I51" t="str">
        <x:v>HO CUSH</x:v>
      </x:c>
      <x:c r="J51" t="str">
        <x:v>INST H-OPEN</x:v>
      </x:c>
      <x:c r="K51" t="str">
        <x:v>DST</x:v>
      </x:c>
      <x:c r="L51" t="str"/>
      <x:c r="M51" t="str">
        <x:v>8916-*-DST-*-FC-SN2-DPK89-*-689</x:v>
      </x:c>
      <x:c r="N51" t="str"/>
      <x:c r="O51" s="54"/>
      <x:c r="P51" t="str"/>
    </x:row>
    <x:row r="52" ht="15" hidden="0" customHeight="1">
      <x:c r="A52" t="n">
        <x:v>58</x:v>
      </x:c>
      <x:c r="B52" t="str">
        <x:v>YES</x:v>
      </x:c>
      <x:c r="C52" t="str"/>
      <x:c r="D52" t="str">
        <x:v>OFFER-FF50844A746B</x:v>
      </x:c>
      <x:c r="E52" t="str">
        <x:v>SPEC-84956FA5E7F7</x:v>
      </x:c>
      <x:c r="F52" t="str">
        <x:v>CLOSER</x:v>
      </x:c>
      <x:c r="G52" t="str">
        <x:v>8916-DST_NFHD</x:v>
      </x:c>
      <x:c r="H52" t="str">
        <x:v>DK</x:v>
      </x:c>
      <x:c r="I52" t="str">
        <x:v>HO CUSH</x:v>
      </x:c>
      <x:c r="J52" t="str">
        <x:v>INST H-OPEN NFHD</x:v>
      </x:c>
      <x:c r="K52" t="str">
        <x:v>DST NFHD</x:v>
      </x:c>
      <x:c r="L52" t="str"/>
      <x:c r="M52" t="str">
        <x:v>8916-*-DST-*-FC-SN2-DPK89-NFHD-689</x:v>
      </x:c>
      <x:c r="N52" t="str"/>
      <x:c r="O52" s="54"/>
      <x:c r="P52" t="str"/>
    </x:row>
    <x:row r="53" ht="15" hidden="0" customHeight="1">
      <x:c r="A53" t="n">
        <x:v>60</x:v>
      </x:c>
      <x:c r="B53" t="str">
        <x:v>YES</x:v>
      </x:c>
      <x:c r="C53" t="str"/>
      <x:c r="D53" t="str">
        <x:v>OFFER-4DA036D9F56F</x:v>
      </x:c>
      <x:c r="E53" t="str">
        <x:v>SPEC-68878C8F942A</x:v>
      </x:c>
      <x:c r="F53" t="str">
        <x:v>CLOSER</x:v>
      </x:c>
      <x:c r="G53" t="str">
        <x:v>8616</x:v>
      </x:c>
      <x:c r="H53" t="str">
        <x:v>DK</x:v>
      </x:c>
      <x:c r="I53" t="str">
        <x:v>REG ARM</x:v>
      </x:c>
      <x:c r="J53" t="str">
        <x:v>HD REG ARM</x:v>
      </x:c>
      <x:c r="K53" t="str">
        <x:v>AF86</x:v>
      </x:c>
      <x:c r="L53" t="str"/>
      <x:c r="M53" t="str">
        <x:v>8616-*-AF86-*-FC-SN2-DPK89-*-689</x:v>
      </x:c>
      <x:c r="N53" t="str"/>
      <x:c r="O53" s="54"/>
      <x:c r="P53" t="str"/>
    </x:row>
    <x:row r="54" ht="15" hidden="0" customHeight="1">
      <x:c r="A54" t="n">
        <x:v>61</x:v>
      </x:c>
      <x:c r="B54" t="str">
        <x:v>YES</x:v>
      </x:c>
      <x:c r="C54" t="str"/>
      <x:c r="D54" t="str">
        <x:v>OFFER-1BBAF72D3C13</x:v>
      </x:c>
      <x:c r="E54" t="str">
        <x:v>SPEC-2F127E570436</x:v>
      </x:c>
      <x:c r="F54" t="str">
        <x:v>CLOSER</x:v>
      </x:c>
      <x:c r="G54" t="str">
        <x:v>8616-NFHD</x:v>
      </x:c>
      <x:c r="H54" t="str">
        <x:v>DK</x:v>
      </x:c>
      <x:c r="I54" t="str">
        <x:v>REG ARM</x:v>
      </x:c>
      <x:c r="J54" t="str">
        <x:v>HD REG ARM NFHD</x:v>
      </x:c>
      <x:c r="K54" t="str">
        <x:v>AF86 NFHD</x:v>
      </x:c>
      <x:c r="L54" t="str"/>
      <x:c r="M54" t="str">
        <x:v>8616-*-AF86-*-FC-SN2-DPK89-NFHD-689</x:v>
      </x:c>
      <x:c r="N54" t="str"/>
      <x:c r="O54" s="54"/>
      <x:c r="P54" t="str"/>
    </x:row>
    <x:row r="55" ht="15" hidden="0" customHeight="1">
      <x:c r="A55" t="n">
        <x:v>62</x:v>
      </x:c>
      <x:c r="B55" t="str">
        <x:v>YES</x:v>
      </x:c>
      <x:c r="C55" t="str"/>
      <x:c r="D55" t="str">
        <x:v>OFFER-8B64EEF3FD8A</x:v>
      </x:c>
      <x:c r="E55" t="str">
        <x:v>SPEC-454350D47BF8</x:v>
      </x:c>
      <x:c r="F55" t="str">
        <x:v>CLOSER</x:v>
      </x:c>
      <x:c r="G55" t="str">
        <x:v>8616-DS</x:v>
      </x:c>
      <x:c r="H55" t="str">
        <x:v>DK</x:v>
      </x:c>
      <x:c r="I55" t="str">
        <x:v>NO HO CUSH</x:v>
      </x:c>
      <x:c r="J55" t="str">
        <x:v>HD-DOOR SAVER</x:v>
      </x:c>
      <x:c r="K55" t="str">
        <x:v>DS</x:v>
      </x:c>
      <x:c r="L55" t="str"/>
      <x:c r="M55" t="str">
        <x:v>8616-*-DS-*-FC-SN2-DPK89-*-689</x:v>
      </x:c>
      <x:c r="N55" t="str"/>
      <x:c r="O55" s="54"/>
      <x:c r="P55" t="str"/>
    </x:row>
    <x:row r="56" ht="15" hidden="0" customHeight="1">
      <x:c r="A56" t="n">
        <x:v>63</x:v>
      </x:c>
      <x:c r="B56" t="str">
        <x:v>YES</x:v>
      </x:c>
      <x:c r="C56" t="str"/>
      <x:c r="D56" t="str">
        <x:v>OFFER-0D44C1292383</x:v>
      </x:c>
      <x:c r="E56" t="str">
        <x:v>SPEC-83B89DDE240B</x:v>
      </x:c>
      <x:c r="F56" t="str">
        <x:v>CLOSER</x:v>
      </x:c>
      <x:c r="G56" t="str">
        <x:v>8616-DS-NFHD</x:v>
      </x:c>
      <x:c r="H56" t="str">
        <x:v>DK</x:v>
      </x:c>
      <x:c r="I56" t="str">
        <x:v>NO HO CUSH</x:v>
      </x:c>
      <x:c r="J56" t="str">
        <x:v>HD-DOOR SAVER NFHD</x:v>
      </x:c>
      <x:c r="K56" t="str">
        <x:v>DS NFHD</x:v>
      </x:c>
      <x:c r="L56" t="str"/>
      <x:c r="M56" t="str">
        <x:v>8616-*-DS-*-FC-SN2-DPK89-NFHD-689</x:v>
      </x:c>
      <x:c r="N56" t="str"/>
      <x:c r="O56" s="54"/>
      <x:c r="P56" t="str"/>
    </x:row>
    <x:row r="57" ht="15" hidden="0" customHeight="1">
      <x:c r="A57" t="n">
        <x:v>64</x:v>
      </x:c>
      <x:c r="B57" t="str">
        <x:v>YES</x:v>
      </x:c>
      <x:c r="C57" t="str"/>
      <x:c r="D57" t="str">
        <x:v>OFFER-F0E707FCCF47</x:v>
      </x:c>
      <x:c r="E57" t="str">
        <x:v>SPEC-454350D47BF8</x:v>
      </x:c>
      <x:c r="F57" t="str">
        <x:v>CLOSER</x:v>
      </x:c>
      <x:c r="G57" t="str">
        <x:v>8616-DST</x:v>
      </x:c>
      <x:c r="H57" t="str">
        <x:v>DK</x:v>
      </x:c>
      <x:c r="I57" t="str">
        <x:v>HO CUSH</x:v>
      </x:c>
      <x:c r="J57" t="str">
        <x:v>HD H-OPEN</x:v>
      </x:c>
      <x:c r="K57" t="str">
        <x:v>DST</x:v>
      </x:c>
      <x:c r="L57" t="str"/>
      <x:c r="M57" t="str">
        <x:v>8616-*-DST-*-FC-SN2-DPK89-*-689</x:v>
      </x:c>
      <x:c r="N57" t="str"/>
      <x:c r="O57" s="54"/>
      <x:c r="P57" t="str"/>
    </x:row>
    <x:row r="58" ht="15" hidden="0" customHeight="1">
      <x:c r="A58" t="n">
        <x:v>65</x:v>
      </x:c>
      <x:c r="B58" t="str">
        <x:v>YES</x:v>
      </x:c>
      <x:c r="C58" t="str"/>
      <x:c r="D58" t="str">
        <x:v>OFFER-976262EECFE2</x:v>
      </x:c>
      <x:c r="E58" t="str">
        <x:v>SPEC-83B89DDE240B</x:v>
      </x:c>
      <x:c r="F58" t="str">
        <x:v>CLOSER</x:v>
      </x:c>
      <x:c r="G58" t="str">
        <x:v>8616-DST_NFHD</x:v>
      </x:c>
      <x:c r="H58" t="str">
        <x:v>DK</x:v>
      </x:c>
      <x:c r="I58" t="str">
        <x:v>HO CUSH</x:v>
      </x:c>
      <x:c r="J58" t="str">
        <x:v>HD H-OPEN NFHD</x:v>
      </x:c>
      <x:c r="K58" t="str">
        <x:v>DST NFHD</x:v>
      </x:c>
      <x:c r="L58" t="str"/>
      <x:c r="M58" t="str">
        <x:v>8616-*-DST-*-FC-SN2-DPK89-NFHD-689</x:v>
      </x:c>
      <x:c r="N58" t="str"/>
      <x:c r="O58" s="54"/>
      <x:c r="P58" t="str"/>
    </x:row>
    <x:row r="59" ht="15" hidden="0" customHeight="1">
      <x:c r="A59" t="n">
        <x:v>67</x:v>
      </x:c>
      <x:c r="B59" t="str">
        <x:v>YES</x:v>
      </x:c>
      <x:c r="C59" t="str"/>
      <x:c r="D59" t="str">
        <x:v>OFFER-A9FA8C40E47A</x:v>
      </x:c>
      <x:c r="E59" t="str">
        <x:v>SPEC-B4C1DFD4E28A</x:v>
      </x:c>
      <x:c r="F59" t="str">
        <x:v>CLOSER</x:v>
      </x:c>
      <x:c r="G59" t="str">
        <x:v>9414</x:v>
      </x:c>
      <x:c r="H59" t="str">
        <x:v>ABH</x:v>
      </x:c>
      <x:c r="I59" t="str">
        <x:v>SLIDE TRACK HOLD OPEN</x:v>
      </x:c>
      <x:c r="J59" t="str"/>
      <x:c r="K59" t="str"/>
      <x:c r="L59" t="str">
        <x:v>630</x:v>
      </x:c>
      <x:c r="M59" t="str"/>
      <x:c r="N59" t="str"/>
      <x:c r="O59" s="54"/>
      <x:c r="P59" t="str"/>
    </x:row>
    <x:row r="60" ht="15" hidden="0" customHeight="1">
      <x:c r="A60" t="n">
        <x:v>69</x:v>
      </x:c>
      <x:c r="B60" t="str">
        <x:v>YES</x:v>
      </x:c>
      <x:c r="C60" t="str"/>
      <x:c r="D60" t="str">
        <x:v>OFFER-6F339B3F6213</x:v>
      </x:c>
      <x:c r="E60" t="str">
        <x:v>SPEC-7396E555AC12</x:v>
      </x:c>
      <x:c r="F60" t="str">
        <x:v>CLOSER</x:v>
      </x:c>
      <x:c r="G60" t="str">
        <x:v>1460</x:v>
      </x:c>
      <x:c r="H60" t="str">
        <x:v>LCN</x:v>
      </x:c>
      <x:c r="I60" t="str">
        <x:v>1460 STD ARM</x:v>
      </x:c>
      <x:c r="J60" t="str"/>
      <x:c r="K60" t="str"/>
      <x:c r="L60" t="str">
        <x:v>689</x:v>
      </x:c>
      <x:c r="M60" t="str">
        <x:v>1461-RW/PA 689 TRIPAC</x:v>
      </x:c>
      <x:c r="N60" t="str"/>
      <x:c r="O60" s="54"/>
      <x:c r="P60" t="str"/>
    </x:row>
    <x:row r="61" ht="15" hidden="0" customHeight="1">
      <x:c r="A61" t="n">
        <x:v>70</x:v>
      </x:c>
      <x:c r="B61" t="str">
        <x:v>YES</x:v>
      </x:c>
      <x:c r="C61" t="str"/>
      <x:c r="D61" t="str">
        <x:v>OFFER-5BC97D4E318D</x:v>
      </x:c>
      <x:c r="E61" t="str">
        <x:v>SPEC-F1DE3D632C62</x:v>
      </x:c>
      <x:c r="F61" t="str">
        <x:v>CLOSER</x:v>
      </x:c>
      <x:c r="G61" t="str">
        <x:v>1460</x:v>
      </x:c>
      <x:c r="H61" t="str">
        <x:v>LCN</x:v>
      </x:c>
      <x:c r="I61" t="str">
        <x:v>1460 HO ARM</x:v>
      </x:c>
      <x:c r="J61" t="str"/>
      <x:c r="K61" t="str"/>
      <x:c r="L61" t="str">
        <x:v>689</x:v>
      </x:c>
      <x:c r="M61" t="str">
        <x:v>1460-3049-689</x:v>
      </x:c>
      <x:c r="N61" t="str"/>
      <x:c r="O61" s="54"/>
      <x:c r="P61" t="str"/>
    </x:row>
    <x:row r="62" ht="15" hidden="0" customHeight="1">
      <x:c r="A62" t="n">
        <x:v>71</x:v>
      </x:c>
      <x:c r="B62" t="str">
        <x:v>YES</x:v>
      </x:c>
      <x:c r="C62" t="str"/>
      <x:c r="D62" t="str">
        <x:v>OFFER-1449A7A13575</x:v>
      </x:c>
      <x:c r="E62" t="str">
        <x:v>SPEC-E61CB9AEB56F</x:v>
      </x:c>
      <x:c r="F62" t="str">
        <x:v>CLOSER</x:v>
      </x:c>
      <x:c r="G62" t="str">
        <x:v>1460</x:v>
      </x:c>
      <x:c r="H62" t="str">
        <x:v>LCN</x:v>
      </x:c>
      <x:c r="I62" t="str">
        <x:v>1460 HO CUSH</x:v>
      </x:c>
      <x:c r="J62" t="str"/>
      <x:c r="K62" t="str"/>
      <x:c r="L62" t="str">
        <x:v>689</x:v>
      </x:c>
      <x:c r="M62" t="str">
        <x:v>1460-3049 CNS-689</x:v>
      </x:c>
      <x:c r="N62" t="str"/>
      <x:c r="O62" s="54"/>
      <x:c r="P62" t="str"/>
    </x:row>
    <x:row r="63" ht="15" hidden="0" customHeight="1">
      <x:c r="A63" t="n">
        <x:v>72</x:v>
      </x:c>
      <x:c r="B63" t="str">
        <x:v>YES</x:v>
      </x:c>
      <x:c r="C63" t="str"/>
      <x:c r="D63" t="str">
        <x:v>OFFER-59EE493A79B8</x:v>
      </x:c>
      <x:c r="E63" t="str">
        <x:v>SPEC-05BEAB991446</x:v>
      </x:c>
      <x:c r="F63" t="str">
        <x:v>CLOSER</x:v>
      </x:c>
      <x:c r="G63" t="str">
        <x:v>1460</x:v>
      </x:c>
      <x:c r="H63" t="str">
        <x:v>LCN</x:v>
      </x:c>
      <x:c r="I63" t="str">
        <x:v>1461 CUSH</x:v>
      </x:c>
      <x:c r="J63" t="str"/>
      <x:c r="K63" t="str"/>
      <x:c r="L63" t="str">
        <x:v>689</x:v>
      </x:c>
      <x:c r="M63" t="str">
        <x:v>1461-CUSH 689</x:v>
      </x:c>
      <x:c r="N63" t="str"/>
      <x:c r="O63" s="54"/>
      <x:c r="P63" t="str"/>
    </x:row>
    <x:row r="64" ht="15" hidden="0" customHeight="1">
      <x:c r="A64" t="n">
        <x:v>73</x:v>
      </x:c>
      <x:c r="B64" t="str">
        <x:v>YES</x:v>
      </x:c>
      <x:c r="C64" t="str"/>
      <x:c r="D64" t="str">
        <x:v>OFFER-AF4D48371066</x:v>
      </x:c>
      <x:c r="E64" t="str">
        <x:v>SPEC-B28DC94068D5</x:v>
      </x:c>
      <x:c r="F64" t="str">
        <x:v>CLOSER</x:v>
      </x:c>
      <x:c r="G64" t="str">
        <x:v>1460</x:v>
      </x:c>
      <x:c r="H64" t="str">
        <x:v>LCN</x:v>
      </x:c>
      <x:c r="I64" t="str">
        <x:v>1461 SCUSH</x:v>
      </x:c>
      <x:c r="J64" t="str"/>
      <x:c r="K64" t="str"/>
      <x:c r="L64" t="str">
        <x:v>689</x:v>
      </x:c>
      <x:c r="M64" t="str">
        <x:v>1461-SCUSH-689</x:v>
      </x:c>
      <x:c r="N64" t="str"/>
      <x:c r="O64" s="54"/>
      <x:c r="P64" t="str"/>
    </x:row>
    <x:row r="65" ht="15" hidden="0" customHeight="1">
      <x:c r="A65" t="n">
        <x:v>74</x:v>
      </x:c>
      <x:c r="B65" t="str">
        <x:v>YES</x:v>
      </x:c>
      <x:c r="C65" t="str"/>
      <x:c r="D65" t="str">
        <x:v>OFFER-4C0114C1DB0B</x:v>
      </x:c>
      <x:c r="E65" t="str">
        <x:v>SPEC-7396E555AC12</x:v>
      </x:c>
      <x:c r="F65" t="str">
        <x:v>CLOSER</x:v>
      </x:c>
      <x:c r="G65" t="str">
        <x:v>4040XP</x:v>
      </x:c>
      <x:c r="H65" t="str">
        <x:v>LCN</x:v>
      </x:c>
      <x:c r="I65" t="str">
        <x:v>4040XP STD ARM</x:v>
      </x:c>
      <x:c r="J65" t="str"/>
      <x:c r="K65" t="str"/>
      <x:c r="L65" t="str">
        <x:v>689</x:v>
      </x:c>
      <x:c r="M65" t="str">
        <x:v>4040XP-RW/PA 689 TRIPAC</x:v>
      </x:c>
      <x:c r="N65" t="str"/>
      <x:c r="O65" s="54"/>
      <x:c r="P65" t="str"/>
    </x:row>
    <x:row r="66" ht="15" hidden="0" customHeight="1">
      <x:c r="A66" t="n">
        <x:v>75</x:v>
      </x:c>
      <x:c r="B66" t="str">
        <x:v>YES</x:v>
      </x:c>
      <x:c r="C66" t="str"/>
      <x:c r="D66" t="str">
        <x:v>OFFER-80560279FBC5</x:v>
      </x:c>
      <x:c r="E66" t="str">
        <x:v>SPEC-F1DE3D632C62</x:v>
      </x:c>
      <x:c r="F66" t="str">
        <x:v>CLOSER</x:v>
      </x:c>
      <x:c r="G66" t="str">
        <x:v>4040XP</x:v>
      </x:c>
      <x:c r="H66" t="str">
        <x:v>LCN</x:v>
      </x:c>
      <x:c r="I66" t="str">
        <x:v>4040XP HO ARM</x:v>
      </x:c>
      <x:c r="J66" t="str"/>
      <x:c r="K66" t="str"/>
      <x:c r="L66" t="str">
        <x:v>689</x:v>
      </x:c>
      <x:c r="M66" t="str">
        <x:v>4040XP-3049-689</x:v>
      </x:c>
      <x:c r="N66" t="str"/>
      <x:c r="O66" s="54"/>
      <x:c r="P66" t="str"/>
    </x:row>
    <x:row r="67" ht="15" hidden="0" customHeight="1">
      <x:c r="A67" t="n">
        <x:v>76</x:v>
      </x:c>
      <x:c r="B67" t="str">
        <x:v>YES</x:v>
      </x:c>
      <x:c r="C67" t="str"/>
      <x:c r="D67" t="str">
        <x:v>OFFER-C74C7E492CFD</x:v>
      </x:c>
      <x:c r="E67" t="str">
        <x:v>SPEC-B3940214D4B6</x:v>
      </x:c>
      <x:c r="F67" t="str">
        <x:v>CLOSER</x:v>
      </x:c>
      <x:c r="G67" t="str">
        <x:v>4040XP</x:v>
      </x:c>
      <x:c r="H67" t="str">
        <x:v>LCN</x:v>
      </x:c>
      <x:c r="I67" t="str">
        <x:v>4040XP CUSH</x:v>
      </x:c>
      <x:c r="J67" t="str"/>
      <x:c r="K67" t="str"/>
      <x:c r="L67" t="str">
        <x:v>689</x:v>
      </x:c>
      <x:c r="M67" t="str">
        <x:v>4040XP-CUSH-689</x:v>
      </x:c>
      <x:c r="N67" t="str"/>
      <x:c r="O67" s="54"/>
      <x:c r="P67" t="str"/>
    </x:row>
    <x:row r="68" ht="15" hidden="0" customHeight="1">
      <x:c r="A68" t="n">
        <x:v>77</x:v>
      </x:c>
      <x:c r="B68" t="str">
        <x:v>YES</x:v>
      </x:c>
      <x:c r="C68" t="str"/>
      <x:c r="D68" t="str">
        <x:v>OFFER-122D3EC55856</x:v>
      </x:c>
      <x:c r="E68" t="str">
        <x:v>SPEC-E61CB9AEB56F</x:v>
      </x:c>
      <x:c r="F68" t="str">
        <x:v>CLOSER</x:v>
      </x:c>
      <x:c r="G68" t="str">
        <x:v>4040XP</x:v>
      </x:c>
      <x:c r="H68" t="str">
        <x:v>LCN</x:v>
      </x:c>
      <x:c r="I68" t="str">
        <x:v>4040XP-HO CUSH</x:v>
      </x:c>
      <x:c r="J68" t="str"/>
      <x:c r="K68" t="str"/>
      <x:c r="L68" t="str">
        <x:v>689</x:v>
      </x:c>
      <x:c r="M68" t="str">
        <x:v>4040XP-HCUSH-689</x:v>
      </x:c>
      <x:c r="N68" t="str"/>
      <x:c r="O68" s="54"/>
      <x:c r="P68" t="str"/>
    </x:row>
    <x:row r="69" ht="15" hidden="0" customHeight="1">
      <x:c r="A69" t="n">
        <x:v>78</x:v>
      </x:c>
      <x:c r="B69" t="str">
        <x:v>YES</x:v>
      </x:c>
      <x:c r="C69" t="str"/>
      <x:c r="D69" t="str">
        <x:v>OFFER-376F4B8FC259</x:v>
      </x:c>
      <x:c r="E69" t="str">
        <x:v>SPEC-2F178D1F8472</x:v>
      </x:c>
      <x:c r="F69" t="str">
        <x:v>CLOSER</x:v>
      </x:c>
      <x:c r="G69" t="str">
        <x:v>4040XP</x:v>
      </x:c>
      <x:c r="H69" t="str">
        <x:v>LCN</x:v>
      </x:c>
      <x:c r="I69" t="str">
        <x:v>4040XP HO SPRING CUSH</x:v>
      </x:c>
      <x:c r="J69" t="str"/>
      <x:c r="K69" t="str"/>
      <x:c r="L69" t="str">
        <x:v>689</x:v>
      </x:c>
      <x:c r="M69" t="str">
        <x:v>4040XP-SHCUSH-689</x:v>
      </x:c>
      <x:c r="N69" t="str"/>
      <x:c r="O69" s="54"/>
      <x:c r="P69" t="str"/>
    </x:row>
    <x:row r="70" ht="15" hidden="0" customHeight="1">
      <x:c r="A70" t="n">
        <x:v>80</x:v>
      </x:c>
      <x:c r="B70" t="str">
        <x:v>YES</x:v>
      </x:c>
      <x:c r="C70" t="str"/>
      <x:c r="D70" t="str">
        <x:v>OFFER-B24E660037BC</x:v>
      </x:c>
      <x:c r="E70" t="str">
        <x:v>SPEC-7396E555AC12</x:v>
      </x:c>
      <x:c r="F70" t="str">
        <x:v>CLOSER</x:v>
      </x:c>
      <x:c r="G70" t="str">
        <x:v>351</x:v>
      </x:c>
      <x:c r="H70" t="str">
        <x:v>SAR</x:v>
      </x:c>
      <x:c r="I70" t="str">
        <x:v>351 UNIVERSAL STD ARM THRU BOLT TRI PAC</x:v>
      </x:c>
      <x:c r="J70" t="str"/>
      <x:c r="K70" t="str"/>
      <x:c r="L70" t="str">
        <x:v>689</x:v>
      </x:c>
      <x:c r="M70" t="str">
        <x:v>351-UO TB EN</x:v>
      </x:c>
      <x:c r="N70" t="str"/>
      <x:c r="O70" s="54"/>
      <x:c r="P70" t="str"/>
    </x:row>
    <x:row r="71" ht="15" hidden="0" customHeight="1">
      <x:c r="A71" t="n">
        <x:v>81</x:v>
      </x:c>
      <x:c r="B71" t="str">
        <x:v>YES</x:v>
      </x:c>
      <x:c r="C71" t="str"/>
      <x:c r="D71" t="str">
        <x:v>OFFER-33CFFEF3BC5A</x:v>
      </x:c>
      <x:c r="E71" t="str">
        <x:v>SPEC-7396E555AC12</x:v>
      </x:c>
      <x:c r="F71" t="str">
        <x:v>CLOSER</x:v>
      </x:c>
      <x:c r="G71" t="str">
        <x:v>351</x:v>
      </x:c>
      <x:c r="H71" t="str">
        <x:v>SAR</x:v>
      </x:c>
      <x:c r="I71" t="str">
        <x:v>351 STANDARD ARM THRU BOLT</x:v>
      </x:c>
      <x:c r="J71" t="str"/>
      <x:c r="K71" t="str"/>
      <x:c r="L71" t="str">
        <x:v>689</x:v>
      </x:c>
      <x:c r="M71" t="str">
        <x:v>351-0-TB EN</x:v>
      </x:c>
      <x:c r="N71" t="str"/>
      <x:c r="O71" s="54"/>
      <x:c r="P71" t="str"/>
    </x:row>
    <x:row r="72" ht="15" hidden="0" customHeight="1">
      <x:c r="A72" t="n">
        <x:v>82</x:v>
      </x:c>
      <x:c r="B72" t="str">
        <x:v>YES</x:v>
      </x:c>
      <x:c r="C72" t="str"/>
      <x:c r="D72" t="str">
        <x:v>OFFER-5E140B60C1AC</x:v>
      </x:c>
      <x:c r="E72" t="str">
        <x:v>SPEC-7396E555AC12</x:v>
      </x:c>
      <x:c r="F72" t="str">
        <x:v>CLOSER</x:v>
      </x:c>
      <x:c r="G72" t="str">
        <x:v>1601</x:v>
      </x:c>
      <x:c r="H72" t="str">
        <x:v>NOR</x:v>
      </x:c>
      <x:c r="I72" t="str">
        <x:v>1601</x:v>
      </x:c>
      <x:c r="J72" t="str">
        <x:v>TRIPAC</x:v>
      </x:c>
      <x:c r="K72" t="str"/>
      <x:c r="L72" t="str">
        <x:v>689</x:v>
      </x:c>
      <x:c r="M72" t="str">
        <x:v>1601-689 (DH 116)</x:v>
      </x:c>
      <x:c r="N72" t="str"/>
      <x:c r="O72" s="54"/>
      <x:c r="P72" t="str"/>
    </x:row>
    <x:row r="73" ht="15" hidden="0" customHeight="1">
      <x:c r="A73" t="n">
        <x:v>83</x:v>
      </x:c>
      <x:c r="B73" t="str">
        <x:v>YES</x:v>
      </x:c>
      <x:c r="C73" t="str"/>
      <x:c r="D73" t="str">
        <x:v>OFFER-0A4062C3081C</x:v>
      </x:c>
      <x:c r="E73" t="str">
        <x:v>SPEC-7396E555AC12</x:v>
      </x:c>
      <x:c r="F73" t="str">
        <x:v>CLOSER</x:v>
      </x:c>
      <x:c r="G73" t="str">
        <x:v>8501</x:v>
      </x:c>
      <x:c r="H73" t="str">
        <x:v>NOR</x:v>
      </x:c>
      <x:c r="I73" t="str">
        <x:v>8501</x:v>
      </x:c>
      <x:c r="J73" t="str">
        <x:v>TRIPAC</x:v>
      </x:c>
      <x:c r="K73" t="str"/>
      <x:c r="L73" t="str">
        <x:v>689</x:v>
      </x:c>
      <x:c r="M73" t="str">
        <x:v>8501-689 (DH 316)</x:v>
      </x:c>
      <x:c r="N73" t="str"/>
      <x:c r="O73" s="54"/>
      <x:c r="P73" t="str"/>
    </x:row>
    <x:row r="74" ht="15" hidden="0" customHeight="1">
      <x:c r="A74" t="n">
        <x:v>85</x:v>
      </x:c>
      <x:c r="B74" t="str">
        <x:v>YES</x:v>
      </x:c>
      <x:c r="C74" t="str"/>
      <x:c r="D74" t="str">
        <x:v>OFFER-0BC2D03C5327</x:v>
      </x:c>
      <x:c r="E74" t="str">
        <x:v>SPEC-510A92415613</x:v>
      </x:c>
      <x:c r="F74" t="str">
        <x:v>DEADBOLT</x:v>
      </x:c>
      <x:c r="G74" t="str">
        <x:v>D1S</x:v>
      </x:c>
      <x:c r="H74" t="str">
        <x:v>DH</x:v>
      </x:c>
      <x:c r="I74" t="str">
        <x:v>2.75 BS</x:v>
      </x:c>
      <x:c r="J74" t="str">
        <x:v>D1S SGL CYL DEADBOLT</x:v>
      </x:c>
      <x:c r="K74" t="str"/>
      <x:c r="L74" t="str">
        <x:v>626</x:v>
      </x:c>
      <x:c r="M74" t="str">
        <x:v>78001539 - D1-S Single Cylinder Deadbolt</x:v>
      </x:c>
      <x:c r="N74" t="str"/>
      <x:c r="O74" s="54" t="n">
        <x:v>138.25</x:v>
      </x:c>
      <x:c r="P74" t="str"/>
    </x:row>
    <x:row r="75" ht="15" hidden="0" customHeight="1">
      <x:c r="A75" t="n">
        <x:v>86</x:v>
      </x:c>
      <x:c r="B75" t="str">
        <x:v>YES</x:v>
      </x:c>
      <x:c r="C75" t="str"/>
      <x:c r="D75" t="str">
        <x:v>OFFER-CA46F754A6A1</x:v>
      </x:c>
      <x:c r="E75" t="str">
        <x:v>SPEC-26D5BBD2F119</x:v>
      </x:c>
      <x:c r="F75" t="str">
        <x:v>DEADBOLT</x:v>
      </x:c>
      <x:c r="G75" t="str">
        <x:v>D1S-SFIC</x:v>
      </x:c>
      <x:c r="H75" t="str">
        <x:v>DH</x:v>
      </x:c>
      <x:c r="I75" t="str">
        <x:v>2.75 BS</x:v>
      </x:c>
      <x:c r="J75" t="str">
        <x:v>D1S SGL CYL DEADBOLT SFIC</x:v>
      </x:c>
      <x:c r="K75" t="str"/>
      <x:c r="L75" t="str">
        <x:v>626</x:v>
      </x:c>
      <x:c r="M75" t="str">
        <x:v>78001542 - D1-S-IC Single Cylinder Deadbolt (SFIC - no core)</x:v>
      </x:c>
      <x:c r="N75" t="str"/>
      <x:c r="O75" s="54" t="n">
        <x:v>138.25</x:v>
      </x:c>
      <x:c r="P75" t="str"/>
    </x:row>
    <x:row r="76" ht="15" hidden="0" customHeight="1">
      <x:c r="A76" t="n">
        <x:v>87</x:v>
      </x:c>
      <x:c r="B76" t="str">
        <x:v>YES</x:v>
      </x:c>
      <x:c r="C76" t="str"/>
      <x:c r="D76" t="str">
        <x:v>OFFER-C9DC2BB3B6DB</x:v>
      </x:c>
      <x:c r="E76" t="str">
        <x:v>SPEC-E24F62A042A6</x:v>
      </x:c>
      <x:c r="F76" t="str">
        <x:v>DEADBOLT</x:v>
      </x:c>
      <x:c r="G76" t="str">
        <x:v>D2S</x:v>
      </x:c>
      <x:c r="H76" t="str">
        <x:v>DH</x:v>
      </x:c>
      <x:c r="I76" t="str">
        <x:v>2.75 BS</x:v>
      </x:c>
      <x:c r="J76" t="str">
        <x:v>D2S SGL CYL DEADBOLT</x:v>
      </x:c>
      <x:c r="K76" t="str"/>
      <x:c r="L76" t="str">
        <x:v>626</x:v>
      </x:c>
      <x:c r="M76" t="str">
        <x:v>78001576 - D2-S Single Cylinder Deadbolt</x:v>
      </x:c>
      <x:c r="N76" t="str"/>
      <x:c r="O76" s="54" t="n">
        <x:v>88.95</x:v>
      </x:c>
      <x:c r="P76" t="str"/>
    </x:row>
    <x:row r="77" ht="15" hidden="0" customHeight="1">
      <x:c r="A77" t="n">
        <x:v>88</x:v>
      </x:c>
      <x:c r="B77" t="str">
        <x:v>YES</x:v>
      </x:c>
      <x:c r="C77" t="str"/>
      <x:c r="D77" t="str">
        <x:v>OFFER-52F14986C3B8</x:v>
      </x:c>
      <x:c r="E77" t="str">
        <x:v>SPEC-84C1D93020B1</x:v>
      </x:c>
      <x:c r="F77" t="str">
        <x:v>DEADBOLT</x:v>
      </x:c>
      <x:c r="G77" t="str">
        <x:v>D2S-SFIC</x:v>
      </x:c>
      <x:c r="H77" t="str">
        <x:v>DH</x:v>
      </x:c>
      <x:c r="I77" t="str">
        <x:v>2.75 BS</x:v>
      </x:c>
      <x:c r="J77" t="str">
        <x:v>D2S SGL CYL DEADBOLT SFIC</x:v>
      </x:c>
      <x:c r="K77" t="str"/>
      <x:c r="L77" t="str">
        <x:v>626</x:v>
      </x:c>
      <x:c r="M77" t="str">
        <x:v>78001579 - D2-S-IC Single Cylinder Deadbolt (SFIC - no core)</x:v>
      </x:c>
      <x:c r="N77" t="str"/>
      <x:c r="O77" s="54" t="n">
        <x:v>88.95</x:v>
      </x:c>
      <x:c r="P77" t="str"/>
    </x:row>
    <x:row r="78" ht="15" hidden="0" customHeight="1">
      <x:c r="A78" t="n">
        <x:v>90</x:v>
      </x:c>
      <x:c r="B78" t="str">
        <x:v>YES</x:v>
      </x:c>
      <x:c r="C78" t="str"/>
      <x:c r="D78" t="str">
        <x:v>OFFER-86D446EC92B0</x:v>
      </x:c>
      <x:c r="E78" t="str">
        <x:v>SPEC-2AEF47AC9FAB</x:v>
      </x:c>
      <x:c r="F78" t="str">
        <x:v>DEADBOLT</x:v>
      </x:c>
      <x:c r="G78" t="str">
        <x:v>DB SGL</x:v>
      </x:c>
      <x:c r="H78" t="str">
        <x:v>PHG</x:v>
      </x:c>
      <x:c r="I78" t="str">
        <x:v>E0151</x:v>
      </x:c>
      <x:c r="J78" t="str">
        <x:v>LM200 G1 SINGLE</x:v>
      </x:c>
      <x:c r="K78" t="str"/>
      <x:c r="L78" t="str">
        <x:v>626</x:v>
      </x:c>
      <x:c r="M78" t="str">
        <x:v>LM20026D LM200 - Single Cylinder (E0151)</x:v>
      </x:c>
      <x:c r="N78" t="str"/>
      <x:c r="O78" s="54" t="n">
        <x:v>101.99</x:v>
      </x:c>
      <x:c r="P78" t="str"/>
    </x:row>
    <x:row r="79" ht="15" hidden="0" customHeight="1">
      <x:c r="A79" t="n">
        <x:v>91</x:v>
      </x:c>
      <x:c r="B79" t="str">
        <x:v>YES</x:v>
      </x:c>
      <x:c r="C79" t="str"/>
      <x:c r="D79" t="str">
        <x:v>OFFER-D1FE0796EF19</x:v>
      </x:c>
      <x:c r="E79" t="str">
        <x:v>SPEC-D1B62C606D00</x:v>
      </x:c>
      <x:c r="F79" t="str">
        <x:v>DEADBOLT</x:v>
      </x:c>
      <x:c r="G79" t="str">
        <x:v>DB SGL SFIC</x:v>
      </x:c>
      <x:c r="H79" t="str">
        <x:v>PHG</x:v>
      </x:c>
      <x:c r="I79" t="str">
        <x:v>E0151-SFIC</x:v>
      </x:c>
      <x:c r="J79" t="str">
        <x:v>LM200 G1 SINGLE SFIC</x:v>
      </x:c>
      <x:c r="K79" t="str"/>
      <x:c r="L79" t="str">
        <x:v>626</x:v>
      </x:c>
      <x:c r="M79" t="str">
        <x:v>LM20026DICB LM200 - Single Cylinder (E0151) - ICB</x:v>
      </x:c>
      <x:c r="N79" t="str"/>
      <x:c r="O79" s="54" t="n">
        <x:v>101.99</x:v>
      </x:c>
      <x:c r="P79" t="str"/>
    </x:row>
    <x:row r="80" ht="15" hidden="0" customHeight="1">
      <x:c r="A80" t="n">
        <x:v>92</x:v>
      </x:c>
      <x:c r="B80" t="str">
        <x:v>YES</x:v>
      </x:c>
      <x:c r="C80" t="str"/>
      <x:c r="D80" t="str">
        <x:v>OFFER-B98D0D0C4DF8</x:v>
      </x:c>
      <x:c r="E80" t="str">
        <x:v>SPEC-617DEEC26694</x:v>
      </x:c>
      <x:c r="F80" t="str">
        <x:v>DEADBOLT</x:v>
      </x:c>
      <x:c r="G80" t="str">
        <x:v>DB SGL LFIC</x:v>
      </x:c>
      <x:c r="H80" t="str">
        <x:v>PHG</x:v>
      </x:c>
      <x:c r="I80" t="str">
        <x:v>E0151-LFIC</x:v>
      </x:c>
      <x:c r="J80" t="str">
        <x:v>LM200 G1 SINGLE LFIC</x:v>
      </x:c>
      <x:c r="K80" t="str"/>
      <x:c r="L80" t="str">
        <x:v>626</x:v>
      </x:c>
      <x:c r="M80" t="str">
        <x:v>LM20026DICS LM200 - Single Cylinder (E0151) - ICS</x:v>
      </x:c>
      <x:c r="N80" t="str"/>
      <x:c r="O80" s="54" t="n">
        <x:v>138.68</x:v>
      </x:c>
      <x:c r="P80" t="str"/>
    </x:row>
    <x:row r="81" ht="15" hidden="0" customHeight="1">
      <x:c r="A81" t="n">
        <x:v>94</x:v>
      </x:c>
      <x:c r="B81" t="str">
        <x:v>YES</x:v>
      </x:c>
      <x:c r="C81" t="str"/>
      <x:c r="D81" t="str">
        <x:v>OFFER-78EE496E0A73</x:v>
      </x:c>
      <x:c r="E81" t="str">
        <x:v>SPEC-7EAD2E558CB5</x:v>
      </x:c>
      <x:c r="F81" t="str">
        <x:v>DEADBOLT</x:v>
      </x:c>
      <x:c r="G81" t="str">
        <x:v>DB SGL CLASS</x:v>
      </x:c>
      <x:c r="H81" t="str"/>
      <x:c r="I81" t="str">
        <x:v>E0171</x:v>
      </x:c>
      <x:c r="J81" t="str">
        <x:v>LM230 G1 CLASSROOM</x:v>
      </x:c>
      <x:c r="K81" t="str"/>
      <x:c r="L81" t="str">
        <x:v>626</x:v>
      </x:c>
      <x:c r="M81" t="str">
        <x:v>LM23026D LM230 - Classroom (E0171)</x:v>
      </x:c>
      <x:c r="N81" t="str"/>
      <x:c r="O81" s="54" t="n">
        <x:v>110.96</x:v>
      </x:c>
      <x:c r="P81" t="str"/>
    </x:row>
    <x:row r="82" ht="15" hidden="0" customHeight="1">
      <x:c r="A82" t="n">
        <x:v>95</x:v>
      </x:c>
      <x:c r="B82" t="str">
        <x:v>YES</x:v>
      </x:c>
      <x:c r="C82" t="str"/>
      <x:c r="D82" t="str">
        <x:v>OFFER-3C634E6CE19F</x:v>
      </x:c>
      <x:c r="E82" t="str">
        <x:v>SPEC-7F8EB42856A9</x:v>
      </x:c>
      <x:c r="F82" t="str">
        <x:v>DEADBOLT</x:v>
      </x:c>
      <x:c r="G82" t="str">
        <x:v>DB SGL CLASS-SFIC</x:v>
      </x:c>
      <x:c r="H82" t="str">
        <x:v>PHG</x:v>
      </x:c>
      <x:c r="I82" t="str">
        <x:v>E0171-SFIC</x:v>
      </x:c>
      <x:c r="J82" t="str">
        <x:v>LM230 G1 CLASSROOM SFIC</x:v>
      </x:c>
      <x:c r="K82" t="str"/>
      <x:c r="L82" t="str">
        <x:v>626</x:v>
      </x:c>
      <x:c r="M82" t="str">
        <x:v>LM23026DICB LM230 - Classroom (E0171) - ICB</x:v>
      </x:c>
      <x:c r="N82" t="str"/>
      <x:c r="O82" s="54" t="n">
        <x:v>110.96</x:v>
      </x:c>
      <x:c r="P82" t="str"/>
    </x:row>
    <x:row r="83" ht="15" hidden="0" customHeight="1">
      <x:c r="A83" t="n">
        <x:v>96</x:v>
      </x:c>
      <x:c r="B83" t="str">
        <x:v>YES</x:v>
      </x:c>
      <x:c r="C83" t="str"/>
      <x:c r="D83" t="str">
        <x:v>OFFER-627C30610BA1</x:v>
      </x:c>
      <x:c r="E83" t="str">
        <x:v>SPEC-7C72CC593688</x:v>
      </x:c>
      <x:c r="F83" t="str">
        <x:v>DEADBOLT</x:v>
      </x:c>
      <x:c r="G83" t="str">
        <x:v>DB SGL CLASS-LFIC</x:v>
      </x:c>
      <x:c r="H83" t="str">
        <x:v>PHG</x:v>
      </x:c>
      <x:c r="I83" t="str">
        <x:v>E0171-LFIC</x:v>
      </x:c>
      <x:c r="J83" t="str">
        <x:v>LM230 G1 CLASSROOM LFIC</x:v>
      </x:c>
      <x:c r="K83" t="str"/>
      <x:c r="L83" t="str">
        <x:v>626</x:v>
      </x:c>
      <x:c r="M83" t="str">
        <x:v>LM23026DICS LM230 - Classroom (E0171) - ICS</x:v>
      </x:c>
      <x:c r="N83" t="str"/>
      <x:c r="O83" s="54" t="n">
        <x:v>150.89</x:v>
      </x:c>
      <x:c r="P83" t="str"/>
    </x:row>
    <x:row r="84" ht="15" hidden="0" customHeight="1">
      <x:c r="A84" t="n">
        <x:v>97</x:v>
      </x:c>
      <x:c r="B84" t="str">
        <x:v>YES</x:v>
      </x:c>
      <x:c r="C84" t="str"/>
      <x:c r="D84" t="str">
        <x:v>OFFER-C3B7A3F863ED</x:v>
      </x:c>
      <x:c r="E84" t="str">
        <x:v>SPEC-2AEF47AC9FAB</x:v>
      </x:c>
      <x:c r="F84" t="str">
        <x:v>DBOLT</x:v>
      </x:c>
      <x:c r="G84" t="str">
        <x:v>DB SGL</x:v>
      </x:c>
      <x:c r="H84" t="str">
        <x:v>SCH</x:v>
      </x:c>
      <x:c r="I84" t="str">
        <x:v>B660P</x:v>
      </x:c>
      <x:c r="J84" t="str">
        <x:v>B660P G1 SINGLE 6PIN</x:v>
      </x:c>
      <x:c r="K84" t="str"/>
      <x:c r="L84" t="str">
        <x:v>626</x:v>
      </x:c>
      <x:c r="M84" t="str">
        <x:v>B660P 626</x:v>
      </x:c>
      <x:c r="N84" t="str"/>
      <x:c r="O84" s="54" t="n">
        <x:v>163.2</x:v>
      </x:c>
      <x:c r="P84" t="str"/>
    </x:row>
    <x:row r="85" ht="15" hidden="0" customHeight="1">
      <x:c r="A85" t="n">
        <x:v>98</x:v>
      </x:c>
      <x:c r="B85" t="str">
        <x:v>YES</x:v>
      </x:c>
      <x:c r="C85" t="str"/>
      <x:c r="D85" t="str">
        <x:v>OFFER-D08A461B7ED1</x:v>
      </x:c>
      <x:c r="E85" t="str">
        <x:v>SPEC-D1B62C606D00</x:v>
      </x:c>
      <x:c r="F85" t="str">
        <x:v>DBOLT</x:v>
      </x:c>
      <x:c r="G85" t="str">
        <x:v>DB SGL-SFIC</x:v>
      </x:c>
      <x:c r="H85" t="str">
        <x:v>SCH</x:v>
      </x:c>
      <x:c r="I85" t="str">
        <x:v>B660B</x:v>
      </x:c>
      <x:c r="J85" t="str">
        <x:v>B660P G1 SINGLE 6PIN</x:v>
      </x:c>
      <x:c r="K85" t="str"/>
      <x:c r="L85" t="str">
        <x:v>626</x:v>
      </x:c>
      <x:c r="M85" t="str">
        <x:v>B660B 626</x:v>
      </x:c>
      <x:c r="N85" t="str"/>
      <x:c r="O85" s="54" t="n">
        <x:v>163.2</x:v>
      </x:c>
      <x:c r="P85" t="str"/>
    </x:row>
    <x:row r="86" ht="15" hidden="0" customHeight="1">
      <x:c r="A86" t="n">
        <x:v>99</x:v>
      </x:c>
      <x:c r="B86" t="str">
        <x:v>YES</x:v>
      </x:c>
      <x:c r="C86" t="str"/>
      <x:c r="D86" t="str">
        <x:v>OFFER-6016F1721701</x:v>
      </x:c>
      <x:c r="E86" t="str">
        <x:v>SPEC-C2F54366822D</x:v>
      </x:c>
      <x:c r="F86" t="str">
        <x:v>DBOLT</x:v>
      </x:c>
      <x:c r="G86" t="str">
        <x:v>DB SGL</x:v>
      </x:c>
      <x:c r="H86" t="str">
        <x:v>SCH</x:v>
      </x:c>
      <x:c r="I86" t="str">
        <x:v>INDICATOR</x:v>
      </x:c>
      <x:c r="J86" t="str">
        <x:v>B660P G1 6 PIN INDICATOR</x:v>
      </x:c>
      <x:c r="K86" t="str"/>
      <x:c r="L86" t="str"/>
      <x:c r="M86" t="str">
        <x:v>B660B 626 OS-OCC</x:v>
      </x:c>
      <x:c r="N86" t="str"/>
      <x:c r="O86" s="54" t="n">
        <x:v>207.84</x:v>
      </x:c>
      <x:c r="P86" t="str"/>
    </x:row>
    <x:row r="87" ht="15" hidden="0" customHeight="1">
      <x:c r="A87" t="n">
        <x:v>100</x:v>
      </x:c>
      <x:c r="B87" t="str">
        <x:v>YES</x:v>
      </x:c>
      <x:c r="C87" t="str"/>
      <x:c r="D87" t="str">
        <x:v>OFFER-82FC3473DC07</x:v>
      </x:c>
      <x:c r="E87" t="str">
        <x:v>SPEC-F8964A11918A</x:v>
      </x:c>
      <x:c r="F87" t="str">
        <x:v>DBOLT</x:v>
      </x:c>
      <x:c r="G87" t="str">
        <x:v>DB SGL-SFIC</x:v>
      </x:c>
      <x:c r="H87" t="str">
        <x:v>SCH</x:v>
      </x:c>
      <x:c r="I87" t="str">
        <x:v>INDICATOR SFIC</x:v>
      </x:c>
      <x:c r="J87" t="str">
        <x:v>B660B G1 6 PIN INDICATOR</x:v>
      </x:c>
      <x:c r="K87" t="str"/>
      <x:c r="L87" t="str"/>
      <x:c r="M87" t="str">
        <x:v>B660P 626 OS-OCC</x:v>
      </x:c>
      <x:c r="N87" t="str"/>
      <x:c r="O87" s="54" t="n">
        <x:v>207.84</x:v>
      </x:c>
      <x:c r="P87" t="str"/>
    </x:row>
    <x:row r="88" ht="15" hidden="0" customHeight="1">
      <x:c r="A88" t="n">
        <x:v>101</x:v>
      </x:c>
      <x:c r="B88" t="str">
        <x:v>YES</x:v>
      </x:c>
      <x:c r="C88" t="str"/>
      <x:c r="D88" t="str">
        <x:v>OFFER-FB59BACE74B1</x:v>
      </x:c>
      <x:c r="E88" t="str">
        <x:v>SPEC-4CA2AA9D327A</x:v>
      </x:c>
      <x:c r="F88" t="str">
        <x:v>DEADBOLT</x:v>
      </x:c>
      <x:c r="G88" t="str">
        <x:v>DB SFIC</x:v>
      </x:c>
      <x:c r="H88" t="str">
        <x:v>SCH</x:v>
      </x:c>
      <x:c r="I88" t="str">
        <x:v>TUBE DB 7 PIN</x:v>
      </x:c>
      <x:c r="J88" t="str">
        <x:v>8 SERIES G1 STD DB</x:v>
      </x:c>
      <x:c r="K88" t="str"/>
      <x:c r="L88" t="str">
        <x:v>626</x:v>
      </x:c>
      <x:c r="M88" t="str">
        <x:v>8T37KSTK 626-SFIC</x:v>
      </x:c>
      <x:c r="N88" t="str"/>
      <x:c r="O88" s="54" t="n">
        <x:v>179.5</x:v>
      </x:c>
      <x:c r="P88" t="str"/>
    </x:row>
    <x:row r="89" ht="15" hidden="0" customHeight="1">
      <x:c r="A89" t="n">
        <x:v>102</x:v>
      </x:c>
      <x:c r="B89" t="str">
        <x:v>YES</x:v>
      </x:c>
      <x:c r="C89" t="str"/>
      <x:c r="D89" t="str">
        <x:v>OFFER-88A0661396C8</x:v>
      </x:c>
      <x:c r="E89" t="str">
        <x:v>SPEC-7F8EB42856A9</x:v>
      </x:c>
      <x:c r="F89" t="str">
        <x:v>DEADBOLT</x:v>
      </x:c>
      <x:c r="G89" t="str">
        <x:v>DB SFIC CLASS</x:v>
      </x:c>
      <x:c r="H89" t="str">
        <x:v>SCH</x:v>
      </x:c>
      <x:c r="I89" t="str">
        <x:v>TUBE DB 7 PIN</x:v>
      </x:c>
      <x:c r="J89" t="str">
        <x:v>8 SERIES G1 CLASSROOM DB</x:v>
      </x:c>
      <x:c r="K89" t="str"/>
      <x:c r="L89" t="str">
        <x:v>626</x:v>
      </x:c>
      <x:c r="M89" t="str">
        <x:v>8T37SSTK 626-SFIC</x:v>
      </x:c>
      <x:c r="N89" t="str"/>
      <x:c r="O89" s="54" t="n">
        <x:v>179.5</x:v>
      </x:c>
      <x:c r="P89" t="str"/>
    </x:row>
    <x:row r="90" ht="15" hidden="0" customHeight="1">
      <x:c r="A90" t="n">
        <x:v>103</x:v>
      </x:c>
      <x:c r="B90" t="str">
        <x:v>YES</x:v>
      </x:c>
      <x:c r="C90" t="str"/>
      <x:c r="D90" t="str">
        <x:v>OFFER-A97BAAAAD0D4</x:v>
      </x:c>
      <x:c r="E90" t="str">
        <x:v>SPEC-FEDA413E0129</x:v>
      </x:c>
      <x:c r="F90" t="str">
        <x:v>DEADBOLT</x:v>
      </x:c>
      <x:c r="G90" t="str">
        <x:v>DB PULL PLATE HANDLE</x:v>
      </x:c>
      <x:c r="H90" t="str">
        <x:v>DJ</x:v>
      </x:c>
      <x:c r="I90" t="str">
        <x:v>PULL PLATE</x:v>
      </x:c>
      <x:c r="J90" t="str">
        <x:v>4 * 16 BORED PLATE w 6" PULL 2.125 HOLE</x:v>
      </x:c>
      <x:c r="K90" t="str"/>
      <x:c r="L90" t="str">
        <x:v>630</x:v>
      </x:c>
      <x:c r="M90" t="str">
        <x:v>CFK 7115</x:v>
      </x:c>
      <x:c r="N90" t="str"/>
      <x:c r="O90" s="54"/>
      <x:c r="P90" t="str"/>
    </x:row>
    <x:row r="91" ht="15" hidden="0" customHeight="1">
      <x:c r="A91" t="n">
        <x:v>104</x:v>
      </x:c>
      <x:c r="B91" t="str">
        <x:v>YES</x:v>
      </x:c>
      <x:c r="C91" t="str"/>
      <x:c r="D91" t="str">
        <x:v>OFFER-329B13A6AC55</x:v>
      </x:c>
      <x:c r="E91" t="str">
        <x:v>SPEC-7DFF62A819FC</x:v>
      </x:c>
      <x:c r="F91" t="str">
        <x:v>DEADBOLT</x:v>
      </x:c>
      <x:c r="G91" t="str">
        <x:v>DB PULL PLATE OFFSET</x:v>
      </x:c>
      <x:c r="H91" t="str">
        <x:v>DJ</x:v>
      </x:c>
      <x:c r="I91" t="str">
        <x:v>DEADBOLT PULL</x:v>
      </x:c>
      <x:c r="J91" t="str">
        <x:v>3 * 4.5" .625 PROJECTION 2.125 HOLE</x:v>
      </x:c>
      <x:c r="K91" t="str"/>
      <x:c r="L91" t="str">
        <x:v>630</x:v>
      </x:c>
      <x:c r="M91" t="str">
        <x:v>1875</x:v>
      </x:c>
      <x:c r="N91" t="str"/>
      <x:c r="O91" s="54"/>
      <x:c r="P91" t="str"/>
    </x:row>
    <x:row r="92" ht="15" hidden="0" customHeight="1">
      <x:c r="A92" t="n">
        <x:v>106</x:v>
      </x:c>
      <x:c r="B92" t="str">
        <x:v>YES</x:v>
      </x:c>
      <x:c r="C92" t="str"/>
      <x:c r="D92" t="str">
        <x:v>OFFER-B50CC186D69F</x:v>
      </x:c>
      <x:c r="E92" t="str">
        <x:v>SPEC-FDC7690E5163</x:v>
      </x:c>
      <x:c r="F92" t="str">
        <x:v>CYLINDRICAL LOCK</x:v>
      </x:c>
      <x:c r="G92" t="str">
        <x:v>9K</x:v>
      </x:c>
      <x:c r="H92" t="str">
        <x:v>BST</x:v>
      </x:c>
      <x:c r="I92" t="str">
        <x:v>T</x:v>
      </x:c>
      <x:c r="J92" t="str">
        <x:v>DORMITORY</x:v>
      </x:c>
      <x:c r="K92" t="str"/>
      <x:c r="L92" t="str">
        <x:v>626</x:v>
      </x:c>
      <x:c r="M92" t="str">
        <x:v>9K-3-7-T-15-C3-STK-626</x:v>
      </x:c>
      <x:c r="N92" t="str"/>
      <x:c r="O92" s="54" t="n">
        <x:v>1227</x:v>
      </x:c>
      <x:c r="P92" t="str">
        <x:v>0.24</x:v>
      </x:c>
    </x:row>
    <x:row r="93" ht="15" hidden="0" customHeight="1">
      <x:c r="A93" t="n">
        <x:v>107</x:v>
      </x:c>
      <x:c r="B93" t="str">
        <x:v>YES</x:v>
      </x:c>
      <x:c r="C93" t="str"/>
      <x:c r="D93" t="str">
        <x:v>OFFER-B2A2482A24DC</x:v>
      </x:c>
      <x:c r="E93" t="str">
        <x:v>SPEC-478FBADD4B27</x:v>
      </x:c>
      <x:c r="F93" t="str">
        <x:v>CYLINDRICAL LOCK</x:v>
      </x:c>
      <x:c r="G93" t="str">
        <x:v>9K</x:v>
      </x:c>
      <x:c r="H93" t="str">
        <x:v>BST</x:v>
      </x:c>
      <x:c r="I93" t="str">
        <x:v>T</x:v>
      </x:c>
      <x:c r="J93" t="str">
        <x:v>DORMITORY SFIC</x:v>
      </x:c>
      <x:c r="K93" t="str"/>
      <x:c r="L93" t="str">
        <x:v>626</x:v>
      </x:c>
      <x:c r="M93" t="str">
        <x:v>9K-3-7-T-15-C3-STK-626 SFIC</x:v>
      </x:c>
      <x:c r="N93" t="str"/>
      <x:c r="O93" s="54" t="n">
        <x:v>1097</x:v>
      </x:c>
      <x:c r="P93" t="str">
        <x:v>0.24</x:v>
      </x:c>
    </x:row>
    <x:row r="94" ht="15" hidden="0" customHeight="1">
      <x:c r="A94" t="n">
        <x:v>108</x:v>
      </x:c>
      <x:c r="B94" t="str">
        <x:v>YES</x:v>
      </x:c>
      <x:c r="C94" t="str"/>
      <x:c r="D94" t="str">
        <x:v>OFFER-87B5664375EA</x:v>
      </x:c>
      <x:c r="E94" t="str">
        <x:v>SPEC-55D2279AA3E0</x:v>
      </x:c>
      <x:c r="F94" t="str">
        <x:v>CYLINDRICAL LOCK</x:v>
      </x:c>
      <x:c r="G94" t="str">
        <x:v>9K</x:v>
      </x:c>
      <x:c r="H94" t="str">
        <x:v>BST</x:v>
      </x:c>
      <x:c r="I94" t="str">
        <x:v>T</x:v>
      </x:c>
      <x:c r="J94" t="str">
        <x:v>DORMITORY LFIC</x:v>
      </x:c>
      <x:c r="K94" t="str"/>
      <x:c r="L94" t="str">
        <x:v>626</x:v>
      </x:c>
      <x:c r="M94" t="str">
        <x:v>9K-3-7-T-15-C3-STK-626 LFIC</x:v>
      </x:c>
      <x:c r="N94" t="str"/>
      <x:c r="O94" s="54" t="n">
        <x:v>1097</x:v>
      </x:c>
      <x:c r="P94" t="str">
        <x:v>0.24</x:v>
      </x:c>
    </x:row>
    <x:row r="95" ht="15" hidden="0" customHeight="1">
      <x:c r="A95" t="n">
        <x:v>109</x:v>
      </x:c>
      <x:c r="B95" t="str">
        <x:v>YES</x:v>
      </x:c>
      <x:c r="C95" t="str"/>
      <x:c r="D95" t="str">
        <x:v>OFFER-D18A8BAA70C6</x:v>
      </x:c>
      <x:c r="E95" t="str">
        <x:v>SPEC-882618A3F0C9</x:v>
      </x:c>
      <x:c r="F95" t="str">
        <x:v>CYLINDRICAL LOCK</x:v>
      </x:c>
      <x:c r="G95" t="str">
        <x:v>9K</x:v>
      </x:c>
      <x:c r="H95" t="str">
        <x:v>BST</x:v>
      </x:c>
      <x:c r="I95" t="str">
        <x:v>D</x:v>
      </x:c>
      <x:c r="J95" t="str">
        <x:v>STOREROOM</x:v>
      </x:c>
      <x:c r="K95" t="str"/>
      <x:c r="L95" t="str">
        <x:v>626</x:v>
      </x:c>
      <x:c r="M95" t="str">
        <x:v>9K-3-7-D-15-C3-STK-626</x:v>
      </x:c>
      <x:c r="N95" t="str"/>
      <x:c r="O95" s="54" t="n">
        <x:v>1227</x:v>
      </x:c>
      <x:c r="P95" t="str">
        <x:v>0.24</x:v>
      </x:c>
    </x:row>
    <x:row r="96" ht="15" hidden="0" customHeight="1">
      <x:c r="A96" t="n">
        <x:v>110</x:v>
      </x:c>
      <x:c r="B96" t="str">
        <x:v>YES</x:v>
      </x:c>
      <x:c r="C96" t="str"/>
      <x:c r="D96" t="str">
        <x:v>OFFER-C1639CDE094E</x:v>
      </x:c>
      <x:c r="E96" t="str">
        <x:v>SPEC-3AA63A49680F</x:v>
      </x:c>
      <x:c r="F96" t="str">
        <x:v>CYLINDRICAL LOCK</x:v>
      </x:c>
      <x:c r="G96" t="str">
        <x:v>9K</x:v>
      </x:c>
      <x:c r="H96" t="str">
        <x:v>BST</x:v>
      </x:c>
      <x:c r="I96" t="str">
        <x:v>D</x:v>
      </x:c>
      <x:c r="J96" t="str">
        <x:v>STOREROOM SFIC</x:v>
      </x:c>
      <x:c r="K96" t="str"/>
      <x:c r="L96" t="str">
        <x:v>626</x:v>
      </x:c>
      <x:c r="M96" t="str">
        <x:v>9K-3-7-D-15-C3-STK-626 SFIC</x:v>
      </x:c>
      <x:c r="N96" t="str"/>
      <x:c r="O96" s="54" t="n">
        <x:v>1097</x:v>
      </x:c>
      <x:c r="P96" t="str">
        <x:v>0.24</x:v>
      </x:c>
    </x:row>
    <x:row r="97" ht="15" hidden="0" customHeight="1">
      <x:c r="A97" t="n">
        <x:v>111</x:v>
      </x:c>
      <x:c r="B97" t="str">
        <x:v>YES</x:v>
      </x:c>
      <x:c r="C97" t="str"/>
      <x:c r="D97" t="str">
        <x:v>OFFER-0E233393FCAC</x:v>
      </x:c>
      <x:c r="E97" t="str">
        <x:v>SPEC-3B800FDF68F4</x:v>
      </x:c>
      <x:c r="F97" t="str">
        <x:v>CYLINDRICAL LOCK</x:v>
      </x:c>
      <x:c r="G97" t="str">
        <x:v>9K</x:v>
      </x:c>
      <x:c r="H97" t="str">
        <x:v>BST</x:v>
      </x:c>
      <x:c r="I97" t="str">
        <x:v>D</x:v>
      </x:c>
      <x:c r="J97" t="str">
        <x:v>STOREROOM LFIC</x:v>
      </x:c>
      <x:c r="K97" t="str"/>
      <x:c r="L97" t="str">
        <x:v>626</x:v>
      </x:c>
      <x:c r="M97" t="str">
        <x:v>9K-3-7-D-15-C3-STK-626 LFIC</x:v>
      </x:c>
      <x:c r="N97" t="str"/>
      <x:c r="O97" s="54" t="n">
        <x:v>1097</x:v>
      </x:c>
      <x:c r="P97" t="str">
        <x:v>0.24</x:v>
      </x:c>
    </x:row>
    <x:row r="98" ht="15" hidden="0" customHeight="1">
      <x:c r="A98" t="n">
        <x:v>112</x:v>
      </x:c>
      <x:c r="B98" t="str">
        <x:v>YES</x:v>
      </x:c>
      <x:c r="C98" t="str"/>
      <x:c r="D98" t="str">
        <x:v>OFFER-45FB95B47E73</x:v>
      </x:c>
      <x:c r="E98" t="str">
        <x:v>SPEC-46A9513103A2</x:v>
      </x:c>
      <x:c r="F98" t="str">
        <x:v>CYLINDRICAL LOCK</x:v>
      </x:c>
      <x:c r="G98" t="str">
        <x:v>9K</x:v>
      </x:c>
      <x:c r="H98" t="str">
        <x:v>BST</x:v>
      </x:c>
      <x:c r="I98" t="str">
        <x:v>R</x:v>
      </x:c>
      <x:c r="J98" t="str">
        <x:v>CLASSROOM</x:v>
      </x:c>
      <x:c r="K98" t="str"/>
      <x:c r="L98" t="str">
        <x:v>626</x:v>
      </x:c>
      <x:c r="M98" t="str">
        <x:v>9K-3-7-R-15-C3-STK-626</x:v>
      </x:c>
      <x:c r="N98" t="str"/>
      <x:c r="O98" s="54" t="n">
        <x:v>1227</x:v>
      </x:c>
      <x:c r="P98" t="str">
        <x:v>0.24</x:v>
      </x:c>
    </x:row>
    <x:row r="99" ht="15" hidden="0" customHeight="1">
      <x:c r="A99" t="n">
        <x:v>113</x:v>
      </x:c>
      <x:c r="B99" t="str">
        <x:v>YES</x:v>
      </x:c>
      <x:c r="C99" t="str"/>
      <x:c r="D99" t="str">
        <x:v>OFFER-454A9B08F784</x:v>
      </x:c>
      <x:c r="E99" t="str">
        <x:v>SPEC-5C4DA25D107E</x:v>
      </x:c>
      <x:c r="F99" t="str">
        <x:v>CYLINDRICAL LOCK</x:v>
      </x:c>
      <x:c r="G99" t="str">
        <x:v>9K</x:v>
      </x:c>
      <x:c r="H99" t="str">
        <x:v>BST</x:v>
      </x:c>
      <x:c r="I99" t="str">
        <x:v>R</x:v>
      </x:c>
      <x:c r="J99" t="str">
        <x:v>CLASSROOM SFIC</x:v>
      </x:c>
      <x:c r="K99" t="str"/>
      <x:c r="L99" t="str">
        <x:v>626</x:v>
      </x:c>
      <x:c r="M99" t="str">
        <x:v>9K-3-7-R-15-C3-STK-626 SFIC</x:v>
      </x:c>
      <x:c r="N99" t="str"/>
      <x:c r="O99" s="54" t="n">
        <x:v>1097</x:v>
      </x:c>
      <x:c r="P99" t="str">
        <x:v>0.24</x:v>
      </x:c>
    </x:row>
    <x:row r="100" ht="15" hidden="0" customHeight="1">
      <x:c r="A100" t="n">
        <x:v>114</x:v>
      </x:c>
      <x:c r="B100" t="str">
        <x:v>YES</x:v>
      </x:c>
      <x:c r="C100" t="str"/>
      <x:c r="D100" t="str">
        <x:v>OFFER-C42072D34509</x:v>
      </x:c>
      <x:c r="E100" t="str">
        <x:v>SPEC-286A187D72D2</x:v>
      </x:c>
      <x:c r="F100" t="str">
        <x:v>CYLINDRICAL LOCK</x:v>
      </x:c>
      <x:c r="G100" t="str">
        <x:v>9K</x:v>
      </x:c>
      <x:c r="H100" t="str">
        <x:v>BST</x:v>
      </x:c>
      <x:c r="I100" t="str">
        <x:v>R</x:v>
      </x:c>
      <x:c r="J100" t="str">
        <x:v>CLASSROOM LFIC</x:v>
      </x:c>
      <x:c r="K100" t="str"/>
      <x:c r="L100" t="str">
        <x:v>626</x:v>
      </x:c>
      <x:c r="M100" t="str">
        <x:v>9K-3-7-R-15-C3-STK-626 LFIC</x:v>
      </x:c>
      <x:c r="N100" t="str"/>
      <x:c r="O100" s="54" t="n">
        <x:v>1097</x:v>
      </x:c>
      <x:c r="P100" t="str">
        <x:v>0.24</x:v>
      </x:c>
    </x:row>
    <x:row r="101" ht="15" hidden="0" customHeight="1">
      <x:c r="A101" t="n">
        <x:v>115</x:v>
      </x:c>
      <x:c r="B101" t="str">
        <x:v>YES</x:v>
      </x:c>
      <x:c r="C101" t="str"/>
      <x:c r="D101" t="str">
        <x:v>OFFER-B7DA3422137A</x:v>
      </x:c>
      <x:c r="E101" t="str">
        <x:v>SPEC-298651EAB3F0</x:v>
      </x:c>
      <x:c r="F101" t="str">
        <x:v>CYLINDRICAL LOCK</x:v>
      </x:c>
      <x:c r="G101" t="str">
        <x:v>9K</x:v>
      </x:c>
      <x:c r="H101" t="str">
        <x:v>BST</x:v>
      </x:c>
      <x:c r="I101" t="str">
        <x:v>AB</x:v>
      </x:c>
      <x:c r="J101" t="str">
        <x:v>ENTRANCE</x:v>
      </x:c>
      <x:c r="K101" t="str"/>
      <x:c r="L101" t="str">
        <x:v>626</x:v>
      </x:c>
      <x:c r="M101" t="str">
        <x:v>9K-3-7-AB-15-C3-STK-626</x:v>
      </x:c>
      <x:c r="N101" t="str"/>
      <x:c r="O101" s="54" t="n">
        <x:v>1227</x:v>
      </x:c>
      <x:c r="P101" t="str">
        <x:v>0.24</x:v>
      </x:c>
    </x:row>
    <x:row r="102" ht="15" hidden="0" customHeight="1">
      <x:c r="A102" t="n">
        <x:v>116</x:v>
      </x:c>
      <x:c r="B102" t="str">
        <x:v>YES</x:v>
      </x:c>
      <x:c r="C102" t="str"/>
      <x:c r="D102" t="str">
        <x:v>OFFER-BA0BD7B741FF</x:v>
      </x:c>
      <x:c r="E102" t="str">
        <x:v>SPEC-1B29D52847DA</x:v>
      </x:c>
      <x:c r="F102" t="str">
        <x:v>CYLINDRICAL LOCK</x:v>
      </x:c>
      <x:c r="G102" t="str">
        <x:v>9K</x:v>
      </x:c>
      <x:c r="H102" t="str">
        <x:v>BST</x:v>
      </x:c>
      <x:c r="I102" t="str">
        <x:v>AB</x:v>
      </x:c>
      <x:c r="J102" t="str">
        <x:v>ENTRANCE SFIC</x:v>
      </x:c>
      <x:c r="K102" t="str"/>
      <x:c r="L102" t="str">
        <x:v>626</x:v>
      </x:c>
      <x:c r="M102" t="str">
        <x:v>9K-3-7-AB-15-C3-STK-626 SFIC</x:v>
      </x:c>
      <x:c r="N102" t="str"/>
      <x:c r="O102" s="54" t="n">
        <x:v>1097</x:v>
      </x:c>
      <x:c r="P102" t="str">
        <x:v>0.24</x:v>
      </x:c>
    </x:row>
    <x:row r="103" ht="15" hidden="0" customHeight="1">
      <x:c r="A103" t="n">
        <x:v>117</x:v>
      </x:c>
      <x:c r="B103" t="str">
        <x:v>YES</x:v>
      </x:c>
      <x:c r="C103" t="str"/>
      <x:c r="D103" t="str">
        <x:v>OFFER-679DE7412EBF</x:v>
      </x:c>
      <x:c r="E103" t="str">
        <x:v>SPEC-E99F2405E5BB</x:v>
      </x:c>
      <x:c r="F103" t="str">
        <x:v>CYLINDRICAL LOCK</x:v>
      </x:c>
      <x:c r="G103" t="str">
        <x:v>9K</x:v>
      </x:c>
      <x:c r="H103" t="str">
        <x:v>BST</x:v>
      </x:c>
      <x:c r="I103" t="str">
        <x:v>AB</x:v>
      </x:c>
      <x:c r="J103" t="str">
        <x:v>ENTRANCE LFIC</x:v>
      </x:c>
      <x:c r="K103" t="str"/>
      <x:c r="L103" t="str">
        <x:v>626</x:v>
      </x:c>
      <x:c r="M103" t="str">
        <x:v>9K-3-7-AB-15-C3-STK-626 LFIC</x:v>
      </x:c>
      <x:c r="N103" t="str"/>
      <x:c r="O103" s="54" t="n">
        <x:v>1097</x:v>
      </x:c>
      <x:c r="P103" t="str">
        <x:v>0.24</x:v>
      </x:c>
    </x:row>
    <x:row r="104" ht="15" hidden="0" customHeight="1">
      <x:c r="A104" t="n">
        <x:v>119</x:v>
      </x:c>
      <x:c r="B104" t="str">
        <x:v>YES</x:v>
      </x:c>
      <x:c r="C104" t="str"/>
      <x:c r="D104" t="str">
        <x:v>OFFER-07B0F39118B2</x:v>
      </x:c>
      <x:c r="E104" t="str">
        <x:v>SPEC-FDC7690E5163</x:v>
      </x:c>
      <x:c r="F104" t="str">
        <x:v>CYLINDRICAL LOCK</x:v>
      </x:c>
      <x:c r="G104" t="str">
        <x:v>C173</x:v>
      </x:c>
      <x:c r="H104" t="str">
        <x:v>DK</x:v>
      </x:c>
      <x:c r="I104" t="str">
        <x:v>F90</x:v>
      </x:c>
      <x:c r="J104" t="str">
        <x:v>DORM/CORIDOR</x:v>
      </x:c>
      <x:c r="K104" t="str"/>
      <x:c r="L104" t="str">
        <x:v>626</x:v>
      </x:c>
      <x:c r="M104" t="str">
        <x:v>C173-D-LR-C-*-*-10252-134-5001-1316</x:v>
      </x:c>
      <x:c r="N104" t="str"/>
      <x:c r="O104" s="54" t="n">
        <x:v>921</x:v>
      </x:c>
      <x:c r="P104" t="str"/>
    </x:row>
    <x:row r="105" ht="15" hidden="0" customHeight="1">
      <x:c r="A105" t="n">
        <x:v>120</x:v>
      </x:c>
      <x:c r="B105" t="str">
        <x:v>YES</x:v>
      </x:c>
      <x:c r="C105" t="str"/>
      <x:c r="D105" t="str">
        <x:v>OFFER-7CDA65B72519</x:v>
      </x:c>
      <x:c r="E105" t="str">
        <x:v>SPEC-478FBADD4B27</x:v>
      </x:c>
      <x:c r="F105" t="str">
        <x:v>CYLINDRICAL LOCK</x:v>
      </x:c>
      <x:c r="G105" t="str">
        <x:v>C173-J</x:v>
      </x:c>
      <x:c r="H105" t="str">
        <x:v>DK</x:v>
      </x:c>
      <x:c r="I105" t="str">
        <x:v>F90</x:v>
      </x:c>
      <x:c r="J105" t="str">
        <x:v>DORM/CORIDOR SFIC</x:v>
      </x:c>
      <x:c r="K105" t="str"/>
      <x:c r="L105" t="str">
        <x:v>626</x:v>
      </x:c>
      <x:c r="M105" t="str">
        <x:v>C173-J-LR-C-*-*-10252-134-5001-1316</x:v>
      </x:c>
      <x:c r="N105" t="str"/>
      <x:c r="O105" s="54" t="n">
        <x:v>921</x:v>
      </x:c>
      <x:c r="P105" t="str"/>
    </x:row>
    <x:row r="106" ht="15" hidden="0" customHeight="1">
      <x:c r="A106" t="n">
        <x:v>121</x:v>
      </x:c>
      <x:c r="B106" t="str">
        <x:v>YES</x:v>
      </x:c>
      <x:c r="C106" t="str"/>
      <x:c r="D106" t="str">
        <x:v>OFFER-09C1F036F3FE</x:v>
      </x:c>
      <x:c r="E106" t="str">
        <x:v>SPEC-882618A3F0C9</x:v>
      </x:c>
      <x:c r="F106" t="str">
        <x:v>CYLINDRICAL LOCK</x:v>
      </x:c>
      <x:c r="G106" t="str">
        <x:v>C180J</x:v>
      </x:c>
      <x:c r="H106" t="str">
        <x:v>DK</x:v>
      </x:c>
      <x:c r="I106" t="str">
        <x:v>F86</x:v>
      </x:c>
      <x:c r="J106" t="str">
        <x:v>STOREROOM</x:v>
      </x:c>
      <x:c r="K106" t="str"/>
      <x:c r="L106" t="str">
        <x:v>626</x:v>
      </x:c>
      <x:c r="M106" t="str">
        <x:v>C180-D-LR-C-*-*-10252-134-5001-1316</x:v>
      </x:c>
      <x:c r="N106" t="str"/>
      <x:c r="O106" s="54" t="n">
        <x:v>893</x:v>
      </x:c>
      <x:c r="P106" t="str"/>
    </x:row>
    <x:row r="107" ht="15" hidden="0" customHeight="1">
      <x:c r="A107" t="n">
        <x:v>122</x:v>
      </x:c>
      <x:c r="B107" t="str">
        <x:v>YES</x:v>
      </x:c>
      <x:c r="C107" t="str"/>
      <x:c r="D107" t="str">
        <x:v>OFFER-3F26F8BAACC9</x:v>
      </x:c>
      <x:c r="E107" t="str">
        <x:v>SPEC-3AA63A49680F</x:v>
      </x:c>
      <x:c r="F107" t="str">
        <x:v>CYLINDRICAL LOCK</x:v>
      </x:c>
      <x:c r="G107" t="str">
        <x:v>C180J</x:v>
      </x:c>
      <x:c r="H107" t="str">
        <x:v>DK</x:v>
      </x:c>
      <x:c r="I107" t="str">
        <x:v>F86</x:v>
      </x:c>
      <x:c r="J107" t="str">
        <x:v>STOREROOM SFIC</x:v>
      </x:c>
      <x:c r="K107" t="str"/>
      <x:c r="L107" t="str">
        <x:v>626</x:v>
      </x:c>
      <x:c r="M107" t="str">
        <x:v>C180-J-LR-C-*-*-10252-134-5001-1316</x:v>
      </x:c>
      <x:c r="N107" t="str"/>
      <x:c r="O107" s="54" t="n">
        <x:v>893</x:v>
      </x:c>
      <x:c r="P107" t="str"/>
    </x:row>
    <x:row r="108" ht="15" hidden="0" customHeight="1">
      <x:c r="A108" t="n">
        <x:v>123</x:v>
      </x:c>
      <x:c r="B108" t="str">
        <x:v>YES</x:v>
      </x:c>
      <x:c r="C108" t="str"/>
      <x:c r="D108" t="str">
        <x:v>OFFER-2F691E05F086</x:v>
      </x:c>
      <x:c r="E108" t="str">
        <x:v>SPEC-46A9513103A2</x:v>
      </x:c>
      <x:c r="F108" t="str">
        <x:v>CYLINDRICAL LOCK</x:v>
      </x:c>
      <x:c r="G108" t="str">
        <x:v>C170</x:v>
      </x:c>
      <x:c r="H108" t="str">
        <x:v>DK</x:v>
      </x:c>
      <x:c r="I108" t="str">
        <x:v>F84</x:v>
      </x:c>
      <x:c r="J108" t="str">
        <x:v>CLASSROOM</x:v>
      </x:c>
      <x:c r="K108" t="str"/>
      <x:c r="L108" t="str">
        <x:v>626</x:v>
      </x:c>
      <x:c r="M108" t="str">
        <x:v>C170-D-LR-C-*-*-10252-134-5001-1316</x:v>
      </x:c>
      <x:c r="N108" t="str"/>
      <x:c r="O108" s="54" t="n">
        <x:v>893</x:v>
      </x:c>
      <x:c r="P108" t="str"/>
    </x:row>
    <x:row r="109" ht="15" hidden="0" customHeight="1">
      <x:c r="A109" t="n">
        <x:v>124</x:v>
      </x:c>
      <x:c r="B109" t="str">
        <x:v>YES</x:v>
      </x:c>
      <x:c r="C109" t="str"/>
      <x:c r="D109" t="str">
        <x:v>OFFER-834624F454E0</x:v>
      </x:c>
      <x:c r="E109" t="str">
        <x:v>SPEC-5C4DA25D107E</x:v>
      </x:c>
      <x:c r="F109" t="str">
        <x:v>CYLINDRICAL LOCK</x:v>
      </x:c>
      <x:c r="G109" t="str">
        <x:v>C170J</x:v>
      </x:c>
      <x:c r="H109" t="str">
        <x:v>DK</x:v>
      </x:c>
      <x:c r="I109" t="str">
        <x:v>F84</x:v>
      </x:c>
      <x:c r="J109" t="str">
        <x:v>CLASSROOM SFIC</x:v>
      </x:c>
      <x:c r="K109" t="str"/>
      <x:c r="L109" t="str">
        <x:v>626</x:v>
      </x:c>
      <x:c r="M109" t="str">
        <x:v>C170-J-LR-C-*-*-10252-134-5001-1316</x:v>
      </x:c>
      <x:c r="N109" t="str"/>
      <x:c r="O109" s="54" t="n">
        <x:v>121.93</x:v>
      </x:c>
      <x:c r="P109" t="str"/>
    </x:row>
    <x:row r="110" ht="15" hidden="0" customHeight="1">
      <x:c r="A110" t="n">
        <x:v>125</x:v>
      </x:c>
      <x:c r="B110" t="str">
        <x:v>YES</x:v>
      </x:c>
      <x:c r="C110" t="str"/>
      <x:c r="D110" t="str">
        <x:v>OFFER-CF9767EEC07F</x:v>
      </x:c>
      <x:c r="E110" t="str">
        <x:v>SPEC-298651EAB3F0</x:v>
      </x:c>
      <x:c r="F110" t="str">
        <x:v>CYLINDRICAL LOCK</x:v>
      </x:c>
      <x:c r="G110" t="str">
        <x:v>C150</x:v>
      </x:c>
      <x:c r="H110" t="str">
        <x:v>DK</x:v>
      </x:c>
      <x:c r="I110" t="str">
        <x:v>F109-82</x:v>
      </x:c>
      <x:c r="J110" t="str">
        <x:v>ENTRY</x:v>
      </x:c>
      <x:c r="K110" t="str"/>
      <x:c r="L110" t="str">
        <x:v>626</x:v>
      </x:c>
      <x:c r="M110" t="str">
        <x:v>C150-D-LR-C-*-*-10252-134-5001-1316</x:v>
      </x:c>
      <x:c r="N110" t="str"/>
      <x:c r="O110" s="54" t="n">
        <x:v>106.88</x:v>
      </x:c>
      <x:c r="P110" t="str"/>
    </x:row>
    <x:row r="111" ht="15" hidden="0" customHeight="1">
      <x:c r="A111" t="n">
        <x:v>126</x:v>
      </x:c>
      <x:c r="B111" t="str">
        <x:v>YES</x:v>
      </x:c>
      <x:c r="C111" t="str"/>
      <x:c r="D111" t="str">
        <x:v>OFFER-774C843A63AE</x:v>
      </x:c>
      <x:c r="E111" t="str">
        <x:v>SPEC-1B29D52847DA</x:v>
      </x:c>
      <x:c r="F111" t="str">
        <x:v>CYLINDRICAL LOCK</x:v>
      </x:c>
      <x:c r="G111" t="str">
        <x:v>C150J</x:v>
      </x:c>
      <x:c r="H111" t="str">
        <x:v>DK</x:v>
      </x:c>
      <x:c r="I111" t="str">
        <x:v>F109-82</x:v>
      </x:c>
      <x:c r="J111" t="str">
        <x:v>ENTRY SFIC</x:v>
      </x:c>
      <x:c r="K111" t="str"/>
      <x:c r="L111" t="str">
        <x:v>626</x:v>
      </x:c>
      <x:c r="M111" t="str">
        <x:v>C150-J-LR-C-*-*-10252-134-5001-1316</x:v>
      </x:c>
      <x:c r="N111" t="str"/>
      <x:c r="O111" s="54" t="n">
        <x:v>116.88</x:v>
      </x:c>
      <x:c r="P111" t="str"/>
    </x:row>
    <x:row r="112" ht="15" hidden="0" customHeight="1">
      <x:c r="A112" t="n">
        <x:v>127</x:v>
      </x:c>
      <x:c r="B112" t="str">
        <x:v>YES</x:v>
      </x:c>
      <x:c r="C112" t="str"/>
      <x:c r="D112" t="str">
        <x:v>OFFER-BC06A3BF9397</x:v>
      </x:c>
      <x:c r="E112" t="str">
        <x:v>SPEC-5446FAC943AB</x:v>
      </x:c>
      <x:c r="F112" t="str">
        <x:v>CYLINDRICAL LOCK</x:v>
      </x:c>
      <x:c r="G112" t="str">
        <x:v>C180EU</x:v>
      </x:c>
      <x:c r="H112" t="str">
        <x:v>DK</x:v>
      </x:c>
      <x:c r="I112" t="str">
        <x:v>F109-82</x:v>
      </x:c>
      <x:c r="J112" t="str">
        <x:v>ENTRY FAIL SECURE</x:v>
      </x:c>
      <x:c r="K112" t="str"/>
      <x:c r="L112" t="str">
        <x:v>626</x:v>
      </x:c>
      <x:c r="M112" t="str">
        <x:v>C180EU-D-LR-C-*-*-10252-134-5001-1316</x:v>
      </x:c>
      <x:c r="N112" t="str"/>
      <x:c r="O112" s="54" t="n">
        <x:v>106.88</x:v>
      </x:c>
      <x:c r="P112" t="str"/>
    </x:row>
    <x:row r="113" ht="15" hidden="0" customHeight="1">
      <x:c r="A113" t="n">
        <x:v>128</x:v>
      </x:c>
      <x:c r="B113" t="str">
        <x:v>YES</x:v>
      </x:c>
      <x:c r="C113" t="str"/>
      <x:c r="D113" t="str">
        <x:v>OFFER-392B449BDFDB</x:v>
      </x:c>
      <x:c r="E113" t="str">
        <x:v>SPEC-4F3533C4A796</x:v>
      </x:c>
      <x:c r="F113" t="str">
        <x:v>CYLINDRICAL LOCK</x:v>
      </x:c>
      <x:c r="G113" t="str">
        <x:v>C180EL</x:v>
      </x:c>
      <x:c r="H113" t="str">
        <x:v>DK</x:v>
      </x:c>
      <x:c r="I113" t="str">
        <x:v>F109-82</x:v>
      </x:c>
      <x:c r="J113" t="str">
        <x:v>ENTRY FAIL SAFE</x:v>
      </x:c>
      <x:c r="K113" t="str"/>
      <x:c r="L113" t="str">
        <x:v>626</x:v>
      </x:c>
      <x:c r="M113" t="str">
        <x:v>C180EL-D-LR-C-*-*-10252-134-5001-1316</x:v>
      </x:c>
      <x:c r="N113" t="str"/>
      <x:c r="O113" s="54" t="n">
        <x:v>116.88</x:v>
      </x:c>
      <x:c r="P113" t="str"/>
    </x:row>
    <x:row r="114" ht="15" hidden="0" customHeight="1">
      <x:c r="A114" t="n">
        <x:v>130</x:v>
      </x:c>
      <x:c r="B114" t="str">
        <x:v>YES</x:v>
      </x:c>
      <x:c r="C114" t="str"/>
      <x:c r="D114" t="str">
        <x:v>OFFER-C32131532D24</x:v>
      </x:c>
      <x:c r="E114" t="str">
        <x:v>SPEC-FDC7690E5163</x:v>
      </x:c>
      <x:c r="F114" t="str">
        <x:v>CYLINDRICAL LOCK</x:v>
      </x:c>
      <x:c r="G114" t="str">
        <x:v>Z90</x:v>
      </x:c>
      <x:c r="H114" t="str">
        <x:v>DH</x:v>
      </x:c>
      <x:c r="I114" t="str">
        <x:v>F90</x:v>
      </x:c>
      <x:c r="J114" t="str">
        <x:v>DORM/CORIDOR</x:v>
      </x:c>
      <x:c r="K114" t="str"/>
      <x:c r="L114" t="str">
        <x:v>626</x:v>
      </x:c>
      <x:c r="M114" t="str">
        <x:v>78001851 - Z-90 - F - Dormitory/Corridor Function</x:v>
      </x:c>
      <x:c r="N114" t="str"/>
      <x:c r="O114" s="54" t="n">
        <x:v>290.7</x:v>
      </x:c>
      <x:c r="P114" t="str">
        <x:v>0.26</x:v>
      </x:c>
    </x:row>
    <x:row r="115" ht="15" hidden="0" customHeight="1">
      <x:c r="A115" t="n">
        <x:v>131</x:v>
      </x:c>
      <x:c r="B115" t="str">
        <x:v>YES</x:v>
      </x:c>
      <x:c r="C115" t="str"/>
      <x:c r="D115" t="str">
        <x:v>OFFER-5D0C83C4DD2A</x:v>
      </x:c>
      <x:c r="E115" t="str">
        <x:v>SPEC-478FBADD4B27</x:v>
      </x:c>
      <x:c r="F115" t="str">
        <x:v>CYLINDRICAL LOCK</x:v>
      </x:c>
      <x:c r="G115" t="str">
        <x:v>Z90 SFIC</x:v>
      </x:c>
      <x:c r="H115" t="str">
        <x:v>DH</x:v>
      </x:c>
      <x:c r="I115" t="str">
        <x:v>F90</x:v>
      </x:c>
      <x:c r="J115" t="str">
        <x:v>DORM/CORIDOR SFIC</x:v>
      </x:c>
      <x:c r="K115" t="str"/>
      <x:c r="L115" t="str">
        <x:v>626</x:v>
      </x:c>
      <x:c r="M115" t="str">
        <x:v>78001852 - Z-90IC - F - Dormitory/Corridor (SFIC - no core)</x:v>
      </x:c>
      <x:c r="N115" t="str"/>
      <x:c r="O115" s="54" t="n">
        <x:v>290.7</x:v>
      </x:c>
      <x:c r="P115" t="str">
        <x:v>0.26</x:v>
      </x:c>
    </x:row>
    <x:row r="116" ht="15" hidden="0" customHeight="1">
      <x:c r="A116" t="n">
        <x:v>132</x:v>
      </x:c>
      <x:c r="B116" t="str">
        <x:v>YES</x:v>
      </x:c>
      <x:c r="C116" t="str"/>
      <x:c r="D116" t="str">
        <x:v>OFFER-5E45E9F23946</x:v>
      </x:c>
      <x:c r="E116" t="str">
        <x:v>SPEC-882618A3F0C9</x:v>
      </x:c>
      <x:c r="F116" t="str">
        <x:v>CYLINDRICAL LOCK</x:v>
      </x:c>
      <x:c r="G116" t="str">
        <x:v>Z-86</x:v>
      </x:c>
      <x:c r="H116" t="str">
        <x:v>DH</x:v>
      </x:c>
      <x:c r="I116" t="str">
        <x:v>F86</x:v>
      </x:c>
      <x:c r="J116" t="str">
        <x:v>STOREROOM</x:v>
      </x:c>
      <x:c r="K116" t="str"/>
      <x:c r="L116" t="str">
        <x:v>626</x:v>
      </x:c>
      <x:c r="M116" t="str">
        <x:v>78001847 - Z-86 - F - Storeroom Function</x:v>
      </x:c>
      <x:c r="N116" t="str"/>
      <x:c r="O116" s="54" t="n">
        <x:v>290.7</x:v>
      </x:c>
      <x:c r="P116" t="str">
        <x:v>0.26</x:v>
      </x:c>
    </x:row>
    <x:row r="117" ht="15" hidden="0" customHeight="1">
      <x:c r="A117" t="n">
        <x:v>133</x:v>
      </x:c>
      <x:c r="B117" t="str">
        <x:v>YES</x:v>
      </x:c>
      <x:c r="C117" t="str"/>
      <x:c r="D117" t="str">
        <x:v>OFFER-E6D06E0AA358</x:v>
      </x:c>
      <x:c r="E117" t="str">
        <x:v>SPEC-3AA63A49680F</x:v>
      </x:c>
      <x:c r="F117" t="str">
        <x:v>CYLINDRICAL LOCK</x:v>
      </x:c>
      <x:c r="G117" t="str">
        <x:v>Z-86 SFIC</x:v>
      </x:c>
      <x:c r="H117" t="str">
        <x:v>DH</x:v>
      </x:c>
      <x:c r="I117" t="str">
        <x:v>F86</x:v>
      </x:c>
      <x:c r="J117" t="str">
        <x:v>STOREROOM SFIC</x:v>
      </x:c>
      <x:c r="K117" t="str"/>
      <x:c r="L117" t="str">
        <x:v>626</x:v>
      </x:c>
      <x:c r="M117" t="str">
        <x:v>78001848 - Z-86IC - F - Storeroom (SFIC - no core)</x:v>
      </x:c>
      <x:c r="N117" t="str"/>
      <x:c r="O117" s="54" t="n">
        <x:v>290.7</x:v>
      </x:c>
      <x:c r="P117" t="str">
        <x:v>0.26</x:v>
      </x:c>
    </x:row>
    <x:row r="118" ht="15" hidden="0" customHeight="1">
      <x:c r="A118" t="n">
        <x:v>134</x:v>
      </x:c>
      <x:c r="B118" t="str">
        <x:v>YES</x:v>
      </x:c>
      <x:c r="C118" t="str"/>
      <x:c r="D118" t="str">
        <x:v>OFFER-BF680F93516A</x:v>
      </x:c>
      <x:c r="E118" t="str">
        <x:v>SPEC-46A9513103A2</x:v>
      </x:c>
      <x:c r="F118" t="str">
        <x:v>CYLINDRICAL LOCK</x:v>
      </x:c>
      <x:c r="G118" t="str">
        <x:v>Z-84</x:v>
      </x:c>
      <x:c r="H118" t="str">
        <x:v>DH</x:v>
      </x:c>
      <x:c r="I118" t="str">
        <x:v>F84</x:v>
      </x:c>
      <x:c r="J118" t="str">
        <x:v>CLASSROOM</x:v>
      </x:c>
      <x:c r="K118" t="str"/>
      <x:c r="L118" t="str">
        <x:v>626</x:v>
      </x:c>
      <x:c r="M118" t="str">
        <x:v>78001845 - Z-84 - F - Classroom Function</x:v>
      </x:c>
      <x:c r="N118" t="str"/>
      <x:c r="O118" s="54" t="n">
        <x:v>290.7</x:v>
      </x:c>
      <x:c r="P118" t="str">
        <x:v>0.26</x:v>
      </x:c>
    </x:row>
    <x:row r="119" ht="15" hidden="0" customHeight="1">
      <x:c r="A119" t="n">
        <x:v>135</x:v>
      </x:c>
      <x:c r="B119" t="str">
        <x:v>YES</x:v>
      </x:c>
      <x:c r="C119" t="str"/>
      <x:c r="D119" t="str">
        <x:v>OFFER-798D85F35B21</x:v>
      </x:c>
      <x:c r="E119" t="str">
        <x:v>SPEC-5C4DA25D107E</x:v>
      </x:c>
      <x:c r="F119" t="str">
        <x:v>CYLINDRICAL LOCK</x:v>
      </x:c>
      <x:c r="G119" t="str">
        <x:v>Z-84 SFIC</x:v>
      </x:c>
      <x:c r="H119" t="str">
        <x:v>DH</x:v>
      </x:c>
      <x:c r="I119" t="str">
        <x:v>F84</x:v>
      </x:c>
      <x:c r="J119" t="str">
        <x:v>CLASSROOM SFIC</x:v>
      </x:c>
      <x:c r="K119" t="str"/>
      <x:c r="L119" t="str">
        <x:v>626</x:v>
      </x:c>
      <x:c r="M119" t="str">
        <x:v>78001846 - Z-84IC - F - Classroom (SFIC - no core)</x:v>
      </x:c>
      <x:c r="N119" t="str"/>
      <x:c r="O119" s="54" t="n">
        <x:v>290.7</x:v>
      </x:c>
      <x:c r="P119" t="str">
        <x:v>0.26</x:v>
      </x:c>
    </x:row>
    <x:row r="120" ht="15" hidden="0" customHeight="1">
      <x:c r="A120" t="n">
        <x:v>136</x:v>
      </x:c>
      <x:c r="B120" t="str">
        <x:v>YES</x:v>
      </x:c>
      <x:c r="C120" t="str"/>
      <x:c r="D120" t="str">
        <x:v>OFFER-12499BAFD07E</x:v>
      </x:c>
      <x:c r="E120" t="str">
        <x:v>SPEC-298651EAB3F0</x:v>
      </x:c>
      <x:c r="F120" t="str">
        <x:v>CYLINDRICAL LOCK</x:v>
      </x:c>
      <x:c r="G120" t="str">
        <x:v>Z-82</x:v>
      </x:c>
      <x:c r="H120" t="str">
        <x:v>DH</x:v>
      </x:c>
      <x:c r="I120" t="str">
        <x:v>F82</x:v>
      </x:c>
      <x:c r="J120" t="str">
        <x:v>ENTRY</x:v>
      </x:c>
      <x:c r="K120" t="str"/>
      <x:c r="L120" t="str">
        <x:v>626</x:v>
      </x:c>
      <x:c r="M120" t="str">
        <x:v>78001843 - Z-82 - F - Entry Function</x:v>
      </x:c>
      <x:c r="N120" t="str"/>
      <x:c r="O120" s="54" t="n">
        <x:v>290.7</x:v>
      </x:c>
      <x:c r="P120" t="str">
        <x:v>0.26</x:v>
      </x:c>
    </x:row>
    <x:row r="121" ht="15" hidden="0" customHeight="1">
      <x:c r="A121" t="n">
        <x:v>137</x:v>
      </x:c>
      <x:c r="B121" t="str">
        <x:v>YES</x:v>
      </x:c>
      <x:c r="C121" t="str"/>
      <x:c r="D121" t="str">
        <x:v>OFFER-8FD8D63E79B2</x:v>
      </x:c>
      <x:c r="E121" t="str">
        <x:v>SPEC-1B29D52847DA</x:v>
      </x:c>
      <x:c r="F121" t="str">
        <x:v>CYLINDRICAL LOCK</x:v>
      </x:c>
      <x:c r="G121" t="str">
        <x:v>Z-82 SFIC</x:v>
      </x:c>
      <x:c r="H121" t="str">
        <x:v>DH</x:v>
      </x:c>
      <x:c r="I121" t="str">
        <x:v>F82</x:v>
      </x:c>
      <x:c r="J121" t="str">
        <x:v>ENTRY SFIC</x:v>
      </x:c>
      <x:c r="K121" t="str"/>
      <x:c r="L121" t="str">
        <x:v>626</x:v>
      </x:c>
      <x:c r="M121" t="str">
        <x:v>78001844 - Z-82IC - F - Entry (SFIC - no core)</x:v>
      </x:c>
      <x:c r="N121" t="str"/>
      <x:c r="O121" s="54" t="n">
        <x:v>290.7</x:v>
      </x:c>
      <x:c r="P121" t="str">
        <x:v>0.26</x:v>
      </x:c>
    </x:row>
    <x:row r="122" ht="15" hidden="0" customHeight="1">
      <x:c r="A122" t="n">
        <x:v>139</x:v>
      </x:c>
      <x:c r="B122" t="str">
        <x:v>YES</x:v>
      </x:c>
      <x:c r="C122" t="str"/>
      <x:c r="D122" t="str">
        <x:v>OFFER-00C8B0ED6B07</x:v>
      </x:c>
      <x:c r="E122" t="str">
        <x:v>SPEC-FDC7690E5163</x:v>
      </x:c>
      <x:c r="F122" t="str">
        <x:v>CYLINDRICAL LOCK</x:v>
      </x:c>
      <x:c r="G122" t="str">
        <x:v>X90</x:v>
      </x:c>
      <x:c r="H122" t="str">
        <x:v>DH</x:v>
      </x:c>
      <x:c r="I122" t="str">
        <x:v>F90</x:v>
      </x:c>
      <x:c r="J122" t="str">
        <x:v>DORM/CORIDOR</x:v>
      </x:c>
      <x:c r="K122" t="str"/>
      <x:c r="L122" t="str">
        <x:v>626</x:v>
      </x:c>
      <x:c r="M122" t="str">
        <x:v>78001770 - X-90 - F - Dormitory/Corridor</x:v>
      </x:c>
      <x:c r="N122" t="str"/>
      <x:c r="O122" s="54"/>
      <x:c r="P122" t="str"/>
    </x:row>
    <x:row r="123" ht="15" hidden="0" customHeight="1">
      <x:c r="A123" t="n">
        <x:v>140</x:v>
      </x:c>
      <x:c r="B123" t="str">
        <x:v>YES</x:v>
      </x:c>
      <x:c r="C123" t="str"/>
      <x:c r="D123" t="str">
        <x:v>OFFER-B377DAF18401</x:v>
      </x:c>
      <x:c r="E123" t="str">
        <x:v>SPEC-478FBADD4B27</x:v>
      </x:c>
      <x:c r="F123" t="str">
        <x:v>CYLINDRICAL LOCK</x:v>
      </x:c>
      <x:c r="G123" t="str">
        <x:v>X90 SFIC</x:v>
      </x:c>
      <x:c r="H123" t="str">
        <x:v>DH</x:v>
      </x:c>
      <x:c r="I123" t="str">
        <x:v>F90</x:v>
      </x:c>
      <x:c r="J123" t="str">
        <x:v>DORM/CORIDOR SFIC</x:v>
      </x:c>
      <x:c r="K123" t="str"/>
      <x:c r="L123" t="str">
        <x:v>626</x:v>
      </x:c>
      <x:c r="M123" t="str">
        <x:v>78001771 - X-90IC - F - Dormitory/Corridor (SFIC - no core)</x:v>
      </x:c>
      <x:c r="N123" t="str"/>
      <x:c r="O123" s="54"/>
      <x:c r="P123" t="str"/>
    </x:row>
    <x:row r="124" ht="15" hidden="0" customHeight="1">
      <x:c r="A124" t="n">
        <x:v>141</x:v>
      </x:c>
      <x:c r="B124" t="str">
        <x:v>YES</x:v>
      </x:c>
      <x:c r="C124" t="str"/>
      <x:c r="D124" t="str">
        <x:v>OFFER-29650C600D8F</x:v>
      </x:c>
      <x:c r="E124" t="str">
        <x:v>SPEC-882618A3F0C9</x:v>
      </x:c>
      <x:c r="F124" t="str">
        <x:v>CYLINDRICAL LOCK</x:v>
      </x:c>
      <x:c r="G124" t="str">
        <x:v>X-86</x:v>
      </x:c>
      <x:c r="H124" t="str">
        <x:v>DH</x:v>
      </x:c>
      <x:c r="I124" t="str">
        <x:v>F86</x:v>
      </x:c>
      <x:c r="J124" t="str">
        <x:v>STOREROOM</x:v>
      </x:c>
      <x:c r="K124" t="str"/>
      <x:c r="L124" t="str">
        <x:v>626</x:v>
      </x:c>
      <x:c r="M124" t="str">
        <x:v>78001764 - X-86 - F - Storeroom Function</x:v>
      </x:c>
      <x:c r="N124" t="str"/>
      <x:c r="O124" s="54"/>
      <x:c r="P124" t="str"/>
    </x:row>
    <x:row r="125" ht="15" hidden="0" customHeight="1">
      <x:c r="A125" t="n">
        <x:v>142</x:v>
      </x:c>
      <x:c r="B125" t="str">
        <x:v>YES</x:v>
      </x:c>
      <x:c r="C125" t="str"/>
      <x:c r="D125" t="str">
        <x:v>OFFER-D001B5E1EE01</x:v>
      </x:c>
      <x:c r="E125" t="str">
        <x:v>SPEC-3AA63A49680F</x:v>
      </x:c>
      <x:c r="F125" t="str">
        <x:v>CYLINDRICAL LOCK</x:v>
      </x:c>
      <x:c r="G125" t="str">
        <x:v>X-86 SFIC</x:v>
      </x:c>
      <x:c r="H125" t="str">
        <x:v>DH</x:v>
      </x:c>
      <x:c r="I125" t="str">
        <x:v>F86</x:v>
      </x:c>
      <x:c r="J125" t="str">
        <x:v>STOREROOM SFIC</x:v>
      </x:c>
      <x:c r="K125" t="str"/>
      <x:c r="L125" t="str">
        <x:v>626</x:v>
      </x:c>
      <x:c r="M125" t="str">
        <x:v>78001767 - X-86IC - F - Storeroom (SFIC - no core)</x:v>
      </x:c>
      <x:c r="N125" t="str"/>
      <x:c r="O125" s="54"/>
      <x:c r="P125" t="str"/>
    </x:row>
    <x:row r="126" ht="15" hidden="0" customHeight="1">
      <x:c r="A126" t="n">
        <x:v>143</x:v>
      </x:c>
      <x:c r="B126" t="str">
        <x:v>YES</x:v>
      </x:c>
      <x:c r="C126" t="str"/>
      <x:c r="D126" t="str">
        <x:v>OFFER-49E3BCBEADDD</x:v>
      </x:c>
      <x:c r="E126" t="str">
        <x:v>SPEC-46A9513103A2</x:v>
      </x:c>
      <x:c r="F126" t="str">
        <x:v>CYLINDRICAL LOCK</x:v>
      </x:c>
      <x:c r="G126" t="str">
        <x:v>X-84</x:v>
      </x:c>
      <x:c r="H126" t="str">
        <x:v>DH</x:v>
      </x:c>
      <x:c r="I126" t="str">
        <x:v>F84</x:v>
      </x:c>
      <x:c r="J126" t="str">
        <x:v>CLASSROOM</x:v>
      </x:c>
      <x:c r="K126" t="str"/>
      <x:c r="L126" t="str">
        <x:v>626</x:v>
      </x:c>
      <x:c r="M126" t="str">
        <x:v>78001760 - X-84 - F - Classroom Function</x:v>
      </x:c>
      <x:c r="N126" t="str"/>
      <x:c r="O126" s="54"/>
      <x:c r="P126" t="str"/>
    </x:row>
    <x:row r="127" ht="15" hidden="0" customHeight="1">
      <x:c r="A127" t="n">
        <x:v>144</x:v>
      </x:c>
      <x:c r="B127" t="str">
        <x:v>YES</x:v>
      </x:c>
      <x:c r="C127" t="str"/>
      <x:c r="D127" t="str">
        <x:v>OFFER-24671F23C0DA</x:v>
      </x:c>
      <x:c r="E127" t="str">
        <x:v>SPEC-5C4DA25D107E</x:v>
      </x:c>
      <x:c r="F127" t="str">
        <x:v>CYLINDRICAL LOCK</x:v>
      </x:c>
      <x:c r="G127" t="str">
        <x:v>X-84 SFIC</x:v>
      </x:c>
      <x:c r="H127" t="str">
        <x:v>DH</x:v>
      </x:c>
      <x:c r="I127" t="str">
        <x:v>F84</x:v>
      </x:c>
      <x:c r="J127" t="str">
        <x:v>CLASSROOM SFIC</x:v>
      </x:c>
      <x:c r="K127" t="str"/>
      <x:c r="L127" t="str">
        <x:v>626</x:v>
      </x:c>
      <x:c r="M127" t="str">
        <x:v>78001763 - X-84IC - F - Classroom (SFIC - no core)</x:v>
      </x:c>
      <x:c r="N127" t="str"/>
      <x:c r="O127" s="54"/>
      <x:c r="P127" t="str"/>
    </x:row>
    <x:row r="128" ht="15" hidden="0" customHeight="1">
      <x:c r="A128" t="n">
        <x:v>145</x:v>
      </x:c>
      <x:c r="B128" t="str">
        <x:v>YES</x:v>
      </x:c>
      <x:c r="C128" t="str"/>
      <x:c r="D128" t="str">
        <x:v>OFFER-B1A403C8D453</x:v>
      </x:c>
      <x:c r="E128" t="str">
        <x:v>SPEC-298651EAB3F0</x:v>
      </x:c>
      <x:c r="F128" t="str">
        <x:v>CYLINDRICAL LOCK</x:v>
      </x:c>
      <x:c r="G128" t="str">
        <x:v>X-82</x:v>
      </x:c>
      <x:c r="H128" t="str">
        <x:v>DH</x:v>
      </x:c>
      <x:c r="I128" t="str">
        <x:v>F82</x:v>
      </x:c>
      <x:c r="J128" t="str">
        <x:v>ENTRY</x:v>
      </x:c>
      <x:c r="K128" t="str"/>
      <x:c r="L128" t="str">
        <x:v>626</x:v>
      </x:c>
      <x:c r="M128" t="str">
        <x:v>78001756 - X-82 - F - Entry Function</x:v>
      </x:c>
      <x:c r="N128" t="str"/>
      <x:c r="O128" s="54"/>
      <x:c r="P128" t="str"/>
    </x:row>
    <x:row r="129" ht="15" hidden="0" customHeight="1">
      <x:c r="A129" t="n">
        <x:v>146</x:v>
      </x:c>
      <x:c r="B129" t="str">
        <x:v>YES</x:v>
      </x:c>
      <x:c r="C129" t="str"/>
      <x:c r="D129" t="str">
        <x:v>OFFER-0440914A9B71</x:v>
      </x:c>
      <x:c r="E129" t="str">
        <x:v>SPEC-1B29D52847DA</x:v>
      </x:c>
      <x:c r="F129" t="str">
        <x:v>CYLINDRICAL LOCK</x:v>
      </x:c>
      <x:c r="G129" t="str">
        <x:v>X-82 SFIC</x:v>
      </x:c>
      <x:c r="H129" t="str">
        <x:v>DH</x:v>
      </x:c>
      <x:c r="I129" t="str">
        <x:v>F82</x:v>
      </x:c>
      <x:c r="J129" t="str">
        <x:v>ENTRY SFIC</x:v>
      </x:c>
      <x:c r="K129" t="str"/>
      <x:c r="L129" t="str">
        <x:v>626</x:v>
      </x:c>
      <x:c r="M129" t="str">
        <x:v>78001759 - X-82IC - F - Entry (SFIC - no core)</x:v>
      </x:c>
      <x:c r="N129" t="str"/>
      <x:c r="O129" s="54"/>
      <x:c r="P129" t="str"/>
    </x:row>
    <x:row r="130" ht="15" hidden="0" customHeight="1">
      <x:c r="A130" t="n">
        <x:v>148</x:v>
      </x:c>
      <x:c r="B130" t="str">
        <x:v>YES</x:v>
      </x:c>
      <x:c r="C130" t="str"/>
      <x:c r="D130" t="str">
        <x:v>OFFER-BB10EC9F3FC2</x:v>
      </x:c>
      <x:c r="E130" t="str">
        <x:v>SPEC-882618A3F0C9</x:v>
      </x:c>
      <x:c r="F130" t="str">
        <x:v>CYLINDRICAL LOCK</x:v>
      </x:c>
      <x:c r="G130" t="str">
        <x:v>J-86</x:v>
      </x:c>
      <x:c r="H130" t="str">
        <x:v>DH</x:v>
      </x:c>
      <x:c r="I130" t="str">
        <x:v>F86</x:v>
      </x:c>
      <x:c r="J130" t="str">
        <x:v>STOREROOM</x:v>
      </x:c>
      <x:c r="K130" t="str"/>
      <x:c r="L130" t="str">
        <x:v>626</x:v>
      </x:c>
      <x:c r="M130" t="str">
        <x:v>78093758 - J-86 - F - Storeroom Function</x:v>
      </x:c>
      <x:c r="N130" t="str"/>
      <x:c r="O130" s="54"/>
      <x:c r="P130" t="str"/>
    </x:row>
    <x:row r="131" ht="15" hidden="0" customHeight="1">
      <x:c r="A131" t="n">
        <x:v>149</x:v>
      </x:c>
      <x:c r="B131" t="str">
        <x:v>YES</x:v>
      </x:c>
      <x:c r="C131" t="str"/>
      <x:c r="D131" t="str">
        <x:v>OFFER-968E1816DDAC</x:v>
      </x:c>
      <x:c r="E131" t="str">
        <x:v>SPEC-3AA63A49680F</x:v>
      </x:c>
      <x:c r="F131" t="str">
        <x:v>CYLINDRICAL LOCK</x:v>
      </x:c>
      <x:c r="G131" t="str">
        <x:v>J-86 SFIC</x:v>
      </x:c>
      <x:c r="H131" t="str">
        <x:v>DH</x:v>
      </x:c>
      <x:c r="I131" t="str">
        <x:v>F86</x:v>
      </x:c>
      <x:c r="J131" t="str">
        <x:v>STOREROOM SFIC</x:v>
      </x:c>
      <x:c r="K131" t="str"/>
      <x:c r="L131" t="str">
        <x:v>626</x:v>
      </x:c>
      <x:c r="M131" t="str">
        <x:v>78093759 - J-86IC - F - Storeroom Function (SFIC - no core)</x:v>
      </x:c>
      <x:c r="N131" t="str"/>
      <x:c r="O131" s="54"/>
      <x:c r="P131" t="str"/>
    </x:row>
    <x:row r="132" ht="15" hidden="0" customHeight="1">
      <x:c r="A132" t="n">
        <x:v>150</x:v>
      </x:c>
      <x:c r="B132" t="str">
        <x:v>YES</x:v>
      </x:c>
      <x:c r="C132" t="str"/>
      <x:c r="D132" t="str">
        <x:v>OFFER-720E466A7322</x:v>
      </x:c>
      <x:c r="E132" t="str">
        <x:v>SPEC-46A9513103A2</x:v>
      </x:c>
      <x:c r="F132" t="str">
        <x:v>CYLINDRICAL LOCK</x:v>
      </x:c>
      <x:c r="G132" t="str">
        <x:v>J-84</x:v>
      </x:c>
      <x:c r="H132" t="str">
        <x:v>DH</x:v>
      </x:c>
      <x:c r="I132" t="str">
        <x:v>F84</x:v>
      </x:c>
      <x:c r="J132" t="str">
        <x:v>CLASSROOM</x:v>
      </x:c>
      <x:c r="K132" t="str"/>
      <x:c r="L132" t="str">
        <x:v>626</x:v>
      </x:c>
      <x:c r="M132" t="str">
        <x:v>78093756 - J-84 - F - Classroom Function</x:v>
      </x:c>
      <x:c r="N132" t="str"/>
      <x:c r="O132" s="54"/>
      <x:c r="P132" t="str"/>
    </x:row>
    <x:row r="133" ht="15" hidden="0" customHeight="1">
      <x:c r="A133" t="n">
        <x:v>151</x:v>
      </x:c>
      <x:c r="B133" t="str">
        <x:v>YES</x:v>
      </x:c>
      <x:c r="C133" t="str"/>
      <x:c r="D133" t="str">
        <x:v>OFFER-FF4BF7F3593A</x:v>
      </x:c>
      <x:c r="E133" t="str">
        <x:v>SPEC-5C4DA25D107E</x:v>
      </x:c>
      <x:c r="F133" t="str">
        <x:v>CYLINDRICAL LOCK</x:v>
      </x:c>
      <x:c r="G133" t="str">
        <x:v>J-84 SFIC</x:v>
      </x:c>
      <x:c r="H133" t="str">
        <x:v>DH</x:v>
      </x:c>
      <x:c r="I133" t="str">
        <x:v>F84</x:v>
      </x:c>
      <x:c r="J133" t="str">
        <x:v>CLASSROOM SFIC</x:v>
      </x:c>
      <x:c r="K133" t="str"/>
      <x:c r="L133" t="str">
        <x:v>626</x:v>
      </x:c>
      <x:c r="M133" t="str">
        <x:v>78093757 - J-84IC - F - Classroom Function (SFIC - no core)</x:v>
      </x:c>
      <x:c r="N133" t="str"/>
      <x:c r="O133" s="54"/>
      <x:c r="P133" t="str"/>
    </x:row>
    <x:row r="134" ht="15" hidden="0" customHeight="1">
      <x:c r="A134" t="n">
        <x:v>152</x:v>
      </x:c>
      <x:c r="B134" t="str">
        <x:v>YES</x:v>
      </x:c>
      <x:c r="C134" t="str"/>
      <x:c r="D134" t="str">
        <x:v>OFFER-CE566201C1EC</x:v>
      </x:c>
      <x:c r="E134" t="str">
        <x:v>SPEC-298651EAB3F0</x:v>
      </x:c>
      <x:c r="F134" t="str">
        <x:v>CYLINDRICAL LOCK</x:v>
      </x:c>
      <x:c r="G134" t="str">
        <x:v>J-82</x:v>
      </x:c>
      <x:c r="H134" t="str">
        <x:v>DH</x:v>
      </x:c>
      <x:c r="I134" t="str">
        <x:v>F82</x:v>
      </x:c>
      <x:c r="J134" t="str">
        <x:v>ENTRY</x:v>
      </x:c>
      <x:c r="K134" t="str"/>
      <x:c r="L134" t="str">
        <x:v>626</x:v>
      </x:c>
      <x:c r="M134" t="str">
        <x:v>78093754 - J-82 - F - Entry Function</x:v>
      </x:c>
      <x:c r="N134" t="str"/>
      <x:c r="O134" s="54"/>
      <x:c r="P134" t="str"/>
    </x:row>
    <x:row r="135" ht="15" hidden="0" customHeight="1">
      <x:c r="A135" t="n">
        <x:v>153</x:v>
      </x:c>
      <x:c r="B135" t="str">
        <x:v>YES</x:v>
      </x:c>
      <x:c r="C135" t="str"/>
      <x:c r="D135" t="str">
        <x:v>OFFER-04A72A153D2B</x:v>
      </x:c>
      <x:c r="E135" t="str">
        <x:v>SPEC-1B29D52847DA</x:v>
      </x:c>
      <x:c r="F135" t="str">
        <x:v>CYLINDRICAL LOCK</x:v>
      </x:c>
      <x:c r="G135" t="str">
        <x:v>J-82 SFIC</x:v>
      </x:c>
      <x:c r="H135" t="str">
        <x:v>DH</x:v>
      </x:c>
      <x:c r="I135" t="str">
        <x:v>F82</x:v>
      </x:c>
      <x:c r="J135" t="str">
        <x:v>ENTRY SFIC</x:v>
      </x:c>
      <x:c r="K135" t="str"/>
      <x:c r="L135" t="str">
        <x:v>626</x:v>
      </x:c>
      <x:c r="M135" t="str">
        <x:v>78093755 - J-82IC - F - Entry Function (SFIC - no core)</x:v>
      </x:c>
      <x:c r="N135" t="str"/>
      <x:c r="O135" s="54"/>
      <x:c r="P135" t="str"/>
    </x:row>
    <x:row r="136" ht="15" hidden="0" customHeight="1">
      <x:c r="A136" t="n">
        <x:v>155</x:v>
      </x:c>
      <x:c r="B136" t="str">
        <x:v>YES</x:v>
      </x:c>
      <x:c r="C136" t="str"/>
      <x:c r="D136" t="str">
        <x:v>OFFER-B12806FEEFE9</x:v>
      </x:c>
      <x:c r="E136" t="str">
        <x:v>SPEC-FDC7690E5163</x:v>
      </x:c>
      <x:c r="F136" t="str">
        <x:v>CYLINDRICAL LOCK</x:v>
      </x:c>
      <x:c r="G136" t="str">
        <x:v>FC</x:v>
      </x:c>
      <x:c r="H136" t="str">
        <x:v>PHG</x:v>
      </x:c>
      <x:c r="I136" t="str">
        <x:v>F90</x:v>
      </x:c>
      <x:c r="J136" t="str">
        <x:v>DORM/CORIDOR</x:v>
      </x:c>
      <x:c r="K136" t="str"/>
      <x:c r="L136" t="str">
        <x:v>626</x:v>
      </x:c>
      <x:c r="M136" t="str">
        <x:v>FC521CT26D FC-CT521 - Corridor (F90)</x:v>
      </x:c>
      <x:c r="N136" t="str"/>
      <x:c r="O136" s="54" t="n">
        <x:v>202.76</x:v>
      </x:c>
      <x:c r="P136" t="str"/>
    </x:row>
    <x:row r="137" ht="15" hidden="0" customHeight="1">
      <x:c r="A137" t="n">
        <x:v>156</x:v>
      </x:c>
      <x:c r="B137" t="str">
        <x:v>YES</x:v>
      </x:c>
      <x:c r="C137" t="str"/>
      <x:c r="D137" t="str">
        <x:v>OFFER-FEF760E69C49</x:v>
      </x:c>
      <x:c r="E137" t="str">
        <x:v>SPEC-478FBADD4B27</x:v>
      </x:c>
      <x:c r="F137" t="str">
        <x:v>CYLINDRICAL LOCK</x:v>
      </x:c>
      <x:c r="G137" t="str">
        <x:v>FC-ICB</x:v>
      </x:c>
      <x:c r="H137" t="str">
        <x:v>PHG</x:v>
      </x:c>
      <x:c r="I137" t="str">
        <x:v>F90</x:v>
      </x:c>
      <x:c r="J137" t="str">
        <x:v>DORM/CORIDOR SFIC</x:v>
      </x:c>
      <x:c r="K137" t="str"/>
      <x:c r="L137" t="str">
        <x:v>626</x:v>
      </x:c>
      <x:c r="M137" t="str">
        <x:v>FC521CT26DICB FC-CT521 - Corridor (F90) - ICB</x:v>
      </x:c>
      <x:c r="N137" t="str"/>
      <x:c r="O137" s="54" t="n">
        <x:v>202.76</x:v>
      </x:c>
      <x:c r="P137" t="str"/>
    </x:row>
    <x:row r="138" ht="15" hidden="0" customHeight="1">
      <x:c r="A138" t="n">
        <x:v>157</x:v>
      </x:c>
      <x:c r="B138" t="str">
        <x:v>YES</x:v>
      </x:c>
      <x:c r="C138" t="str"/>
      <x:c r="D138" t="str">
        <x:v>OFFER-3587645A36C3</x:v>
      </x:c>
      <x:c r="E138" t="str">
        <x:v>SPEC-55D2279AA3E0</x:v>
      </x:c>
      <x:c r="F138" t="str">
        <x:v>CYLINDRICAL LOCK</x:v>
      </x:c>
      <x:c r="G138" t="str">
        <x:v>FC-ICS</x:v>
      </x:c>
      <x:c r="H138" t="str">
        <x:v>PHG</x:v>
      </x:c>
      <x:c r="I138" t="str">
        <x:v>F90</x:v>
      </x:c>
      <x:c r="J138" t="str">
        <x:v>DORM/CORIDOR LFIC</x:v>
      </x:c>
      <x:c r="K138" t="str"/>
      <x:c r="L138" t="str">
        <x:v>626</x:v>
      </x:c>
      <x:c r="M138" t="str">
        <x:v>FC521CT26DICBS FC-CT521 - Corridor (F90) - ICS</x:v>
      </x:c>
      <x:c r="N138" t="str"/>
      <x:c r="O138" s="54" t="n">
        <x:v>227.48</x:v>
      </x:c>
      <x:c r="P138" t="str"/>
    </x:row>
    <x:row r="139" ht="15" hidden="0" customHeight="1">
      <x:c r="A139" t="n">
        <x:v>158</x:v>
      </x:c>
      <x:c r="B139" t="str">
        <x:v>YES</x:v>
      </x:c>
      <x:c r="C139" t="str"/>
      <x:c r="D139" t="str">
        <x:v>OFFER-E2BCB89ECD67</x:v>
      </x:c>
      <x:c r="E139" t="str">
        <x:v>SPEC-882618A3F0C9</x:v>
      </x:c>
      <x:c r="F139" t="str">
        <x:v>CYLINDRICAL LOCK</x:v>
      </x:c>
      <x:c r="G139" t="str">
        <x:v>FC</x:v>
      </x:c>
      <x:c r="H139" t="str">
        <x:v>PHG</x:v>
      </x:c>
      <x:c r="I139" t="str">
        <x:v>F86</x:v>
      </x:c>
      <x:c r="J139" t="str">
        <x:v>STOREROOM</x:v>
      </x:c>
      <x:c r="K139" t="str"/>
      <x:c r="L139" t="str">
        <x:v>626</x:v>
      </x:c>
      <x:c r="M139" t="str">
        <x:v>FC504CT26D FC-CT504 - Storeroom (F86)</x:v>
      </x:c>
      <x:c r="N139" t="str"/>
      <x:c r="O139" s="54" t="n">
        <x:v>168.53</x:v>
      </x:c>
      <x:c r="P139" t="str"/>
    </x:row>
    <x:row r="140" ht="15" hidden="0" customHeight="1">
      <x:c r="A140" t="n">
        <x:v>159</x:v>
      </x:c>
      <x:c r="B140" t="str">
        <x:v>YES</x:v>
      </x:c>
      <x:c r="C140" t="str"/>
      <x:c r="D140" t="str">
        <x:v>OFFER-5CB8EB38AAD5</x:v>
      </x:c>
      <x:c r="E140" t="str">
        <x:v>SPEC-3AA63A49680F</x:v>
      </x:c>
      <x:c r="F140" t="str">
        <x:v>CYLINDRICAL LOCK</x:v>
      </x:c>
      <x:c r="G140" t="str">
        <x:v>FC-ICB</x:v>
      </x:c>
      <x:c r="H140" t="str">
        <x:v>PHG</x:v>
      </x:c>
      <x:c r="I140" t="str">
        <x:v>F86</x:v>
      </x:c>
      <x:c r="J140" t="str">
        <x:v>STOREROOM SFIC</x:v>
      </x:c>
      <x:c r="K140" t="str"/>
      <x:c r="L140" t="str">
        <x:v>626</x:v>
      </x:c>
      <x:c r="M140" t="str">
        <x:v>FC504CT26DICB FC-CT504 - Storeroom (F86) - ICB</x:v>
      </x:c>
      <x:c r="N140" t="str"/>
      <x:c r="O140" s="54" t="n">
        <x:v>168.53</x:v>
      </x:c>
      <x:c r="P140" t="str"/>
    </x:row>
    <x:row r="141" ht="15" hidden="0" customHeight="1">
      <x:c r="A141" t="n">
        <x:v>160</x:v>
      </x:c>
      <x:c r="B141" t="str">
        <x:v>YES</x:v>
      </x:c>
      <x:c r="C141" t="str"/>
      <x:c r="D141" t="str">
        <x:v>OFFER-BCD1ED5C9716</x:v>
      </x:c>
      <x:c r="E141" t="str">
        <x:v>SPEC-3B800FDF68F4</x:v>
      </x:c>
      <x:c r="F141" t="str">
        <x:v>CYLINDRICAL LOCK</x:v>
      </x:c>
      <x:c r="G141" t="str">
        <x:v>FC-ICS</x:v>
      </x:c>
      <x:c r="H141" t="str">
        <x:v>PHG</x:v>
      </x:c>
      <x:c r="I141" t="str">
        <x:v>F86</x:v>
      </x:c>
      <x:c r="J141" t="str">
        <x:v>STOREROOM LFIC</x:v>
      </x:c>
      <x:c r="K141" t="str"/>
      <x:c r="L141" t="str">
        <x:v>626</x:v>
      </x:c>
      <x:c r="M141" t="str">
        <x:v>FC504CT26DICS FC-CT504 - Storeroom (F86) - ICS</x:v>
      </x:c>
      <x:c r="N141" t="str"/>
      <x:c r="O141" s="54" t="n">
        <x:v>210.89</x:v>
      </x:c>
      <x:c r="P141" t="str"/>
    </x:row>
    <x:row r="142" ht="15" hidden="0" customHeight="1">
      <x:c r="A142" t="n">
        <x:v>161</x:v>
      </x:c>
      <x:c r="B142" t="str">
        <x:v>YES</x:v>
      </x:c>
      <x:c r="C142" t="str"/>
      <x:c r="D142" t="str">
        <x:v>OFFER-030AADA3090D</x:v>
      </x:c>
      <x:c r="E142" t="str">
        <x:v>SPEC-46A9513103A2</x:v>
      </x:c>
      <x:c r="F142" t="str">
        <x:v>CYLINDRICAL LOCK</x:v>
      </x:c>
      <x:c r="G142" t="str">
        <x:v>FC</x:v>
      </x:c>
      <x:c r="H142" t="str">
        <x:v>PHG</x:v>
      </x:c>
      <x:c r="I142" t="str">
        <x:v>F84</x:v>
      </x:c>
      <x:c r="J142" t="str">
        <x:v>CLASSROOM</x:v>
      </x:c>
      <x:c r="K142" t="str"/>
      <x:c r="L142" t="str">
        <x:v>626</x:v>
      </x:c>
      <x:c r="M142" t="str">
        <x:v>FC509CT26D FC-CT509 - Classroom (F84)</x:v>
      </x:c>
      <x:c r="N142" t="str"/>
      <x:c r="O142" s="54" t="n">
        <x:v>202.76</x:v>
      </x:c>
      <x:c r="P142" t="str"/>
    </x:row>
    <x:row r="143" ht="15" hidden="0" customHeight="1">
      <x:c r="A143" t="n">
        <x:v>162</x:v>
      </x:c>
      <x:c r="B143" t="str">
        <x:v>YES</x:v>
      </x:c>
      <x:c r="C143" t="str"/>
      <x:c r="D143" t="str">
        <x:v>OFFER-E050F37F2FB3</x:v>
      </x:c>
      <x:c r="E143" t="str">
        <x:v>SPEC-5C4DA25D107E</x:v>
      </x:c>
      <x:c r="F143" t="str">
        <x:v>CYLINDRICAL LOCK</x:v>
      </x:c>
      <x:c r="G143" t="str">
        <x:v>FC-ICB</x:v>
      </x:c>
      <x:c r="H143" t="str">
        <x:v>PHG</x:v>
      </x:c>
      <x:c r="I143" t="str">
        <x:v>F84</x:v>
      </x:c>
      <x:c r="J143" t="str">
        <x:v>CLASSROOM SFIC</x:v>
      </x:c>
      <x:c r="K143" t="str"/>
      <x:c r="L143" t="str">
        <x:v>626</x:v>
      </x:c>
      <x:c r="M143" t="str">
        <x:v>FC509CT26DICB FC-CT509 - Classroom (F84) - ICB</x:v>
      </x:c>
      <x:c r="N143" t="str"/>
      <x:c r="O143" s="54" t="n">
        <x:v>202.76</x:v>
      </x:c>
      <x:c r="P143" t="str"/>
    </x:row>
    <x:row r="144" ht="15" hidden="0" customHeight="1">
      <x:c r="A144" t="n">
        <x:v>163</x:v>
      </x:c>
      <x:c r="B144" t="str">
        <x:v>YES</x:v>
      </x:c>
      <x:c r="C144" t="str"/>
      <x:c r="D144" t="str">
        <x:v>OFFER-CEFD08067C4E</x:v>
      </x:c>
      <x:c r="E144" t="str">
        <x:v>SPEC-286A187D72D2</x:v>
      </x:c>
      <x:c r="F144" t="str">
        <x:v>CYLINDRICAL LOCK</x:v>
      </x:c>
      <x:c r="G144" t="str">
        <x:v>FC-ICS</x:v>
      </x:c>
      <x:c r="H144" t="str">
        <x:v>PHG</x:v>
      </x:c>
      <x:c r="I144" t="str">
        <x:v>F84</x:v>
      </x:c>
      <x:c r="J144" t="str">
        <x:v>CLASSROOM LFIC</x:v>
      </x:c>
      <x:c r="K144" t="str"/>
      <x:c r="L144" t="str">
        <x:v>626</x:v>
      </x:c>
      <x:c r="M144" t="str">
        <x:v>FC509CT26DICS FC-CT509 - Classroom (F84) - ICS</x:v>
      </x:c>
      <x:c r="N144" t="str"/>
      <x:c r="O144" s="54" t="n">
        <x:v>227.48</x:v>
      </x:c>
      <x:c r="P144" t="str"/>
    </x:row>
    <x:row r="145" ht="15" hidden="0" customHeight="1">
      <x:c r="A145" t="n">
        <x:v>164</x:v>
      </x:c>
      <x:c r="B145" t="str">
        <x:v>YES</x:v>
      </x:c>
      <x:c r="C145" t="str"/>
      <x:c r="D145" t="str">
        <x:v>OFFER-30E3B9C65E78</x:v>
      </x:c>
      <x:c r="E145" t="str">
        <x:v>SPEC-298651EAB3F0</x:v>
      </x:c>
      <x:c r="F145" t="str">
        <x:v>CYLINDRICAL LOCK</x:v>
      </x:c>
      <x:c r="G145" t="str">
        <x:v>FC</x:v>
      </x:c>
      <x:c r="H145" t="str">
        <x:v>PHG</x:v>
      </x:c>
      <x:c r="I145" t="str">
        <x:v>F109-82</x:v>
      </x:c>
      <x:c r="J145" t="str">
        <x:v>ENTRY</x:v>
      </x:c>
      <x:c r="K145" t="str"/>
      <x:c r="L145" t="str">
        <x:v>626</x:v>
      </x:c>
      <x:c r="M145" t="str">
        <x:v>FC500CT26D FC-CT500 - Entry (F109)</x:v>
      </x:c>
      <x:c r="N145" t="str"/>
      <x:c r="O145" s="54" t="n">
        <x:v>168.53</x:v>
      </x:c>
      <x:c r="P145" t="str"/>
    </x:row>
    <x:row r="146" ht="15" hidden="0" customHeight="1">
      <x:c r="A146" t="n">
        <x:v>165</x:v>
      </x:c>
      <x:c r="B146" t="str">
        <x:v>YES</x:v>
      </x:c>
      <x:c r="C146" t="str"/>
      <x:c r="D146" t="str">
        <x:v>OFFER-AB3224C29961</x:v>
      </x:c>
      <x:c r="E146" t="str">
        <x:v>SPEC-1B29D52847DA</x:v>
      </x:c>
      <x:c r="F146" t="str">
        <x:v>CYLINDRICAL LOCK</x:v>
      </x:c>
      <x:c r="G146" t="str">
        <x:v>FC-ICB</x:v>
      </x:c>
      <x:c r="H146" t="str">
        <x:v>PHG</x:v>
      </x:c>
      <x:c r="I146" t="str">
        <x:v>F109-82</x:v>
      </x:c>
      <x:c r="J146" t="str">
        <x:v>ENTRY SFIC</x:v>
      </x:c>
      <x:c r="K146" t="str"/>
      <x:c r="L146" t="str">
        <x:v>626</x:v>
      </x:c>
      <x:c r="M146" t="str">
        <x:v>FC500CT26DICB FC-CT500 - Entry (F109) - ICB</x:v>
      </x:c>
      <x:c r="N146" t="str"/>
      <x:c r="O146" s="54" t="n">
        <x:v>168.53</x:v>
      </x:c>
      <x:c r="P146" t="str"/>
    </x:row>
    <x:row r="147" ht="15" hidden="0" customHeight="1">
      <x:c r="A147" t="n">
        <x:v>166</x:v>
      </x:c>
      <x:c r="B147" t="str">
        <x:v>YES</x:v>
      </x:c>
      <x:c r="C147" t="str"/>
      <x:c r="D147" t="str">
        <x:v>OFFER-9497C6E540A4</x:v>
      </x:c>
      <x:c r="E147" t="str">
        <x:v>SPEC-E99F2405E5BB</x:v>
      </x:c>
      <x:c r="F147" t="str">
        <x:v>CYLINDRICAL LOCK</x:v>
      </x:c>
      <x:c r="G147" t="str">
        <x:v>FC-ICS</x:v>
      </x:c>
      <x:c r="H147" t="str">
        <x:v>PHG</x:v>
      </x:c>
      <x:c r="I147" t="str">
        <x:v>F109-82</x:v>
      </x:c>
      <x:c r="J147" t="str">
        <x:v>ENTRY LFIC</x:v>
      </x:c>
      <x:c r="K147" t="str"/>
      <x:c r="L147" t="str">
        <x:v>626</x:v>
      </x:c>
      <x:c r="M147" t="str">
        <x:v>FC500CT26DICS FC-CT500 - Entry (F109) - ICS</x:v>
      </x:c>
      <x:c r="N147" t="str"/>
      <x:c r="O147" s="54" t="n">
        <x:v>210.89</x:v>
      </x:c>
      <x:c r="P147" t="str"/>
    </x:row>
    <x:row r="148" ht="15" hidden="0" customHeight="1">
      <x:c r="A148" t="n">
        <x:v>168</x:v>
      </x:c>
      <x:c r="B148" t="str">
        <x:v>YES</x:v>
      </x:c>
      <x:c r="C148" t="str"/>
      <x:c r="D148" t="str">
        <x:v>OFFER-D062B55CD787</x:v>
      </x:c>
      <x:c r="E148" t="str">
        <x:v>SPEC-5446FAC943AB</x:v>
      </x:c>
      <x:c r="F148" t="str">
        <x:v>CYLINDRICAL LOCK</x:v>
      </x:c>
      <x:c r="G148" t="str">
        <x:v>FC-EL</x:v>
      </x:c>
      <x:c r="H148" t="str">
        <x:v>PHG</x:v>
      </x:c>
      <x:c r="I148" t="str">
        <x:v>F90</x:v>
      </x:c>
      <x:c r="J148" t="str">
        <x:v>ENTRY</x:v>
      </x:c>
      <x:c r="K148" t="str"/>
      <x:c r="L148" t="str">
        <x:v>626</x:v>
      </x:c>
      <x:c r="M148" t="str">
        <x:v>FC500CT26DEU FC-CT500 - Electrified - EU (Fail Secure)</x:v>
      </x:c>
      <x:c r="N148" t="str"/>
      <x:c r="O148" s="54" t="n">
        <x:v>359.08</x:v>
      </x:c>
      <x:c r="P148" t="str"/>
    </x:row>
    <x:row r="149" ht="15" hidden="0" customHeight="1">
      <x:c r="A149" t="n">
        <x:v>169</x:v>
      </x:c>
      <x:c r="B149" t="str">
        <x:v>YES</x:v>
      </x:c>
      <x:c r="C149" t="str"/>
      <x:c r="D149" t="str">
        <x:v>OFFER-A37D66D945EB</x:v>
      </x:c>
      <x:c r="E149" t="str">
        <x:v>SPEC-20084902F758</x:v>
      </x:c>
      <x:c r="F149" t="str">
        <x:v>CYLINDRICAL LOCK</x:v>
      </x:c>
      <x:c r="G149" t="str">
        <x:v>FC-EL-ICB</x:v>
      </x:c>
      <x:c r="H149" t="str">
        <x:v>PHG</x:v>
      </x:c>
      <x:c r="I149" t="str">
        <x:v>F90</x:v>
      </x:c>
      <x:c r="J149" t="str">
        <x:v>ENTRY SFIC</x:v>
      </x:c>
      <x:c r="K149" t="str"/>
      <x:c r="L149" t="str">
        <x:v>626</x:v>
      </x:c>
      <x:c r="M149" t="str">
        <x:v>FC500CT26DEUICB FC-CT500 - Electrified - EU (Fail Secure) - ICB</x:v>
      </x:c>
      <x:c r="N149" t="str"/>
      <x:c r="O149" s="54" t="n">
        <x:v>359.08</x:v>
      </x:c>
      <x:c r="P149" t="str"/>
    </x:row>
    <x:row r="150" ht="15" hidden="0" customHeight="1">
      <x:c r="A150" t="n">
        <x:v>170</x:v>
      </x:c>
      <x:c r="B150" t="str">
        <x:v>YES</x:v>
      </x:c>
      <x:c r="C150" t="str"/>
      <x:c r="D150" t="str">
        <x:v>OFFER-FE4BDC399484</x:v>
      </x:c>
      <x:c r="E150" t="str">
        <x:v>SPEC-95A42CF7F9AC</x:v>
      </x:c>
      <x:c r="F150" t="str">
        <x:v>CYLINDRICAL LOCK</x:v>
      </x:c>
      <x:c r="G150" t="str">
        <x:v>FC-EL-ICS</x:v>
      </x:c>
      <x:c r="H150" t="str">
        <x:v>PHG</x:v>
      </x:c>
      <x:c r="I150" t="str">
        <x:v>F86</x:v>
      </x:c>
      <x:c r="J150" t="str">
        <x:v>ENTRY LFIC</x:v>
      </x:c>
      <x:c r="K150" t="str"/>
      <x:c r="L150" t="str">
        <x:v>626</x:v>
      </x:c>
      <x:c r="M150" t="str">
        <x:v>FC500CT26DEUICS FC-CT500 - Electrified - EU (Fail Secure) - ICS</x:v>
      </x:c>
      <x:c r="N150" t="str"/>
      <x:c r="O150" s="54" t="n">
        <x:v>394.99</x:v>
      </x:c>
      <x:c r="P150" t="str"/>
    </x:row>
    <x:row r="151" ht="15" hidden="0" customHeight="1">
      <x:c r="A151" t="n">
        <x:v>172</x:v>
      </x:c>
      <x:c r="B151" t="str">
        <x:v>YES</x:v>
      </x:c>
      <x:c r="C151" t="str"/>
      <x:c r="D151" t="str">
        <x:v>OFFER-B8BB4E1C8C11</x:v>
      </x:c>
      <x:c r="E151" t="str">
        <x:v>SPEC-FDC7690E5163</x:v>
      </x:c>
      <x:c r="F151" t="str">
        <x:v>CYLINDRICAL LOCK</x:v>
      </x:c>
      <x:c r="G151" t="str">
        <x:v>ES</x:v>
      </x:c>
      <x:c r="H151" t="str">
        <x:v>PHG</x:v>
      </x:c>
      <x:c r="I151" t="str">
        <x:v>F90</x:v>
      </x:c>
      <x:c r="J151" t="str">
        <x:v>DORM/CORIDOR</x:v>
      </x:c>
      <x:c r="K151" t="str"/>
      <x:c r="L151" t="str">
        <x:v>626</x:v>
      </x:c>
      <x:c r="M151" t="str">
        <x:v>ES521CT26D ES-CT521 - Corridor (F90)</x:v>
      </x:c>
      <x:c r="N151" t="str"/>
      <x:c r="O151" s="54" t="n">
        <x:v>111.5</x:v>
      </x:c>
      <x:c r="P151" t="str"/>
    </x:row>
    <x:row r="152" ht="15" hidden="0" customHeight="1">
      <x:c r="A152" t="n">
        <x:v>173</x:v>
      </x:c>
      <x:c r="B152" t="str">
        <x:v>YES</x:v>
      </x:c>
      <x:c r="C152" t="str"/>
      <x:c r="D152" t="str">
        <x:v>OFFER-1B81D083768F</x:v>
      </x:c>
      <x:c r="E152" t="str">
        <x:v>SPEC-478FBADD4B27</x:v>
      </x:c>
      <x:c r="F152" t="str">
        <x:v>CYLINDRICAL LOCK</x:v>
      </x:c>
      <x:c r="G152" t="str">
        <x:v>ES-ICB</x:v>
      </x:c>
      <x:c r="H152" t="str">
        <x:v>PHG</x:v>
      </x:c>
      <x:c r="I152" t="str">
        <x:v>F90</x:v>
      </x:c>
      <x:c r="J152" t="str">
        <x:v>DORM/CORIDOR SFIC</x:v>
      </x:c>
      <x:c r="K152" t="str"/>
      <x:c r="L152" t="str">
        <x:v>626</x:v>
      </x:c>
      <x:c r="M152" t="str">
        <x:v>ES521CT26DICB ES-CT521 - Corridor (F90) - ICB</x:v>
      </x:c>
      <x:c r="N152" t="str"/>
      <x:c r="O152" s="54" t="n">
        <x:v>121.93</x:v>
      </x:c>
      <x:c r="P152" t="str"/>
    </x:row>
    <x:row r="153" ht="15" hidden="0" customHeight="1">
      <x:c r="A153" t="n">
        <x:v>174</x:v>
      </x:c>
      <x:c r="B153" t="str">
        <x:v>YES</x:v>
      </x:c>
      <x:c r="C153" t="str"/>
      <x:c r="D153" t="str">
        <x:v>OFFER-C7070ACC9200</x:v>
      </x:c>
      <x:c r="E153" t="str">
        <x:v>SPEC-882618A3F0C9</x:v>
      </x:c>
      <x:c r="F153" t="str">
        <x:v>CYLINDRICAL LOCK</x:v>
      </x:c>
      <x:c r="G153" t="str">
        <x:v>ES</x:v>
      </x:c>
      <x:c r="H153" t="str">
        <x:v>PHG</x:v>
      </x:c>
      <x:c r="I153" t="str">
        <x:v>F86</x:v>
      </x:c>
      <x:c r="J153" t="str">
        <x:v>STOREROOM</x:v>
      </x:c>
      <x:c r="K153" t="str"/>
      <x:c r="L153" t="str">
        <x:v>626</x:v>
      </x:c>
      <x:c r="M153" t="str">
        <x:v>ES504CT26D ES-CT504 - Storeroom (F86)</x:v>
      </x:c>
      <x:c r="N153" t="str"/>
      <x:c r="O153" s="54" t="n">
        <x:v>106.68</x:v>
      </x:c>
      <x:c r="P153" t="str"/>
    </x:row>
    <x:row r="154" ht="15" hidden="0" customHeight="1">
      <x:c r="A154" t="n">
        <x:v>175</x:v>
      </x:c>
      <x:c r="B154" t="str">
        <x:v>YES</x:v>
      </x:c>
      <x:c r="C154" t="str"/>
      <x:c r="D154" t="str">
        <x:v>OFFER-411843109B33</x:v>
      </x:c>
      <x:c r="E154" t="str">
        <x:v>SPEC-3AA63A49680F</x:v>
      </x:c>
      <x:c r="F154" t="str">
        <x:v>CYLINDRICAL LOCK</x:v>
      </x:c>
      <x:c r="G154" t="str">
        <x:v>ES-ICB</x:v>
      </x:c>
      <x:c r="H154" t="str">
        <x:v>PHG</x:v>
      </x:c>
      <x:c r="I154" t="str">
        <x:v>F86</x:v>
      </x:c>
      <x:c r="J154" t="str">
        <x:v>STOREROOM SFIC</x:v>
      </x:c>
      <x:c r="K154" t="str"/>
      <x:c r="L154" t="str">
        <x:v>626</x:v>
      </x:c>
      <x:c r="M154" t="str">
        <x:v>ES504CT26DICB ES-CT504 - Storeroom (F86) - ICB</x:v>
      </x:c>
      <x:c r="N154" t="str"/>
      <x:c r="O154" s="54" t="n">
        <x:v>116.88</x:v>
      </x:c>
      <x:c r="P154" t="str"/>
    </x:row>
    <x:row r="155" ht="15" hidden="0" customHeight="1">
      <x:c r="A155" t="n">
        <x:v>176</x:v>
      </x:c>
      <x:c r="B155" t="str">
        <x:v>YES</x:v>
      </x:c>
      <x:c r="C155" t="str"/>
      <x:c r="D155" t="str">
        <x:v>OFFER-D5554E7A723A</x:v>
      </x:c>
      <x:c r="E155" t="str">
        <x:v>SPEC-46A9513103A2</x:v>
      </x:c>
      <x:c r="F155" t="str">
        <x:v>CYLINDRICAL LOCK</x:v>
      </x:c>
      <x:c r="G155" t="str">
        <x:v>ES</x:v>
      </x:c>
      <x:c r="H155" t="str">
        <x:v>PHG</x:v>
      </x:c>
      <x:c r="I155" t="str">
        <x:v>F84</x:v>
      </x:c>
      <x:c r="J155" t="str">
        <x:v>CLASSROOM</x:v>
      </x:c>
      <x:c r="K155" t="str"/>
      <x:c r="L155" t="str">
        <x:v>626</x:v>
      </x:c>
      <x:c r="M155" t="str">
        <x:v>ES509CT26D ES-CT509 - Classroom (F84)</x:v>
      </x:c>
      <x:c r="N155" t="str"/>
      <x:c r="O155" s="54" t="n">
        <x:v>111.5</x:v>
      </x:c>
      <x:c r="P155" t="str"/>
    </x:row>
    <x:row r="156" ht="15" hidden="0" customHeight="1">
      <x:c r="A156" t="n">
        <x:v>177</x:v>
      </x:c>
      <x:c r="B156" t="str">
        <x:v>YES</x:v>
      </x:c>
      <x:c r="C156" t="str"/>
      <x:c r="D156" t="str">
        <x:v>OFFER-D069D14C1793</x:v>
      </x:c>
      <x:c r="E156" t="str">
        <x:v>SPEC-5C4DA25D107E</x:v>
      </x:c>
      <x:c r="F156" t="str">
        <x:v>CYLINDRICAL LOCK</x:v>
      </x:c>
      <x:c r="G156" t="str">
        <x:v>ES-ICB</x:v>
      </x:c>
      <x:c r="H156" t="str">
        <x:v>PHG</x:v>
      </x:c>
      <x:c r="I156" t="str">
        <x:v>F84</x:v>
      </x:c>
      <x:c r="J156" t="str">
        <x:v>CLASSROOM SFIC</x:v>
      </x:c>
      <x:c r="K156" t="str"/>
      <x:c r="L156" t="str">
        <x:v>626</x:v>
      </x:c>
      <x:c r="M156" t="str">
        <x:v>ES509CT26DICB ES-CT509 - Classroom (F84) - ICB</x:v>
      </x:c>
      <x:c r="N156" t="str"/>
      <x:c r="O156" s="54" t="n">
        <x:v>121.93</x:v>
      </x:c>
      <x:c r="P156" t="str"/>
    </x:row>
    <x:row r="157" ht="15" hidden="0" customHeight="1">
      <x:c r="A157" t="n">
        <x:v>178</x:v>
      </x:c>
      <x:c r="B157" t="str">
        <x:v>YES</x:v>
      </x:c>
      <x:c r="C157" t="str"/>
      <x:c r="D157" t="str">
        <x:v>OFFER-52892FE41225</x:v>
      </x:c>
      <x:c r="E157" t="str">
        <x:v>SPEC-298651EAB3F0</x:v>
      </x:c>
      <x:c r="F157" t="str">
        <x:v>CYLINDRICAL LOCK</x:v>
      </x:c>
      <x:c r="G157" t="str">
        <x:v>ES</x:v>
      </x:c>
      <x:c r="H157" t="str">
        <x:v>PHG</x:v>
      </x:c>
      <x:c r="I157" t="str">
        <x:v>F109-82</x:v>
      </x:c>
      <x:c r="J157" t="str">
        <x:v>ENTRY</x:v>
      </x:c>
      <x:c r="K157" t="str"/>
      <x:c r="L157" t="str">
        <x:v>626</x:v>
      </x:c>
      <x:c r="M157" t="str">
        <x:v>ES500CT26D ES-CT500 - Entry (F109)</x:v>
      </x:c>
      <x:c r="N157" t="str"/>
      <x:c r="O157" s="54" t="n">
        <x:v>106.88</x:v>
      </x:c>
      <x:c r="P157" t="str"/>
    </x:row>
    <x:row r="158" ht="15" hidden="0" customHeight="1">
      <x:c r="A158" t="n">
        <x:v>179</x:v>
      </x:c>
      <x:c r="B158" t="str">
        <x:v>YES</x:v>
      </x:c>
      <x:c r="C158" t="str"/>
      <x:c r="D158" t="str">
        <x:v>OFFER-C129260CCDE6</x:v>
      </x:c>
      <x:c r="E158" t="str">
        <x:v>SPEC-1B29D52847DA</x:v>
      </x:c>
      <x:c r="F158" t="str">
        <x:v>CYLINDRICAL LOCK</x:v>
      </x:c>
      <x:c r="G158" t="str">
        <x:v>ES-ICB</x:v>
      </x:c>
      <x:c r="H158" t="str">
        <x:v>PHG</x:v>
      </x:c>
      <x:c r="I158" t="str">
        <x:v>F109-82</x:v>
      </x:c>
      <x:c r="J158" t="str">
        <x:v>ENTRY SFIC</x:v>
      </x:c>
      <x:c r="K158" t="str"/>
      <x:c r="L158" t="str">
        <x:v>626</x:v>
      </x:c>
      <x:c r="M158" t="str">
        <x:v>ES500CT26DICB ES-CT500 - Entry (F109) - ICB</x:v>
      </x:c>
      <x:c r="N158" t="str"/>
      <x:c r="O158" s="54" t="n">
        <x:v>116.88</x:v>
      </x:c>
      <x:c r="P158" t="str"/>
    </x:row>
    <x:row r="159" ht="15" hidden="0" customHeight="1">
      <x:c r="A159" t="n">
        <x:v>181</x:v>
      </x:c>
      <x:c r="B159" t="str">
        <x:v>YES</x:v>
      </x:c>
      <x:c r="C159" t="str"/>
      <x:c r="D159" t="str">
        <x:v>OFFER-AB7E9DF0BD9A</x:v>
      </x:c>
      <x:c r="E159" t="str">
        <x:v>SPEC-882618A3F0C9</x:v>
      </x:c>
      <x:c r="F159" t="str">
        <x:v>CYLINDRICAL LOCK</x:v>
      </x:c>
      <x:c r="G159" t="str">
        <x:v>HS</x:v>
      </x:c>
      <x:c r="H159" t="str">
        <x:v>PHG</x:v>
      </x:c>
      <x:c r="I159" t="str">
        <x:v>F86</x:v>
      </x:c>
      <x:c r="J159" t="str">
        <x:v>STOREROOM</x:v>
      </x:c>
      <x:c r="K159" t="str"/>
      <x:c r="L159" t="str">
        <x:v>626</x:v>
      </x:c>
      <x:c r="M159" t="str">
        <x:v>HS504CT26D HS-CT504 - Storeroom (F86)</x:v>
      </x:c>
      <x:c r="N159" t="str"/>
      <x:c r="O159" s="54" t="n">
        <x:v>89.27</x:v>
      </x:c>
      <x:c r="P159" t="str"/>
    </x:row>
    <x:row r="160" ht="15" hidden="0" customHeight="1">
      <x:c r="A160" t="n">
        <x:v>182</x:v>
      </x:c>
      <x:c r="B160" t="str">
        <x:v>YES</x:v>
      </x:c>
      <x:c r="C160" t="str"/>
      <x:c r="D160" t="str">
        <x:v>OFFER-27D202E3520B</x:v>
      </x:c>
      <x:c r="E160" t="str">
        <x:v>SPEC-3AA63A49680F</x:v>
      </x:c>
      <x:c r="F160" t="str">
        <x:v>CYLINDRICAL LOCK</x:v>
      </x:c>
      <x:c r="G160" t="str">
        <x:v>HS-ICB</x:v>
      </x:c>
      <x:c r="H160" t="str">
        <x:v>PHG</x:v>
      </x:c>
      <x:c r="I160" t="str">
        <x:v>F86</x:v>
      </x:c>
      <x:c r="J160" t="str">
        <x:v>STOREROOM SFIC</x:v>
      </x:c>
      <x:c r="K160" t="str"/>
      <x:c r="L160" t="str">
        <x:v>626</x:v>
      </x:c>
      <x:c r="M160" t="str">
        <x:v>HS504CT26DICB HS-CT504 - Storeroom (F86) - ICB</x:v>
      </x:c>
      <x:c r="N160" t="str"/>
      <x:c r="O160" s="54" t="n">
        <x:v>100.76</x:v>
      </x:c>
      <x:c r="P160" t="str"/>
    </x:row>
    <x:row r="161" ht="15" hidden="0" customHeight="1">
      <x:c r="A161" t="n">
        <x:v>183</x:v>
      </x:c>
      <x:c r="B161" t="str">
        <x:v>YES</x:v>
      </x:c>
      <x:c r="C161" t="str"/>
      <x:c r="D161" t="str">
        <x:v>OFFER-B60B3162CC40</x:v>
      </x:c>
      <x:c r="E161" t="str">
        <x:v>SPEC-46A9513103A2</x:v>
      </x:c>
      <x:c r="F161" t="str">
        <x:v>CYLINDRICAL LOCK</x:v>
      </x:c>
      <x:c r="G161" t="str">
        <x:v>HS</x:v>
      </x:c>
      <x:c r="H161" t="str">
        <x:v>PHG</x:v>
      </x:c>
      <x:c r="I161" t="str">
        <x:v>F84</x:v>
      </x:c>
      <x:c r="J161" t="str">
        <x:v>CLASSROOM</x:v>
      </x:c>
      <x:c r="K161" t="str"/>
      <x:c r="L161" t="str">
        <x:v>626</x:v>
      </x:c>
      <x:c r="M161" t="str">
        <x:v>HS509CT26D HS-CT509 - Classroom (F84)</x:v>
      </x:c>
      <x:c r="N161" t="str"/>
      <x:c r="O161" s="54" t="n">
        <x:v>93.3</x:v>
      </x:c>
      <x:c r="P161" t="str"/>
    </x:row>
    <x:row r="162" ht="15" hidden="0" customHeight="1">
      <x:c r="A162" t="n">
        <x:v>184</x:v>
      </x:c>
      <x:c r="B162" t="str">
        <x:v>YES</x:v>
      </x:c>
      <x:c r="C162" t="str"/>
      <x:c r="D162" t="str">
        <x:v>OFFER-377EC4EF10BE</x:v>
      </x:c>
      <x:c r="E162" t="str">
        <x:v>SPEC-5C4DA25D107E</x:v>
      </x:c>
      <x:c r="F162" t="str">
        <x:v>CYLINDRICAL LOCK</x:v>
      </x:c>
      <x:c r="G162" t="str">
        <x:v>HS-ICB</x:v>
      </x:c>
      <x:c r="H162" t="str">
        <x:v>PHG</x:v>
      </x:c>
      <x:c r="I162" t="str">
        <x:v>F84</x:v>
      </x:c>
      <x:c r="J162" t="str">
        <x:v>CLASSROOM SFIC</x:v>
      </x:c>
      <x:c r="K162" t="str"/>
      <x:c r="L162" t="str">
        <x:v>626</x:v>
      </x:c>
      <x:c r="M162" t="str">
        <x:v>HS509CT26DICB HS-CT509 - Classroom (F84) - ICB</x:v>
      </x:c>
      <x:c r="N162" t="str"/>
      <x:c r="O162" s="54" t="n">
        <x:v>105.32</x:v>
      </x:c>
      <x:c r="P162" t="str"/>
    </x:row>
    <x:row r="163" ht="15" hidden="0" customHeight="1">
      <x:c r="A163" t="n">
        <x:v>185</x:v>
      </x:c>
      <x:c r="B163" t="str">
        <x:v>YES</x:v>
      </x:c>
      <x:c r="C163" t="str"/>
      <x:c r="D163" t="str">
        <x:v>OFFER-162EB5CD493C</x:v>
      </x:c>
      <x:c r="E163" t="str">
        <x:v>SPEC-298651EAB3F0</x:v>
      </x:c>
      <x:c r="F163" t="str">
        <x:v>CYLINDRICAL LOCK</x:v>
      </x:c>
      <x:c r="G163" t="str">
        <x:v>HS</x:v>
      </x:c>
      <x:c r="H163" t="str">
        <x:v>PHG</x:v>
      </x:c>
      <x:c r="I163" t="str">
        <x:v>F109-82</x:v>
      </x:c>
      <x:c r="J163" t="str">
        <x:v>ENTRY</x:v>
      </x:c>
      <x:c r="K163" t="str"/>
      <x:c r="L163" t="str">
        <x:v>626</x:v>
      </x:c>
      <x:c r="M163" t="str">
        <x:v>HS500CT26D HS-CT500 - Entry (F109)</x:v>
      </x:c>
      <x:c r="N163" t="str"/>
      <x:c r="O163" s="54" t="n">
        <x:v>89.27</x:v>
      </x:c>
      <x:c r="P163" t="str"/>
    </x:row>
    <x:row r="164" ht="15" hidden="0" customHeight="1">
      <x:c r="A164" t="n">
        <x:v>186</x:v>
      </x:c>
      <x:c r="B164" t="str">
        <x:v>YES</x:v>
      </x:c>
      <x:c r="C164" t="str"/>
      <x:c r="D164" t="str">
        <x:v>OFFER-44C380FC2895</x:v>
      </x:c>
      <x:c r="E164" t="str">
        <x:v>SPEC-1B29D52847DA</x:v>
      </x:c>
      <x:c r="F164" t="str">
        <x:v>CYLINDRICAL LOCK</x:v>
      </x:c>
      <x:c r="G164" t="str">
        <x:v>HS-ICB</x:v>
      </x:c>
      <x:c r="H164" t="str">
        <x:v>PHG</x:v>
      </x:c>
      <x:c r="I164" t="str">
        <x:v>F109-82</x:v>
      </x:c>
      <x:c r="J164" t="str">
        <x:v>ENTRY SFIC</x:v>
      </x:c>
      <x:c r="K164" t="str"/>
      <x:c r="L164" t="str">
        <x:v>626</x:v>
      </x:c>
      <x:c r="M164" t="str">
        <x:v>HS500CT26DICB HS-CT500 - Entry (F109) - ICB</x:v>
      </x:c>
      <x:c r="N164" t="str"/>
      <x:c r="O164" s="54" t="n">
        <x:v>100.76</x:v>
      </x:c>
      <x:c r="P164" t="str"/>
    </x:row>
    <x:row r="165" ht="15" hidden="0" customHeight="1">
      <x:c r="A165" t="n">
        <x:v>189</x:v>
      </x:c>
      <x:c r="B165" t="str">
        <x:v>YES</x:v>
      </x:c>
      <x:c r="C165" t="str"/>
      <x:c r="D165" t="str">
        <x:v>OFFER-7B1D57249CFE</x:v>
      </x:c>
      <x:c r="E165" t="str">
        <x:v>SPEC-15FDCC55AD13</x:v>
      </x:c>
      <x:c r="F165" t="str">
        <x:v>MORTISE LOCK</x:v>
      </x:c>
      <x:c r="G165" t="str"/>
      <x:c r="H165" t="str">
        <x:v>DK</x:v>
      </x:c>
      <x:c r="I165" t="str"/>
      <x:c r="J165" t="str">
        <x:v>STOREROOM w DEADBOLT</x:v>
      </x:c>
      <x:c r="K165" t="str"/>
      <x:c r="L165" t="str">
        <x:v>630</x:v>
      </x:c>
      <x:c r="M165" t="str">
        <x:v>M1-980-D-LR-M-*-HAND-134-5006-114</x:v>
      </x:c>
      <x:c r="N165" t="str"/>
      <x:c r="O165" s="54"/>
      <x:c r="P165" t="str"/>
    </x:row>
    <x:row r="166" ht="15" hidden="0" customHeight="1">
      <x:c r="A166" t="n">
        <x:v>190</x:v>
      </x:c>
      <x:c r="B166" t="str">
        <x:v>YES</x:v>
      </x:c>
      <x:c r="C166" t="str"/>
      <x:c r="D166" t="str">
        <x:v>OFFER-5F9AD40AA0A1</x:v>
      </x:c>
      <x:c r="E166" t="str">
        <x:v>SPEC-E036640F0FCE</x:v>
      </x:c>
      <x:c r="F166" t="str">
        <x:v>MORTISE LOCK</x:v>
      </x:c>
      <x:c r="G166" t="str"/>
      <x:c r="H166" t="str">
        <x:v>DK</x:v>
      </x:c>
      <x:c r="I166" t="str"/>
      <x:c r="J166" t="str">
        <x:v>ENTRY w DEADBOLT</x:v>
      </x:c>
      <x:c r="K166" t="str"/>
      <x:c r="L166" t="str">
        <x:v>630</x:v>
      </x:c>
      <x:c r="M166" t="str"/>
      <x:c r="N166" t="str"/>
      <x:c r="O166" s="54"/>
      <x:c r="P166" t="str"/>
    </x:row>
    <x:row r="167" ht="15" hidden="0" customHeight="1">
      <x:c r="A167" t="n">
        <x:v>191</x:v>
      </x:c>
      <x:c r="B167" t="str">
        <x:v>YES</x:v>
      </x:c>
      <x:c r="C167" t="str"/>
      <x:c r="D167" t="str">
        <x:v>OFFER-B6E25609C579</x:v>
      </x:c>
      <x:c r="E167" t="str">
        <x:v>SPEC-E66729F39E6C</x:v>
      </x:c>
      <x:c r="F167" t="str">
        <x:v>MORTISE LOCK</x:v>
      </x:c>
      <x:c r="G167" t="str"/>
      <x:c r="H167" t="str">
        <x:v>DK</x:v>
      </x:c>
      <x:c r="I167" t="str"/>
      <x:c r="J167" t="str">
        <x:v>DORM w DEADBOLT</x:v>
      </x:c>
      <x:c r="K167" t="str"/>
      <x:c r="L167" t="str">
        <x:v>630</x:v>
      </x:c>
      <x:c r="M167" t="str"/>
      <x:c r="N167" t="str"/>
      <x:c r="O167" s="54"/>
      <x:c r="P167" t="str"/>
    </x:row>
    <x:row r="168" ht="15" hidden="0" customHeight="1">
      <x:c r="A168" t="n">
        <x:v>192</x:v>
      </x:c>
      <x:c r="B168" t="str">
        <x:v>YES</x:v>
      </x:c>
      <x:c r="C168" t="str"/>
      <x:c r="D168" t="str">
        <x:v>OFFER-0D78AFA6972C</x:v>
      </x:c>
      <x:c r="E168" t="str">
        <x:v>SPEC-4729E3036CB9</x:v>
      </x:c>
      <x:c r="F168" t="str">
        <x:v>MORTISE LOCK</x:v>
      </x:c>
      <x:c r="G168" t="str"/>
      <x:c r="H168" t="str">
        <x:v>BST</x:v>
      </x:c>
      <x:c r="I168" t="str"/>
      <x:c r="J168" t="str"/>
      <x:c r="K168" t="str"/>
      <x:c r="L168" t="str">
        <x:v>630</x:v>
      </x:c>
      <x:c r="M168" t="str"/>
      <x:c r="N168" t="str"/>
      <x:c r="O168" s="54"/>
      <x:c r="P168" t="str"/>
    </x:row>
    <x:row r="169" ht="15" hidden="0" customHeight="1">
      <x:c r="A169" t="n">
        <x:v>193</x:v>
      </x:c>
      <x:c r="B169" t="str">
        <x:v>NO</x:v>
      </x:c>
      <x:c r="C169" t="n">
        <x:v>192</x:v>
      </x:c>
      <x:c r="D169" t="str">
        <x:v>OFFER-0D78AFA6972C</x:v>
      </x:c>
      <x:c r="E169" t="str">
        <x:v>SPEC-4729E3036CB9</x:v>
      </x:c>
      <x:c r="F169" t="str">
        <x:v>MORTISE LOCK</x:v>
      </x:c>
      <x:c r="G169" t="str"/>
      <x:c r="H169" t="str">
        <x:v>BST</x:v>
      </x:c>
      <x:c r="I169" t="str"/>
      <x:c r="J169" t="str"/>
      <x:c r="K169" t="str"/>
      <x:c r="L169" t="str">
        <x:v>630</x:v>
      </x:c>
      <x:c r="M169" t="str"/>
      <x:c r="N169" t="str"/>
      <x:c r="O169" s="54"/>
      <x:c r="P169" t="str"/>
    </x:row>
    <x:row r="170" ht="15" hidden="0" customHeight="1">
      <x:c r="A170" t="n">
        <x:v>194</x:v>
      </x:c>
      <x:c r="B170" t="str">
        <x:v>YES</x:v>
      </x:c>
      <x:c r="C170" t="str"/>
      <x:c r="D170" t="str">
        <x:v>OFFER-E0C8F557F087</x:v>
      </x:c>
      <x:c r="E170" t="str">
        <x:v>SPEC-E1BC0AC27D6E</x:v>
      </x:c>
      <x:c r="F170" t="str">
        <x:v>MORTISE LOCK</x:v>
      </x:c>
      <x:c r="G170" t="str"/>
      <x:c r="H170" t="str">
        <x:v>DH</x:v>
      </x:c>
      <x:c r="I170" t="str"/>
      <x:c r="J170" t="str"/>
      <x:c r="K170" t="str"/>
      <x:c r="L170" t="str">
        <x:v>626</x:v>
      </x:c>
      <x:c r="M170" t="str"/>
      <x:c r="N170" t="str"/>
      <x:c r="O170" s="54"/>
      <x:c r="P170" t="str"/>
    </x:row>
    <x:row r="171" ht="15" hidden="0" customHeight="1">
      <x:c r="A171" t="n">
        <x:v>195</x:v>
      </x:c>
      <x:c r="B171" t="str">
        <x:v>NO</x:v>
      </x:c>
      <x:c r="C171" t="n">
        <x:v>194</x:v>
      </x:c>
      <x:c r="D171" t="str">
        <x:v>OFFER-E0C8F557F087</x:v>
      </x:c>
      <x:c r="E171" t="str">
        <x:v>SPEC-E1BC0AC27D6E</x:v>
      </x:c>
      <x:c r="F171" t="str">
        <x:v>MORTISE LOCK</x:v>
      </x:c>
      <x:c r="G171" t="str"/>
      <x:c r="H171" t="str">
        <x:v>DH</x:v>
      </x:c>
      <x:c r="I171" t="str"/>
      <x:c r="J171" t="str"/>
      <x:c r="K171" t="str"/>
      <x:c r="L171" t="str">
        <x:v>626</x:v>
      </x:c>
      <x:c r="M171" t="str"/>
      <x:c r="N171" t="str"/>
      <x:c r="O171" s="54"/>
      <x:c r="P171" t="str"/>
    </x:row>
    <x:row r="172" ht="15" hidden="0" customHeight="1">
      <x:c r="A172" t="n">
        <x:v>196</x:v>
      </x:c>
      <x:c r="B172" t="str">
        <x:v>YES</x:v>
      </x:c>
      <x:c r="C172" t="str"/>
      <x:c r="D172" t="str">
        <x:v>OFFER-EE0C01FAF1AA</x:v>
      </x:c>
      <x:c r="E172" t="str">
        <x:v>SPEC-71EA9B147D8B</x:v>
      </x:c>
      <x:c r="F172" t="str">
        <x:v>MORTISE LOCK</x:v>
      </x:c>
      <x:c r="G172" t="str">
        <x:v>MEW NO BOLT</x:v>
      </x:c>
      <x:c r="H172" t="str">
        <x:v>PHG</x:v>
      </x:c>
      <x:c r="I172" t="str"/>
      <x:c r="J172" t="str">
        <x:v>CLASSROOM</x:v>
      </x:c>
      <x:c r="K172" t="str"/>
      <x:c r="L172" t="str">
        <x:v>626</x:v>
      </x:c>
      <x:c r="M172" t="str">
        <x:v>MEW705CT26D</x:v>
      </x:c>
      <x:c r="N172" t="str"/>
      <x:c r="O172" s="54"/>
      <x:c r="P172" t="str"/>
    </x:row>
    <x:row r="173" ht="15" hidden="0" customHeight="1">
      <x:c r="A173" t="n">
        <x:v>197</x:v>
      </x:c>
      <x:c r="B173" t="str">
        <x:v>YES</x:v>
      </x:c>
      <x:c r="C173" t="str"/>
      <x:c r="D173" t="str">
        <x:v>OFFER-51DE0707BC24</x:v>
      </x:c>
      <x:c r="E173" t="str">
        <x:v>SPEC-01558E77D141</x:v>
      </x:c>
      <x:c r="F173" t="str">
        <x:v>MORTISE LOCK</x:v>
      </x:c>
      <x:c r="G173" t="str">
        <x:v>MEW NO BOLT</x:v>
      </x:c>
      <x:c r="H173" t="str">
        <x:v>PHG</x:v>
      </x:c>
      <x:c r="I173" t="str"/>
      <x:c r="J173" t="str">
        <x:v>STOREROOM</x:v>
      </x:c>
      <x:c r="K173" t="str"/>
      <x:c r="L173" t="str">
        <x:v>626</x:v>
      </x:c>
      <x:c r="M173" t="str">
        <x:v>MEW707CT26D</x:v>
      </x:c>
      <x:c r="N173" t="str"/>
      <x:c r="O173" s="54"/>
      <x:c r="P173" t="str"/>
    </x:row>
    <x:row r="174" ht="15" hidden="0" customHeight="1">
      <x:c r="A174" t="n">
        <x:v>198</x:v>
      </x:c>
      <x:c r="B174" t="str">
        <x:v>YES</x:v>
      </x:c>
      <x:c r="C174" t="str"/>
      <x:c r="D174" t="str">
        <x:v>OFFER-902A6592B544</x:v>
      </x:c>
      <x:c r="E174" t="str">
        <x:v>SPEC-AA2D21F78E1A</x:v>
      </x:c>
      <x:c r="F174" t="str">
        <x:v>MORTISE LOCK</x:v>
      </x:c>
      <x:c r="G174" t="str">
        <x:v>MEW W BOLT</x:v>
      </x:c>
      <x:c r="H174" t="str">
        <x:v>PHG</x:v>
      </x:c>
      <x:c r="I174" t="str"/>
      <x:c r="J174" t="str">
        <x:v>CORRIDOR/DORM</x:v>
      </x:c>
      <x:c r="K174" t="str"/>
      <x:c r="L174" t="str">
        <x:v>626</x:v>
      </x:c>
      <x:c r="M174" t="str">
        <x:v>MEW713CT26D</x:v>
      </x:c>
      <x:c r="N174" t="str"/>
      <x:c r="O174" s="54"/>
      <x:c r="P174" t="str"/>
    </x:row>
    <x:row r="175" ht="15" hidden="0" customHeight="1">
      <x:c r="A175" t="n">
        <x:v>199</x:v>
      </x:c>
      <x:c r="B175" t="str">
        <x:v>YES</x:v>
      </x:c>
      <x:c r="C175" t="str"/>
      <x:c r="D175" t="str">
        <x:v>OFFER-1EA4A266EC28</x:v>
      </x:c>
      <x:c r="E175" t="str">
        <x:v>SPEC-01558E77D141</x:v>
      </x:c>
      <x:c r="F175" t="str">
        <x:v>MORTISE LOCK</x:v>
      </x:c>
      <x:c r="G175" t="str">
        <x:v>MEW W BOLT</x:v>
      </x:c>
      <x:c r="H175" t="str">
        <x:v>PHG</x:v>
      </x:c>
      <x:c r="I175" t="str"/>
      <x:c r="J175" t="str">
        <x:v>STOREROOM</x:v>
      </x:c>
      <x:c r="K175" t="str"/>
      <x:c r="L175" t="str">
        <x:v>626</x:v>
      </x:c>
      <x:c r="M175" t="str">
        <x:v>MEW765CT26D</x:v>
      </x:c>
      <x:c r="N175" t="str"/>
      <x:c r="O175" s="54"/>
      <x:c r="P175" t="str"/>
    </x:row>
    <x:row r="176" ht="15" hidden="0" customHeight="1">
      <x:c r="A176" t="n">
        <x:v>203</x:v>
      </x:c>
      <x:c r="B176" t="str">
        <x:v>YES</x:v>
      </x:c>
      <x:c r="C176" t="str"/>
      <x:c r="D176" t="str">
        <x:v>OFFER-66F8859642F2</x:v>
      </x:c>
      <x:c r="E176" t="str">
        <x:v>SPEC-7DC0219E8813</x:v>
      </x:c>
      <x:c r="F176" t="str">
        <x:v>MORTISE PANIC</x:v>
      </x:c>
      <x:c r="G176" t="str">
        <x:v>9800-36"</x:v>
      </x:c>
      <x:c r="H176" t="str">
        <x:v>PHG</x:v>
      </x:c>
      <x:c r="I176" t="str">
        <x:v>36" MORTISE PANIC</x:v>
      </x:c>
      <x:c r="J176" t="str">
        <x:v>PANIC RATED</x:v>
      </x:c>
      <x:c r="K176" t="str"/>
      <x:c r="L176" t="str">
        <x:v>630</x:v>
      </x:c>
      <x:c r="M176" t="str"/>
      <x:c r="N176" t="str"/>
      <x:c r="O176" s="54"/>
      <x:c r="P176" t="str"/>
    </x:row>
    <x:row r="177" ht="15" hidden="0" customHeight="1">
      <x:c r="A177" t="n">
        <x:v>204</x:v>
      </x:c>
      <x:c r="B177" t="str">
        <x:v>YES</x:v>
      </x:c>
      <x:c r="C177" t="str"/>
      <x:c r="D177" t="str">
        <x:v>OFFER-E35D6B863529</x:v>
      </x:c>
      <x:c r="E177" t="str">
        <x:v>SPEC-7BC008234E13</x:v>
      </x:c>
      <x:c r="F177" t="str">
        <x:v>MORTISE PANIC</x:v>
      </x:c>
      <x:c r="G177" t="str">
        <x:v>9800-36"</x:v>
      </x:c>
      <x:c r="H177" t="str">
        <x:v>PHG</x:v>
      </x:c>
      <x:c r="I177" t="str">
        <x:v>36" MORTISE PANIC</x:v>
      </x:c>
      <x:c r="J177" t="str">
        <x:v>FIRE RATED ADDER</x:v>
      </x:c>
      <x:c r="K177" t="str"/>
      <x:c r="L177" t="str">
        <x:v>630</x:v>
      </x:c>
      <x:c r="M177" t="str"/>
      <x:c r="N177" t="str"/>
      <x:c r="O177" s="54"/>
      <x:c r="P177" t="str"/>
    </x:row>
    <x:row r="178" ht="15" hidden="0" customHeight="1">
      <x:c r="A178" t="n">
        <x:v>205</x:v>
      </x:c>
      <x:c r="B178" t="str">
        <x:v>YES</x:v>
      </x:c>
      <x:c r="C178" t="str"/>
      <x:c r="D178" t="str">
        <x:v>OFFER-30C21A41F248</x:v>
      </x:c>
      <x:c r="E178" t="str">
        <x:v>SPEC-B447A07B7E5E</x:v>
      </x:c>
      <x:c r="F178" t="str">
        <x:v>MORTISE PANIC</x:v>
      </x:c>
      <x:c r="G178" t="str">
        <x:v>9800-36"</x:v>
      </x:c>
      <x:c r="H178" t="str">
        <x:v>PHG</x:v>
      </x:c>
      <x:c r="I178" t="str">
        <x:v>36" MORTISE PANIC</x:v>
      </x:c>
      <x:c r="J178" t="str">
        <x:v>WIND RATED ADDER</x:v>
      </x:c>
      <x:c r="K178" t="str"/>
      <x:c r="L178" t="str">
        <x:v>630</x:v>
      </x:c>
      <x:c r="M178" t="str"/>
      <x:c r="N178" t="str"/>
      <x:c r="O178" s="54"/>
      <x:c r="P178" t="str"/>
    </x:row>
    <x:row r="179" ht="15" hidden="0" customHeight="1">
      <x:c r="A179" t="n">
        <x:v>206</x:v>
      </x:c>
      <x:c r="B179" t="str">
        <x:v>YES</x:v>
      </x:c>
      <x:c r="C179" t="str"/>
      <x:c r="D179" t="str">
        <x:v>OFFER-54584895F34D</x:v>
      </x:c>
      <x:c r="E179" t="str">
        <x:v>SPEC-68F1122034DD</x:v>
      </x:c>
      <x:c r="F179" t="str">
        <x:v>MORTISE PANIC</x:v>
      </x:c>
      <x:c r="G179" t="str">
        <x:v>9800-36"</x:v>
      </x:c>
      <x:c r="H179" t="str">
        <x:v>PHG</x:v>
      </x:c>
      <x:c r="I179" t="str">
        <x:v>36" MORTISE PANIC</x:v>
      </x:c>
      <x:c r="J179" t="str">
        <x:v>TDI RATED ADDER</x:v>
      </x:c>
      <x:c r="K179" t="str"/>
      <x:c r="L179" t="str">
        <x:v>630</x:v>
      </x:c>
      <x:c r="M179" t="str"/>
      <x:c r="N179" t="str"/>
      <x:c r="O179" s="54"/>
      <x:c r="P179" t="str"/>
    </x:row>
    <x:row r="180" ht="15" hidden="0" customHeight="1">
      <x:c r="A180" t="n">
        <x:v>207</x:v>
      </x:c>
      <x:c r="B180" t="str">
        <x:v>YES</x:v>
      </x:c>
      <x:c r="C180" t="str"/>
      <x:c r="D180" t="str">
        <x:v>OFFER-B57E59305E04</x:v>
      </x:c>
      <x:c r="E180" t="str">
        <x:v>SPEC-7A7EA96B996C</x:v>
      </x:c>
      <x:c r="F180" t="str">
        <x:v>MORTISE PANIC</x:v>
      </x:c>
      <x:c r="G180" t="str">
        <x:v>9800-48"</x:v>
      </x:c>
      <x:c r="H180" t="str">
        <x:v>PHG</x:v>
      </x:c>
      <x:c r="I180" t="str">
        <x:v>48" MORTISE PANIC</x:v>
      </x:c>
      <x:c r="J180" t="str">
        <x:v>PANIC RATED</x:v>
      </x:c>
      <x:c r="K180" t="str"/>
      <x:c r="L180" t="str">
        <x:v>630</x:v>
      </x:c>
      <x:c r="M180" t="str"/>
      <x:c r="N180" t="str"/>
      <x:c r="O180" s="54"/>
      <x:c r="P180" t="str"/>
    </x:row>
    <x:row r="181" ht="15" hidden="0" customHeight="1">
      <x:c r="A181" t="n">
        <x:v>208</x:v>
      </x:c>
      <x:c r="B181" t="str">
        <x:v>YES</x:v>
      </x:c>
      <x:c r="C181" t="str"/>
      <x:c r="D181" t="str">
        <x:v>OFFER-A792FD009CF0</x:v>
      </x:c>
      <x:c r="E181" t="str">
        <x:v>SPEC-3CB1A46F231A</x:v>
      </x:c>
      <x:c r="F181" t="str">
        <x:v>MORTISE PANIC</x:v>
      </x:c>
      <x:c r="G181" t="str">
        <x:v>9800-48"</x:v>
      </x:c>
      <x:c r="H181" t="str">
        <x:v>PHG</x:v>
      </x:c>
      <x:c r="I181" t="str">
        <x:v>48" MORTISE PANIC</x:v>
      </x:c>
      <x:c r="J181" t="str">
        <x:v>FIRE RATED ADDER</x:v>
      </x:c>
      <x:c r="K181" t="str"/>
      <x:c r="L181" t="str">
        <x:v>630</x:v>
      </x:c>
      <x:c r="M181" t="str"/>
      <x:c r="N181" t="str"/>
      <x:c r="O181" s="54"/>
      <x:c r="P181" t="str"/>
    </x:row>
    <x:row r="182" ht="15" hidden="0" customHeight="1">
      <x:c r="A182" t="n">
        <x:v>209</x:v>
      </x:c>
      <x:c r="B182" t="str">
        <x:v>YES</x:v>
      </x:c>
      <x:c r="C182" t="str"/>
      <x:c r="D182" t="str">
        <x:v>OFFER-FED733124D5F</x:v>
      </x:c>
      <x:c r="E182" t="str">
        <x:v>SPEC-5C9564109A2E</x:v>
      </x:c>
      <x:c r="F182" t="str">
        <x:v>MORTISE PANIC</x:v>
      </x:c>
      <x:c r="G182" t="str">
        <x:v>9800-48"</x:v>
      </x:c>
      <x:c r="H182" t="str">
        <x:v>PHG</x:v>
      </x:c>
      <x:c r="I182" t="str">
        <x:v>48" MORTISE PANIC</x:v>
      </x:c>
      <x:c r="J182" t="str">
        <x:v>WIND RATED ADDER</x:v>
      </x:c>
      <x:c r="K182" t="str"/>
      <x:c r="L182" t="str">
        <x:v>630</x:v>
      </x:c>
      <x:c r="M182" t="str"/>
      <x:c r="N182" t="str"/>
      <x:c r="O182" s="54"/>
      <x:c r="P182" t="str"/>
    </x:row>
    <x:row r="183" ht="15" hidden="0" customHeight="1">
      <x:c r="A183" t="n">
        <x:v>210</x:v>
      </x:c>
      <x:c r="B183" t="str">
        <x:v>YES</x:v>
      </x:c>
      <x:c r="C183" t="str"/>
      <x:c r="D183" t="str">
        <x:v>OFFER-2C8B47DA9D13</x:v>
      </x:c>
      <x:c r="E183" t="str">
        <x:v>SPEC-37236328FE24</x:v>
      </x:c>
      <x:c r="F183" t="str">
        <x:v>MORTISE PANIC</x:v>
      </x:c>
      <x:c r="G183" t="str">
        <x:v>9800-48"</x:v>
      </x:c>
      <x:c r="H183" t="str">
        <x:v>PHG</x:v>
      </x:c>
      <x:c r="I183" t="str">
        <x:v>48" MORTISE PANIC</x:v>
      </x:c>
      <x:c r="J183" t="str">
        <x:v>TDI RATED ADDER</x:v>
      </x:c>
      <x:c r="K183" t="str"/>
      <x:c r="L183" t="str">
        <x:v>630</x:v>
      </x:c>
      <x:c r="M183" t="str"/>
      <x:c r="N183" t="str"/>
      <x:c r="O183" s="54"/>
      <x:c r="P183" t="str"/>
    </x:row>
    <x:row r="184" ht="15" hidden="0" customHeight="1">
      <x:c r="A184" t="n">
        <x:v>212</x:v>
      </x:c>
      <x:c r="B184" t="str">
        <x:v>YES</x:v>
      </x:c>
      <x:c r="C184" t="str"/>
      <x:c r="D184" t="str">
        <x:v>OFFER-75A5F9B6DF14</x:v>
      </x:c>
      <x:c r="E184" t="str">
        <x:v>SPEC-99F287537EEF</x:v>
      </x:c>
      <x:c r="F184" t="str">
        <x:v>PHG MP TRIM</x:v>
      </x:c>
      <x:c r="G184" t="str">
        <x:v>HELM ESC TRIM-900</x:v>
      </x:c>
      <x:c r="H184" t="str">
        <x:v>PHG</x:v>
      </x:c>
      <x:c r="I184" t="str">
        <x:v>HELM 9 SERIES TRIM (9800)</x:v>
      </x:c>
      <x:c r="J184" t="str">
        <x:v>SUFFIX: 900CT: ENTRY</x:v>
      </x:c>
      <x:c r="K184" t="str"/>
      <x:c r="L184" t="str"/>
      <x:c r="M184" t="str">
        <x:v>HELM900CT32D</x:v>
      </x:c>
      <x:c r="N184" t="str"/>
      <x:c r="O184" s="54" t="n">
        <x:v>236.97</x:v>
      </x:c>
      <x:c r="P184" t="str"/>
    </x:row>
    <x:row r="185" ht="15" hidden="0" customHeight="1">
      <x:c r="A185" t="n">
        <x:v>213</x:v>
      </x:c>
      <x:c r="B185" t="str">
        <x:v>YES</x:v>
      </x:c>
      <x:c r="C185" t="str"/>
      <x:c r="D185" t="str">
        <x:v>OFFER-BAE79280D435</x:v>
      </x:c>
      <x:c r="E185" t="str">
        <x:v>SPEC-A6EFC30CD655</x:v>
      </x:c>
      <x:c r="F185" t="str">
        <x:v>PHG MP TRIM</x:v>
      </x:c>
      <x:c r="G185" t="str">
        <x:v>HELM ESC TRIM-900ICB</x:v>
      </x:c>
      <x:c r="H185" t="str">
        <x:v>PHG</x:v>
      </x:c>
      <x:c r="I185" t="str">
        <x:v>HELM 9 SERIES TRIM (9800)</x:v>
      </x:c>
      <x:c r="J185" t="str">
        <x:v>SUFFIX: 900CT: ENTRY ICB SFIC</x:v>
      </x:c>
      <x:c r="K185" t="str"/>
      <x:c r="L185" t="str"/>
      <x:c r="M185" t="str">
        <x:v>HELM900CT32DICB</x:v>
      </x:c>
      <x:c r="N185" t="str"/>
      <x:c r="O185" s="54" t="n">
        <x:v>274.7</x:v>
      </x:c>
      <x:c r="P185" t="str"/>
    </x:row>
    <x:row r="186" ht="15" hidden="0" customHeight="1">
      <x:c r="A186" t="n">
        <x:v>214</x:v>
      </x:c>
      <x:c r="B186" t="str">
        <x:v>YES</x:v>
      </x:c>
      <x:c r="C186" t="str"/>
      <x:c r="D186" t="str">
        <x:v>OFFER-F1993619AC19</x:v>
      </x:c>
      <x:c r="E186" t="str">
        <x:v>SPEC-DCF3F116451F</x:v>
      </x:c>
      <x:c r="F186" t="str">
        <x:v>PHG MP TRIM</x:v>
      </x:c>
      <x:c r="G186" t="str">
        <x:v>HELM ESC TRIM-900ICS</x:v>
      </x:c>
      <x:c r="H186" t="str">
        <x:v>PHG</x:v>
      </x:c>
      <x:c r="I186" t="str">
        <x:v>HELM 9 SERIES TRIM (9800)</x:v>
      </x:c>
      <x:c r="J186" t="str">
        <x:v>SUFFIX: 900CT: ENTRY ICS LFIC</x:v>
      </x:c>
      <x:c r="K186" t="str"/>
      <x:c r="L186" t="str"/>
      <x:c r="M186" t="str">
        <x:v>HELM900CT32DICS</x:v>
      </x:c>
      <x:c r="N186" t="str"/>
      <x:c r="O186" s="54" t="n">
        <x:v>274.07</x:v>
      </x:c>
      <x:c r="P186" t="str"/>
    </x:row>
    <x:row r="187" ht="15" hidden="0" customHeight="1">
      <x:c r="A187" t="n">
        <x:v>215</x:v>
      </x:c>
      <x:c r="B187" t="str">
        <x:v>YES</x:v>
      </x:c>
      <x:c r="C187" t="str"/>
      <x:c r="D187" t="str">
        <x:v>OFFER-CD8DCB5D4EBB</x:v>
      </x:c>
      <x:c r="E187" t="str">
        <x:v>SPEC-E47F09380872</x:v>
      </x:c>
      <x:c r="F187" t="str">
        <x:v>PHG MP TRIM</x:v>
      </x:c>
      <x:c r="G187" t="str">
        <x:v>HELM ESC TRIM-904</x:v>
      </x:c>
      <x:c r="H187" t="str">
        <x:v>PHG</x:v>
      </x:c>
      <x:c r="I187" t="str">
        <x:v>HELM 9 SERIES TRIM (9800)</x:v>
      </x:c>
      <x:c r="J187" t="str">
        <x:v>SUFFIX: 904CT: STOREROOM</x:v>
      </x:c>
      <x:c r="K187" t="str"/>
      <x:c r="L187" t="str"/>
      <x:c r="M187" t="str">
        <x:v>HELM904CT32D</x:v>
      </x:c>
      <x:c r="N187" t="str"/>
      <x:c r="O187" s="54" t="n">
        <x:v>236.97</x:v>
      </x:c>
      <x:c r="P187" t="str"/>
    </x:row>
    <x:row r="188" ht="15" hidden="0" customHeight="1">
      <x:c r="A188" t="n">
        <x:v>216</x:v>
      </x:c>
      <x:c r="B188" t="str">
        <x:v>YES</x:v>
      </x:c>
      <x:c r="C188" t="str"/>
      <x:c r="D188" t="str">
        <x:v>OFFER-FDD6E1288DCF</x:v>
      </x:c>
      <x:c r="E188" t="str">
        <x:v>SPEC-259D7AD04F0B</x:v>
      </x:c>
      <x:c r="F188" t="str">
        <x:v>PHG MP TRIM</x:v>
      </x:c>
      <x:c r="G188" t="str">
        <x:v>HELM ESC TRIM-904ICB</x:v>
      </x:c>
      <x:c r="H188" t="str">
        <x:v>PHG</x:v>
      </x:c>
      <x:c r="I188" t="str">
        <x:v>HELM 9 SERIES TRIM (9800)</x:v>
      </x:c>
      <x:c r="J188" t="str">
        <x:v>SUFFIX: 904CT: S_ROOM ICB SFIC</x:v>
      </x:c>
      <x:c r="K188" t="str"/>
      <x:c r="L188" t="str"/>
      <x:c r="M188" t="str">
        <x:v>HELM904CT32DICB</x:v>
      </x:c>
      <x:c r="N188" t="str"/>
      <x:c r="O188" s="54" t="n">
        <x:v>274.7</x:v>
      </x:c>
      <x:c r="P188" t="str"/>
    </x:row>
    <x:row r="189" ht="15" hidden="0" customHeight="1">
      <x:c r="A189" t="n">
        <x:v>217</x:v>
      </x:c>
      <x:c r="B189" t="str">
        <x:v>YES</x:v>
      </x:c>
      <x:c r="C189" t="str"/>
      <x:c r="D189" t="str">
        <x:v>OFFER-4093B9D7572F</x:v>
      </x:c>
      <x:c r="E189" t="str">
        <x:v>SPEC-AC12875358E2</x:v>
      </x:c>
      <x:c r="F189" t="str">
        <x:v>PHG MP TRIM</x:v>
      </x:c>
      <x:c r="G189" t="str">
        <x:v>HELM ESC TRIM-904ICS</x:v>
      </x:c>
      <x:c r="H189" t="str">
        <x:v>PHG</x:v>
      </x:c>
      <x:c r="I189" t="str">
        <x:v>HELM 9 SERIES TRIM (9800)</x:v>
      </x:c>
      <x:c r="J189" t="str">
        <x:v>SUFFIX: 904CT: S_ROOM ICS LFIC</x:v>
      </x:c>
      <x:c r="K189" t="str"/>
      <x:c r="L189" t="str"/>
      <x:c r="M189" t="str">
        <x:v>HELM904CT32DICS</x:v>
      </x:c>
      <x:c r="N189" t="str"/>
      <x:c r="O189" s="54" t="n">
        <x:v>274.7</x:v>
      </x:c>
      <x:c r="P189" t="str"/>
    </x:row>
    <x:row r="190" ht="15" hidden="0" customHeight="1">
      <x:c r="A190" t="n">
        <x:v>219</x:v>
      </x:c>
      <x:c r="B190" t="str">
        <x:v>YES</x:v>
      </x:c>
      <x:c r="C190" t="str"/>
      <x:c r="D190" t="str">
        <x:v>OFFER-1EECF8E18C32</x:v>
      </x:c>
      <x:c r="E190" t="str">
        <x:v>SPEC-7DC0219E8813</x:v>
      </x:c>
      <x:c r="F190" t="str">
        <x:v>MORTISE PANIC</x:v>
      </x:c>
      <x:c r="G190" t="str">
        <x:v>9500B 36"</x:v>
      </x:c>
      <x:c r="H190" t="str">
        <x:v>DK</x:v>
      </x:c>
      <x:c r="I190" t="str">
        <x:v>9500:M-PANIC: NR</x:v>
      </x:c>
      <x:c r="J190" t="str">
        <x:v>PANIC RATED BASE</x:v>
      </x:c>
      <x:c r="K190" t="str"/>
      <x:c r="L190" t="str">
        <x:v>630</x:v>
      </x:c>
      <x:c r="M190" t="str"/>
      <x:c r="N190" t="str"/>
      <x:c r="O190" s="54"/>
      <x:c r="P190" t="str"/>
    </x:row>
    <x:row r="191" ht="15" hidden="0" customHeight="1">
      <x:c r="A191" t="n">
        <x:v>220</x:v>
      </x:c>
      <x:c r="B191" t="str">
        <x:v>YES</x:v>
      </x:c>
      <x:c r="C191" t="str"/>
      <x:c r="D191" t="str">
        <x:v>OFFER-610EBD06B977</x:v>
      </x:c>
      <x:c r="E191" t="str">
        <x:v>SPEC-7BC008234E13</x:v>
      </x:c>
      <x:c r="F191" t="str">
        <x:v>MORTISE PANIC</x:v>
      </x:c>
      <x:c r="G191" t="str">
        <x:v>9500B 36"</x:v>
      </x:c>
      <x:c r="H191" t="str">
        <x:v>DK</x:v>
      </x:c>
      <x:c r="I191" t="str">
        <x:v>9500:M-PANIC: F</x:v>
      </x:c>
      <x:c r="J191" t="str">
        <x:v>FIRE RATED ADDER</x:v>
      </x:c>
      <x:c r="K191" t="str"/>
      <x:c r="L191" t="str">
        <x:v>630</x:v>
      </x:c>
      <x:c r="M191" t="str"/>
      <x:c r="N191" t="str"/>
      <x:c r="O191" s="54"/>
      <x:c r="P191" t="str"/>
    </x:row>
    <x:row r="192" ht="15" hidden="0" customHeight="1">
      <x:c r="A192" t="n">
        <x:v>221</x:v>
      </x:c>
      <x:c r="B192" t="str">
        <x:v>YES</x:v>
      </x:c>
      <x:c r="C192" t="str"/>
      <x:c r="D192" t="str">
        <x:v>OFFER-A59B26AFEF2B</x:v>
      </x:c>
      <x:c r="E192" t="str">
        <x:v>SPEC-B447A07B7E5E</x:v>
      </x:c>
      <x:c r="F192" t="str">
        <x:v>MORTISE PANIC</x:v>
      </x:c>
      <x:c r="G192" t="str">
        <x:v>9500B 36"</x:v>
      </x:c>
      <x:c r="H192" t="str">
        <x:v>DK</x:v>
      </x:c>
      <x:c r="I192" t="str">
        <x:v>9500:M-PANIC: W</x:v>
      </x:c>
      <x:c r="J192" t="str">
        <x:v>WIND RATED ADDER</x:v>
      </x:c>
      <x:c r="K192" t="str"/>
      <x:c r="L192" t="str">
        <x:v>630</x:v>
      </x:c>
      <x:c r="M192" t="str"/>
      <x:c r="N192" t="str"/>
      <x:c r="O192" s="54"/>
      <x:c r="P192" t="str"/>
    </x:row>
    <x:row r="193" ht="15" hidden="0" customHeight="1">
      <x:c r="A193" t="n">
        <x:v>222</x:v>
      </x:c>
      <x:c r="B193" t="str">
        <x:v>YES</x:v>
      </x:c>
      <x:c r="C193" t="str"/>
      <x:c r="D193" t="str">
        <x:v>OFFER-97B6330F0674</x:v>
      </x:c>
      <x:c r="E193" t="str">
        <x:v>SPEC-D5FA5E171F76</x:v>
      </x:c>
      <x:c r="F193" t="str">
        <x:v>MORTISE PANIC</x:v>
      </x:c>
      <x:c r="G193" t="str">
        <x:v>9500B 36"</x:v>
      </x:c>
      <x:c r="H193" t="str">
        <x:v>DK</x:v>
      </x:c>
      <x:c r="I193" t="str">
        <x:v>9500:M-PANIC: F+W</x:v>
      </x:c>
      <x:c r="J193" t="str">
        <x:v>FIRE &amp; WIND RATED ADDER</x:v>
      </x:c>
      <x:c r="K193" t="str"/>
      <x:c r="L193" t="str">
        <x:v>630</x:v>
      </x:c>
      <x:c r="M193" t="str"/>
      <x:c r="N193" t="str"/>
      <x:c r="O193" s="54"/>
      <x:c r="P193" t="str"/>
    </x:row>
    <x:row r="194" ht="15" hidden="0" customHeight="1">
      <x:c r="A194" t="n">
        <x:v>223</x:v>
      </x:c>
      <x:c r="B194" t="str">
        <x:v>YES</x:v>
      </x:c>
      <x:c r="C194" t="str"/>
      <x:c r="D194" t="str">
        <x:v>OFFER-5868453C7A1C</x:v>
      </x:c>
      <x:c r="E194" t="str">
        <x:v>SPEC-036361A21AA8</x:v>
      </x:c>
      <x:c r="F194" t="str">
        <x:v>MORTISE PANIC</x:v>
      </x:c>
      <x:c r="G194" t="str">
        <x:v>9500B 36"</x:v>
      </x:c>
      <x:c r="H194" t="str">
        <x:v>DK</x:v>
      </x:c>
      <x:c r="I194" t="str">
        <x:v>9500:M-PANIC: F+W_EL</x:v>
      </x:c>
      <x:c r="J194" t="str">
        <x:v>FIRE, WIND AND EL_DOGGED TRIM ADDER</x:v>
      </x:c>
      <x:c r="K194" t="str"/>
      <x:c r="L194" t="str">
        <x:v>630</x:v>
      </x:c>
      <x:c r="M194" t="str"/>
      <x:c r="N194" t="str"/>
      <x:c r="O194" s="54"/>
      <x:c r="P194" t="str"/>
    </x:row>
    <x:row r="195" ht="15" hidden="0" customHeight="1">
      <x:c r="A195" t="n">
        <x:v>224</x:v>
      </x:c>
      <x:c r="B195" t="str">
        <x:v>YES</x:v>
      </x:c>
      <x:c r="C195" t="str"/>
      <x:c r="D195" t="str">
        <x:v>OFFER-1CCBBDEB60B6</x:v>
      </x:c>
      <x:c r="E195" t="str">
        <x:v>SPEC-90FE8EA35B7D</x:v>
      </x:c>
      <x:c r="F195" t="str">
        <x:v>MORTISE PANIC</x:v>
      </x:c>
      <x:c r="G195" t="str">
        <x:v>9500B 36"</x:v>
      </x:c>
      <x:c r="H195" t="str">
        <x:v>DK</x:v>
      </x:c>
      <x:c r="I195" t="str">
        <x:v>9500:M-PANIC: F+W_MLR</x:v>
      </x:c>
      <x:c r="J195" t="str">
        <x:v>FIRE, WIND AND EL_MLR ADDER</x:v>
      </x:c>
      <x:c r="K195" t="str"/>
      <x:c r="L195" t="str">
        <x:v>630</x:v>
      </x:c>
      <x:c r="M195" t="str"/>
      <x:c r="N195" t="str"/>
      <x:c r="O195" s="54"/>
      <x:c r="P195" t="str"/>
    </x:row>
    <x:row r="196" ht="15" hidden="0" customHeight="1">
      <x:c r="A196" t="n">
        <x:v>225</x:v>
      </x:c>
      <x:c r="B196" t="str">
        <x:v>YES</x:v>
      </x:c>
      <x:c r="C196" t="str"/>
      <x:c r="D196" t="str">
        <x:v>OFFER-B19C78D8E403</x:v>
      </x:c>
      <x:c r="E196" t="str">
        <x:v>SPEC-7A7EA96B996C</x:v>
      </x:c>
      <x:c r="F196" t="str">
        <x:v>MORTISE PANIC</x:v>
      </x:c>
      <x:c r="G196" t="str">
        <x:v>9500A 48"</x:v>
      </x:c>
      <x:c r="H196" t="str">
        <x:v>DK</x:v>
      </x:c>
      <x:c r="I196" t="str">
        <x:v>9500:M-PANIC: NR</x:v>
      </x:c>
      <x:c r="J196" t="str">
        <x:v>PANIC RATED BASE</x:v>
      </x:c>
      <x:c r="K196" t="str"/>
      <x:c r="L196" t="str">
        <x:v>630</x:v>
      </x:c>
      <x:c r="M196" t="str"/>
      <x:c r="N196" t="str"/>
      <x:c r="O196" s="54"/>
      <x:c r="P196" t="str"/>
    </x:row>
    <x:row r="197" ht="15" hidden="0" customHeight="1">
      <x:c r="A197" t="n">
        <x:v>226</x:v>
      </x:c>
      <x:c r="B197" t="str">
        <x:v>YES</x:v>
      </x:c>
      <x:c r="C197" t="str"/>
      <x:c r="D197" t="str">
        <x:v>OFFER-5D9FF80D2015</x:v>
      </x:c>
      <x:c r="E197" t="str">
        <x:v>SPEC-3CB1A46F231A</x:v>
      </x:c>
      <x:c r="F197" t="str">
        <x:v>MORTISE PANIC</x:v>
      </x:c>
      <x:c r="G197" t="str">
        <x:v>9500A 48"</x:v>
      </x:c>
      <x:c r="H197" t="str">
        <x:v>DK</x:v>
      </x:c>
      <x:c r="I197" t="str">
        <x:v>9500:M-PANIC: F</x:v>
      </x:c>
      <x:c r="J197" t="str">
        <x:v>FIRE RATED ADDER</x:v>
      </x:c>
      <x:c r="K197" t="str"/>
      <x:c r="L197" t="str">
        <x:v>630</x:v>
      </x:c>
      <x:c r="M197" t="str"/>
      <x:c r="N197" t="str"/>
      <x:c r="O197" s="54"/>
      <x:c r="P197" t="str"/>
    </x:row>
    <x:row r="198" ht="15" hidden="0" customHeight="1">
      <x:c r="A198" t="n">
        <x:v>227</x:v>
      </x:c>
      <x:c r="B198" t="str">
        <x:v>YES</x:v>
      </x:c>
      <x:c r="C198" t="str"/>
      <x:c r="D198" t="str">
        <x:v>OFFER-FE2A28A67A06</x:v>
      </x:c>
      <x:c r="E198" t="str">
        <x:v>SPEC-5C9564109A2E</x:v>
      </x:c>
      <x:c r="F198" t="str">
        <x:v>MORTISE PANIC</x:v>
      </x:c>
      <x:c r="G198" t="str">
        <x:v>9500A 48"</x:v>
      </x:c>
      <x:c r="H198" t="str">
        <x:v>DK</x:v>
      </x:c>
      <x:c r="I198" t="str">
        <x:v>9500:M-PANIC: W</x:v>
      </x:c>
      <x:c r="J198" t="str">
        <x:v>WIND RATED ADDER</x:v>
      </x:c>
      <x:c r="K198" t="str"/>
      <x:c r="L198" t="str">
        <x:v>630</x:v>
      </x:c>
      <x:c r="M198" t="str"/>
      <x:c r="N198" t="str"/>
      <x:c r="O198" s="54"/>
      <x:c r="P198" t="str"/>
    </x:row>
    <x:row r="199" ht="15" hidden="0" customHeight="1">
      <x:c r="A199" t="n">
        <x:v>228</x:v>
      </x:c>
      <x:c r="B199" t="str">
        <x:v>YES</x:v>
      </x:c>
      <x:c r="C199" t="str"/>
      <x:c r="D199" t="str">
        <x:v>OFFER-30A5D6060632</x:v>
      </x:c>
      <x:c r="E199" t="str">
        <x:v>SPEC-084F11D098B8</x:v>
      </x:c>
      <x:c r="F199" t="str">
        <x:v>MORTISE PANIC</x:v>
      </x:c>
      <x:c r="G199" t="str">
        <x:v>9500A 48"</x:v>
      </x:c>
      <x:c r="H199" t="str">
        <x:v>DK</x:v>
      </x:c>
      <x:c r="I199" t="str">
        <x:v>9500:M-PANIC: F+W</x:v>
      </x:c>
      <x:c r="J199" t="str">
        <x:v>FIRE &amp; WIND RATED ADDER</x:v>
      </x:c>
      <x:c r="K199" t="str"/>
      <x:c r="L199" t="str">
        <x:v>630</x:v>
      </x:c>
      <x:c r="M199" t="str"/>
      <x:c r="N199" t="str"/>
      <x:c r="O199" s="54"/>
      <x:c r="P199" t="str"/>
    </x:row>
    <x:row r="200" ht="15" hidden="0" customHeight="1">
      <x:c r="A200" t="n">
        <x:v>229</x:v>
      </x:c>
      <x:c r="B200" t="str">
        <x:v>YES</x:v>
      </x:c>
      <x:c r="C200" t="str"/>
      <x:c r="D200" t="str">
        <x:v>OFFER-D801F6827414</x:v>
      </x:c>
      <x:c r="E200" t="str">
        <x:v>SPEC-0FB060D1DA6E</x:v>
      </x:c>
      <x:c r="F200" t="str">
        <x:v>MORTISE PANIC</x:v>
      </x:c>
      <x:c r="G200" t="str">
        <x:v>9500A 48"</x:v>
      </x:c>
      <x:c r="H200" t="str">
        <x:v>DK</x:v>
      </x:c>
      <x:c r="I200" t="str">
        <x:v>9500:M-PANIC: F+W_EL</x:v>
      </x:c>
      <x:c r="J200" t="str">
        <x:v>FIRE, WIND AND EL_DOGGED TRIM ADDER</x:v>
      </x:c>
      <x:c r="K200" t="str"/>
      <x:c r="L200" t="str">
        <x:v>630</x:v>
      </x:c>
      <x:c r="M200" t="str"/>
      <x:c r="N200" t="str"/>
      <x:c r="O200" s="54"/>
      <x:c r="P200" t="str"/>
    </x:row>
    <x:row r="201" ht="15" hidden="0" customHeight="1">
      <x:c r="A201" t="n">
        <x:v>230</x:v>
      </x:c>
      <x:c r="B201" t="str">
        <x:v>YES</x:v>
      </x:c>
      <x:c r="C201" t="str"/>
      <x:c r="D201" t="str">
        <x:v>OFFER-D985FB53942B</x:v>
      </x:c>
      <x:c r="E201" t="str">
        <x:v>SPEC-6F1E288CFD07</x:v>
      </x:c>
      <x:c r="F201" t="str">
        <x:v>MORTISE PANIC</x:v>
      </x:c>
      <x:c r="G201" t="str">
        <x:v>9500A 48"</x:v>
      </x:c>
      <x:c r="H201" t="str">
        <x:v>DK</x:v>
      </x:c>
      <x:c r="I201" t="str">
        <x:v>9500:M-PANIC: F+W_MLR</x:v>
      </x:c>
      <x:c r="J201" t="str">
        <x:v>FIRE, WIND AND EL_MLR ADDER</x:v>
      </x:c>
      <x:c r="K201" t="str"/>
      <x:c r="L201" t="str">
        <x:v>630</x:v>
      </x:c>
      <x:c r="M201" t="str"/>
      <x:c r="N201" t="str"/>
      <x:c r="O201" s="54"/>
      <x:c r="P201" t="str"/>
    </x:row>
    <x:row r="202" ht="15" hidden="0" customHeight="1">
      <x:c r="A202" t="n">
        <x:v>232</x:v>
      </x:c>
      <x:c r="B202" t="str">
        <x:v>YES</x:v>
      </x:c>
      <x:c r="C202" t="str"/>
      <x:c r="D202" t="str">
        <x:v>OFFER-999BB845B6D3</x:v>
      </x:c>
      <x:c r="E202" t="str">
        <x:v>SPEC-AFD3426908DC</x:v>
      </x:c>
      <x:c r="F202" t="str">
        <x:v>DK MP LEVER TRIM</x:v>
      </x:c>
      <x:c r="G202" t="str">
        <x:v>ESC LEVER</x:v>
      </x:c>
      <x:c r="H202" t="str">
        <x:v>DK</x:v>
      </x:c>
      <x:c r="I202" t="str">
        <x:v>YR08M</x:v>
      </x:c>
      <x:c r="J202" t="str">
        <x:v>KEY LOCKS/UNLOCKS LEVER</x:v>
      </x:c>
      <x:c r="K202" t="str"/>
      <x:c r="L202" t="str">
        <x:v>630</x:v>
      </x:c>
      <x:c r="M202" t="str"/>
      <x:c r="N202" t="str"/>
      <x:c r="O202" s="54" t="n">
        <x:v>857</x:v>
      </x:c>
      <x:c r="P202" t="str"/>
    </x:row>
    <x:row r="203" ht="15" hidden="0" customHeight="1">
      <x:c r="A203" t="n">
        <x:v>233</x:v>
      </x:c>
      <x:c r="B203" t="str">
        <x:v>YES</x:v>
      </x:c>
      <x:c r="C203" t="str"/>
      <x:c r="D203" t="str">
        <x:v>OFFER-BC9E35D62890</x:v>
      </x:c>
      <x:c r="E203" t="str">
        <x:v>SPEC-F4E577ACE7BA</x:v>
      </x:c>
      <x:c r="F203" t="str">
        <x:v>DK MP LEVER TRIM</x:v>
      </x:c>
      <x:c r="G203" t="str">
        <x:v>ESC LEVER</x:v>
      </x:c>
      <x:c r="H203" t="str">
        <x:v>DK</x:v>
      </x:c>
      <x:c r="I203" t="str">
        <x:v>YR08MC</x:v>
      </x:c>
      <x:c r="J203" t="str">
        <x:v>KEY LOCKS UNLOCKS LEVER CLUTCH</x:v>
      </x:c>
      <x:c r="K203" t="str"/>
      <x:c r="L203" t="str">
        <x:v>630</x:v>
      </x:c>
      <x:c r="M203" t="str"/>
      <x:c r="N203" t="str"/>
      <x:c r="O203" s="54" t="n">
        <x:v>1219</x:v>
      </x:c>
      <x:c r="P203" t="str"/>
    </x:row>
    <x:row r="204" ht="15" hidden="0" customHeight="1">
      <x:c r="A204" t="n">
        <x:v>234</x:v>
      </x:c>
      <x:c r="B204" t="str">
        <x:v>YES</x:v>
      </x:c>
      <x:c r="C204" t="str"/>
      <x:c r="D204" t="str">
        <x:v>OFFER-E2269AD6A283</x:v>
      </x:c>
      <x:c r="E204" t="str">
        <x:v>SPEC-809A92977C48</x:v>
      </x:c>
      <x:c r="F204" t="str">
        <x:v>DK MP LEVER TRIM</x:v>
      </x:c>
      <x:c r="G204" t="str">
        <x:v>ESC LEVER</x:v>
      </x:c>
      <x:c r="H204" t="str">
        <x:v>DK</x:v>
      </x:c>
      <x:c r="I204" t="str">
        <x:v>YR03M: NIGHT LATCH</x:v>
      </x:c>
      <x:c r="J204" t="str">
        <x:v>KEY RETRACTS LATCH</x:v>
      </x:c>
      <x:c r="K204" t="str"/>
      <x:c r="L204" t="str">
        <x:v>630</x:v>
      </x:c>
      <x:c r="M204" t="str"/>
      <x:c r="N204" t="str"/>
      <x:c r="O204" s="54" t="n">
        <x:v>733</x:v>
      </x:c>
      <x:c r="P204" t="str"/>
    </x:row>
    <x:row r="205" ht="15" hidden="0" customHeight="1">
      <x:c r="A205" t="n">
        <x:v>235</x:v>
      </x:c>
      <x:c r="B205" t="str">
        <x:v>YES</x:v>
      </x:c>
      <x:c r="C205" t="str"/>
      <x:c r="D205" t="str">
        <x:v>OFFER-3C02A7843FBB</x:v>
      </x:c>
      <x:c r="E205" t="str">
        <x:v>SPEC-BF967A9B6B97</x:v>
      </x:c>
      <x:c r="F205" t="str">
        <x:v>DK MP TP TRIM</x:v>
      </x:c>
      <x:c r="G205" t="str">
        <x:v>PULL TRIM THUMB</x:v>
      </x:c>
      <x:c r="H205" t="str">
        <x:v>DK</x:v>
      </x:c>
      <x:c r="I205" t="str">
        <x:v>HTT05M</x:v>
      </x:c>
      <x:c r="J205" t="str">
        <x:v>KEY LOCKS UNLOCKS THUMB PIECE</x:v>
      </x:c>
      <x:c r="K205" t="str"/>
      <x:c r="L205" t="str">
        <x:v>630</x:v>
      </x:c>
      <x:c r="M205" t="str"/>
      <x:c r="N205" t="str"/>
      <x:c r="O205" s="54" t="n">
        <x:v>467</x:v>
      </x:c>
      <x:c r="P205" t="str"/>
    </x:row>
    <x:row r="206" ht="15" hidden="0" customHeight="1">
      <x:c r="A206" t="n">
        <x:v>236</x:v>
      </x:c>
      <x:c r="B206" t="str">
        <x:v>YES</x:v>
      </x:c>
      <x:c r="C206" t="str"/>
      <x:c r="D206" t="str">
        <x:v>OFFER-2EDD82670276</x:v>
      </x:c>
      <x:c r="E206" t="str">
        <x:v>SPEC-4E844C1A94F7</x:v>
      </x:c>
      <x:c r="F206" t="str">
        <x:v>DK MP TP TRIM</x:v>
      </x:c>
      <x:c r="G206" t="str">
        <x:v>PULL TRIM THUMB</x:v>
      </x:c>
      <x:c r="H206" t="str">
        <x:v>DK</x:v>
      </x:c>
      <x:c r="I206" t="str">
        <x:v>HTT03M</x:v>
      </x:c>
      <x:c r="J206" t="str">
        <x:v>KEY RETRACTS LATCH</x:v>
      </x:c>
      <x:c r="K206" t="str"/>
      <x:c r="L206" t="str">
        <x:v>630</x:v>
      </x:c>
      <x:c r="M206" t="str"/>
      <x:c r="N206" t="str"/>
      <x:c r="O206" s="54" t="n">
        <x:v>443</x:v>
      </x:c>
      <x:c r="P206" t="str"/>
    </x:row>
    <x:row r="207" ht="15" hidden="0" customHeight="1">
      <x:c r="A207" t="n">
        <x:v>237</x:v>
      </x:c>
      <x:c r="B207" t="str">
        <x:v>YES</x:v>
      </x:c>
      <x:c r="C207" t="str"/>
      <x:c r="D207" t="str">
        <x:v>OFFER-09513B79A176</x:v>
      </x:c>
      <x:c r="E207" t="str">
        <x:v>SPEC-AAC9EDB8AAE5</x:v>
      </x:c>
      <x:c r="F207" t="str">
        <x:v>DK MP P TRIM</x:v>
      </x:c>
      <x:c r="G207" t="str">
        <x:v>PULL TRIM CYLINDER</x:v>
      </x:c>
      <x:c r="H207" t="str">
        <x:v>DK</x:v>
      </x:c>
      <x:c r="I207" t="str">
        <x:v>PRT03M</x:v>
      </x:c>
      <x:c r="J207" t="str">
        <x:v>KEY RETRACTS LATCH</x:v>
      </x:c>
      <x:c r="K207" t="str"/>
      <x:c r="L207" t="str">
        <x:v>630</x:v>
      </x:c>
      <x:c r="M207" t="str"/>
      <x:c r="N207" t="str"/>
      <x:c r="O207" s="54" t="n">
        <x:v>467</x:v>
      </x:c>
      <x:c r="P207" t="str"/>
    </x:row>
    <x:row r="208" ht="15" hidden="0" customHeight="1">
      <x:c r="A208" t="n">
        <x:v>239</x:v>
      </x:c>
      <x:c r="B208" t="str">
        <x:v>YES</x:v>
      </x:c>
      <x:c r="C208" t="str"/>
      <x:c r="D208" t="str">
        <x:v>OFFER-32E39328E06C</x:v>
      </x:c>
      <x:c r="E208" t="str">
        <x:v>SPEC-7DC0219E8813</x:v>
      </x:c>
      <x:c r="F208" t="str">
        <x:v>MORTISE PANIC</x:v>
      </x:c>
      <x:c r="G208" t="str">
        <x:v>2300 36"</x:v>
      </x:c>
      <x:c r="H208" t="str">
        <x:v>PHI</x:v>
      </x:c>
      <x:c r="I208" t="str">
        <x:v>2300:M-PANIC: NR</x:v>
      </x:c>
      <x:c r="J208" t="str">
        <x:v>PANIC RATED BASE</x:v>
      </x:c>
      <x:c r="K208" t="str"/>
      <x:c r="L208" t="str">
        <x:v>630</x:v>
      </x:c>
      <x:c r="M208" t="str"/>
      <x:c r="N208" t="str"/>
      <x:c r="O208" s="54" t="n">
        <x:v>4860</x:v>
      </x:c>
      <x:c r="P208" t="str">
        <x:v>50/70</x:v>
      </x:c>
    </x:row>
    <x:row r="209" ht="15" hidden="0" customHeight="1">
      <x:c r="A209" t="n">
        <x:v>240</x:v>
      </x:c>
      <x:c r="B209" t="str">
        <x:v>YES</x:v>
      </x:c>
      <x:c r="C209" t="str"/>
      <x:c r="D209" t="str">
        <x:v>OFFER-1AE0A68CDFA0</x:v>
      </x:c>
      <x:c r="E209" t="str">
        <x:v>SPEC-7A7EA96B996C</x:v>
      </x:c>
      <x:c r="F209" t="str">
        <x:v>MORTISE PANIC</x:v>
      </x:c>
      <x:c r="G209" t="str">
        <x:v>2300 48"</x:v>
      </x:c>
      <x:c r="H209" t="str">
        <x:v>PHI</x:v>
      </x:c>
      <x:c r="I209" t="str">
        <x:v>2300:M-PANIC: NR</x:v>
      </x:c>
      <x:c r="J209" t="str">
        <x:v>PANIC RATED BASE</x:v>
      </x:c>
      <x:c r="K209" t="str"/>
      <x:c r="L209" t="str">
        <x:v>630</x:v>
      </x:c>
      <x:c r="M209" t="str"/>
      <x:c r="N209" t="str"/>
      <x:c r="O209" s="54" t="n">
        <x:v>4860</x:v>
      </x:c>
      <x:c r="P209" t="str">
        <x:v>50/70</x:v>
      </x:c>
    </x:row>
    <x:row r="210" ht="15" hidden="0" customHeight="1">
      <x:c r="A210" t="n">
        <x:v>241</x:v>
      </x:c>
      <x:c r="B210" t="str">
        <x:v>YES</x:v>
      </x:c>
      <x:c r="C210" t="str"/>
      <x:c r="D210" t="str">
        <x:v>OFFER-0A497BF2957B</x:v>
      </x:c>
      <x:c r="E210" t="str">
        <x:v>SPEC-98123BC5188E</x:v>
      </x:c>
      <x:c r="F210" t="str">
        <x:v>MORTISE PANIC</x:v>
      </x:c>
      <x:c r="G210" t="str">
        <x:v>EL LEVER DOGGING</x:v>
      </x:c>
      <x:c r="H210" t="str">
        <x:v>PHI</x:v>
      </x:c>
      <x:c r="I210" t="str">
        <x:v>2300 BASE EL LOCK/UNLOCK</x:v>
      </x:c>
      <x:c r="J210" t="str">
        <x:v>PANIC RATED BASE</x:v>
      </x:c>
      <x:c r="K210" t="str"/>
      <x:c r="L210" t="str">
        <x:v>630</x:v>
      </x:c>
      <x:c r="M210" t="str"/>
      <x:c r="N210" t="str"/>
      <x:c r="O210" s="54" t="n">
        <x:v>5918</x:v>
      </x:c>
      <x:c r="P210" t="str"/>
    </x:row>
    <x:row r="211" ht="15" hidden="0" customHeight="1">
      <x:c r="A211" t="n">
        <x:v>242</x:v>
      </x:c>
      <x:c r="B211" t="str">
        <x:v>YES</x:v>
      </x:c>
      <x:c r="C211" t="str"/>
      <x:c r="D211" t="str">
        <x:v>OFFER-2D3ABF1C542C</x:v>
      </x:c>
      <x:c r="E211" t="str">
        <x:v>SPEC-C5B77A68C63A</x:v>
      </x:c>
      <x:c r="F211" t="str">
        <x:v>MORTISE PANIC</x:v>
      </x:c>
      <x:c r="G211" t="str">
        <x:v>FIRE ADDER</x:v>
      </x:c>
      <x:c r="H211" t="str">
        <x:v>PHI</x:v>
      </x:c>
      <x:c r="I211" t="str"/>
      <x:c r="J211" t="str"/>
      <x:c r="K211" t="str"/>
      <x:c r="L211" t="str">
        <x:v>ACC</x:v>
      </x:c>
      <x:c r="M211" t="str"/>
      <x:c r="N211" t="str"/>
      <x:c r="O211" s="54" t="n">
        <x:v>292</x:v>
      </x:c>
      <x:c r="P211" t="str"/>
    </x:row>
    <x:row r="212" ht="15" hidden="0" customHeight="1">
      <x:c r="A212" t="n">
        <x:v>243</x:v>
      </x:c>
      <x:c r="B212" t="str">
        <x:v>YES</x:v>
      </x:c>
      <x:c r="C212" t="str"/>
      <x:c r="D212" t="str">
        <x:v>OFFER-71CC3A3DEC37</x:v>
      </x:c>
      <x:c r="E212" t="str">
        <x:v>SPEC-1D93796FD95F</x:v>
      </x:c>
      <x:c r="F212" t="str">
        <x:v>MORTISE PANIC</x:v>
      </x:c>
      <x:c r="G212" t="str">
        <x:v>WIND ADDER</x:v>
      </x:c>
      <x:c r="H212" t="str">
        <x:v>PHI</x:v>
      </x:c>
      <x:c r="I212" t="str"/>
      <x:c r="J212" t="str"/>
      <x:c r="K212" t="str"/>
      <x:c r="L212" t="str">
        <x:v>ACC</x:v>
      </x:c>
      <x:c r="M212" t="str"/>
      <x:c r="N212" t="str"/>
      <x:c r="O212" s="54" t="n">
        <x:v>67</x:v>
      </x:c>
      <x:c r="P212" t="str"/>
    </x:row>
    <x:row r="213" ht="15" hidden="0" customHeight="1">
      <x:c r="A213" t="n">
        <x:v>244</x:v>
      </x:c>
      <x:c r="B213" t="str">
        <x:v>YES</x:v>
      </x:c>
      <x:c r="C213" t="str"/>
      <x:c r="D213" t="str">
        <x:v>OFFER-1D6F45D649A9</x:v>
      </x:c>
      <x:c r="E213" t="str">
        <x:v>SPEC-C4ED33E1B50D</x:v>
      </x:c>
      <x:c r="F213" t="str">
        <x:v>MORTISE PANIC</x:v>
      </x:c>
      <x:c r="G213" t="str">
        <x:v>TDI ADDER</x:v>
      </x:c>
      <x:c r="H213" t="str">
        <x:v>PHI</x:v>
      </x:c>
      <x:c r="I213" t="str"/>
      <x:c r="J213" t="str"/>
      <x:c r="K213" t="str"/>
      <x:c r="L213" t="str">
        <x:v>ACC</x:v>
      </x:c>
      <x:c r="M213" t="str"/>
      <x:c r="N213" t="str"/>
      <x:c r="O213" s="54" t="n">
        <x:v>67</x:v>
      </x:c>
      <x:c r="P213" t="str"/>
    </x:row>
    <x:row r="214" ht="15" hidden="0" customHeight="1">
      <x:c r="A214" t="n">
        <x:v>245</x:v>
      </x:c>
      <x:c r="B214" t="str">
        <x:v>YES</x:v>
      </x:c>
      <x:c r="C214" t="str"/>
      <x:c r="D214" t="str">
        <x:v>OFFER-C9960490322F</x:v>
      </x:c>
      <x:c r="E214" t="str">
        <x:v>SPEC-C0B08F444CF0</x:v>
      </x:c>
      <x:c r="F214" t="str">
        <x:v>MORTISE PANIC</x:v>
      </x:c>
      <x:c r="G214" t="str">
        <x:v>MLR ADDER</x:v>
      </x:c>
      <x:c r="H214" t="str">
        <x:v>PHI</x:v>
      </x:c>
      <x:c r="I214" t="str">
        <x:v>MORTORIZED LATCH RETRACTION</x:v>
      </x:c>
      <x:c r="J214" t="str"/>
      <x:c r="K214" t="str"/>
      <x:c r="L214" t="str">
        <x:v>ACC</x:v>
      </x:c>
      <x:c r="M214" t="str"/>
      <x:c r="N214" t="str"/>
      <x:c r="O214" s="54" t="n">
        <x:v>1577</x:v>
      </x:c>
      <x:c r="P214" t="str"/>
    </x:row>
    <x:row r="215" ht="15" hidden="0" customHeight="1">
      <x:c r="A215" t="n">
        <x:v>246</x:v>
      </x:c>
      <x:c r="B215" t="str">
        <x:v>YES</x:v>
      </x:c>
      <x:c r="C215" t="str"/>
      <x:c r="D215" t="str">
        <x:v>OFFER-05C9188B3A16</x:v>
      </x:c>
      <x:c r="E215" t="str">
        <x:v>SPEC-C7B25313BBD9</x:v>
      </x:c>
      <x:c r="F215" t="str">
        <x:v>MORTISE PANIC</x:v>
      </x:c>
      <x:c r="G215" t="str">
        <x:v>LATCH BOLT MONITOR</x:v>
      </x:c>
      <x:c r="H215" t="str">
        <x:v>PHI</x:v>
      </x:c>
      <x:c r="I215" t="str"/>
      <x:c r="J215" t="str"/>
      <x:c r="K215" t="str"/>
      <x:c r="L215" t="str">
        <x:v>ACC</x:v>
      </x:c>
      <x:c r="M215" t="str"/>
      <x:c r="N215" t="str"/>
      <x:c r="O215" s="54" t="n">
        <x:v>372</x:v>
      </x:c>
      <x:c r="P215" t="str"/>
    </x:row>
    <x:row r="216" ht="15" hidden="0" customHeight="1">
      <x:c r="A216" t="n">
        <x:v>248</x:v>
      </x:c>
      <x:c r="B216" t="str">
        <x:v>YES</x:v>
      </x:c>
      <x:c r="C216" t="str"/>
      <x:c r="D216" t="str">
        <x:v>OFFER-C67E39244F9C</x:v>
      </x:c>
      <x:c r="E216" t="str">
        <x:v>SPEC-809A92977C48</x:v>
      </x:c>
      <x:c r="F216" t="str">
        <x:v>PHI MP LEVER TRIM</x:v>
      </x:c>
      <x:c r="G216" t="str">
        <x:v>ESC LEVER</x:v>
      </x:c>
      <x:c r="H216" t="str">
        <x:v>PHI</x:v>
      </x:c>
      <x:c r="I216" t="str">
        <x:v>M4903A</x:v>
      </x:c>
      <x:c r="J216" t="str">
        <x:v>KEY RETRACTS LATCH</x:v>
      </x:c>
      <x:c r="K216" t="str"/>
      <x:c r="L216" t="str">
        <x:v>630</x:v>
      </x:c>
      <x:c r="M216" t="str"/>
      <x:c r="N216" t="str"/>
      <x:c r="O216" s="54" t="n">
        <x:v>1250</x:v>
      </x:c>
      <x:c r="P216" t="str"/>
    </x:row>
    <x:row r="217" ht="15" hidden="0" customHeight="1">
      <x:c r="A217" t="n">
        <x:v>249</x:v>
      </x:c>
      <x:c r="B217" t="str">
        <x:v>YES</x:v>
      </x:c>
      <x:c r="C217" t="str"/>
      <x:c r="D217" t="str">
        <x:v>OFFER-5389E6055E2D</x:v>
      </x:c>
      <x:c r="E217" t="str">
        <x:v>SPEC-AFD3426908DC</x:v>
      </x:c>
      <x:c r="F217" t="str">
        <x:v>PHI MP LEVER TRIM</x:v>
      </x:c>
      <x:c r="G217" t="str">
        <x:v>ESC LEVER</x:v>
      </x:c>
      <x:c r="H217" t="str">
        <x:v>PHI</x:v>
      </x:c>
      <x:c r="I217" t="str">
        <x:v>M4908A</x:v>
      </x:c>
      <x:c r="J217" t="str">
        <x:v>KEY LOCKS/UNLOCKS LEVER</x:v>
      </x:c>
      <x:c r="K217" t="str"/>
      <x:c r="L217" t="str">
        <x:v>630</x:v>
      </x:c>
      <x:c r="M217" t="str"/>
      <x:c r="N217" t="str"/>
      <x:c r="O217" s="54" t="n">
        <x:v>1250</x:v>
      </x:c>
      <x:c r="P217" t="str"/>
    </x:row>
    <x:row r="218" ht="15" hidden="0" customHeight="1">
      <x:c r="A218" t="n">
        <x:v>250</x:v>
      </x:c>
      <x:c r="B218" t="str">
        <x:v>YES</x:v>
      </x:c>
      <x:c r="C218" t="str"/>
      <x:c r="D218" t="str">
        <x:v>OFFER-30E2A629C269</x:v>
      </x:c>
      <x:c r="E218" t="str">
        <x:v>SPEC-BF967A9B6B97</x:v>
      </x:c>
      <x:c r="F218" t="str">
        <x:v>PHI MP TP TRIM</x:v>
      </x:c>
      <x:c r="G218" t="str">
        <x:v>PULL TRIM THUMB</x:v>
      </x:c>
      <x:c r="H218" t="str">
        <x:v>PHI</x:v>
      </x:c>
      <x:c r="I218" t="str">
        <x:v>M1705A</x:v>
      </x:c>
      <x:c r="J218" t="str">
        <x:v>KEY LOCKS UNLOCKS THUMB PIECE</x:v>
      </x:c>
      <x:c r="K218" t="str"/>
      <x:c r="L218" t="str">
        <x:v>630</x:v>
      </x:c>
      <x:c r="M218" t="str"/>
      <x:c r="N218" t="str"/>
      <x:c r="O218" s="54" t="n">
        <x:v>1250</x:v>
      </x:c>
      <x:c r="P218" t="str"/>
    </x:row>
    <x:row r="219" ht="15" hidden="0" customHeight="1">
      <x:c r="A219" t="n">
        <x:v>251</x:v>
      </x:c>
      <x:c r="B219" t="str">
        <x:v>YES</x:v>
      </x:c>
      <x:c r="C219" t="str"/>
      <x:c r="D219" t="str">
        <x:v>OFFER-C001EC0DB5A4</x:v>
      </x:c>
      <x:c r="E219" t="str">
        <x:v>SPEC-4E844C1A94F7</x:v>
      </x:c>
      <x:c r="F219" t="str">
        <x:v>PHI MP TP TRIM</x:v>
      </x:c>
      <x:c r="G219" t="str">
        <x:v>PULL TRIM THUMB</x:v>
      </x:c>
      <x:c r="H219" t="str">
        <x:v>PHI</x:v>
      </x:c>
      <x:c r="I219" t="str">
        <x:v>1703A</x:v>
      </x:c>
      <x:c r="J219" t="str">
        <x:v>KEY RETRACTS LATCH</x:v>
      </x:c>
      <x:c r="K219" t="str"/>
      <x:c r="L219" t="str">
        <x:v>630</x:v>
      </x:c>
      <x:c r="M219" t="str"/>
      <x:c r="N219" t="str"/>
      <x:c r="O219" s="54" t="n">
        <x:v>1000</x:v>
      </x:c>
      <x:c r="P219" t="str"/>
    </x:row>
    <x:row r="220" ht="15" hidden="0" customHeight="1">
      <x:c r="A220" t="n">
        <x:v>252</x:v>
      </x:c>
      <x:c r="B220" t="str">
        <x:v>YES</x:v>
      </x:c>
      <x:c r="C220" t="str"/>
      <x:c r="D220" t="str">
        <x:v>OFFER-481DE3A545B7</x:v>
      </x:c>
      <x:c r="E220" t="str">
        <x:v>SPEC-AAC9EDB8AAE5</x:v>
      </x:c>
      <x:c r="F220" t="str">
        <x:v>PHI MP P TRIM</x:v>
      </x:c>
      <x:c r="G220" t="str">
        <x:v>PULL TRIM CYLINDER</x:v>
      </x:c>
      <x:c r="H220" t="str">
        <x:v>PHI</x:v>
      </x:c>
      <x:c r="I220" t="str">
        <x:v>1703A</x:v>
      </x:c>
      <x:c r="J220" t="str">
        <x:v>KEY RETRACTS LATCH</x:v>
      </x:c>
      <x:c r="K220" t="str"/>
      <x:c r="L220" t="str">
        <x:v>630</x:v>
      </x:c>
      <x:c r="M220" t="str"/>
      <x:c r="N220" t="str"/>
      <x:c r="O220" s="54" t="n">
        <x:v>1000</x:v>
      </x:c>
      <x:c r="P220" t="str"/>
    </x:row>
    <x:row r="221" ht="15" hidden="0" customHeight="1">
      <x:c r="A221" t="n">
        <x:v>254</x:v>
      </x:c>
      <x:c r="B221" t="str">
        <x:v>YES</x:v>
      </x:c>
      <x:c r="C221" t="str"/>
      <x:c r="D221" t="str">
        <x:v>OFFER-EF6C09257912</x:v>
      </x:c>
      <x:c r="E221" t="str">
        <x:v>SPEC-30C12BF217D8</x:v>
      </x:c>
      <x:c r="F221" t="str">
        <x:v>MORTISE PANIC</x:v>
      </x:c>
      <x:c r="G221" t="str">
        <x:v>2300 36"</x:v>
      </x:c>
      <x:c r="H221" t="str">
        <x:v>PHI</x:v>
      </x:c>
      <x:c r="I221" t="str">
        <x:v>2300:M-PANIC: NR</x:v>
      </x:c>
      <x:c r="J221" t="str">
        <x:v>PANIC RATED BASE</x:v>
      </x:c>
      <x:c r="K221" t="str"/>
      <x:c r="L221" t="str">
        <x:v>628</x:v>
      </x:c>
      <x:c r="M221" t="str"/>
      <x:c r="N221" t="str"/>
      <x:c r="O221" s="54" t="n">
        <x:v>4860</x:v>
      </x:c>
      <x:c r="P221" t="str">
        <x:v>50/70</x:v>
      </x:c>
    </x:row>
    <x:row r="222" ht="15" hidden="0" customHeight="1">
      <x:c r="A222" t="n">
        <x:v>255</x:v>
      </x:c>
      <x:c r="B222" t="str">
        <x:v>YES</x:v>
      </x:c>
      <x:c r="C222" t="str"/>
      <x:c r="D222" t="str">
        <x:v>OFFER-83A8E7594FD2</x:v>
      </x:c>
      <x:c r="E222" t="str">
        <x:v>SPEC-9EB7474E88A1</x:v>
      </x:c>
      <x:c r="F222" t="str">
        <x:v>MORTISE PANIC</x:v>
      </x:c>
      <x:c r="G222" t="str">
        <x:v>2300 48"</x:v>
      </x:c>
      <x:c r="H222" t="str">
        <x:v>PHI</x:v>
      </x:c>
      <x:c r="I222" t="str">
        <x:v>2300:M-PANIC: NR</x:v>
      </x:c>
      <x:c r="J222" t="str">
        <x:v>PANIC RATED BASE</x:v>
      </x:c>
      <x:c r="K222" t="str"/>
      <x:c r="L222" t="str">
        <x:v>628</x:v>
      </x:c>
      <x:c r="M222" t="str"/>
      <x:c r="N222" t="str"/>
      <x:c r="O222" s="54" t="n">
        <x:v>4860</x:v>
      </x:c>
      <x:c r="P222" t="str">
        <x:v>50/70</x:v>
      </x:c>
    </x:row>
    <x:row r="223" ht="15" hidden="0" customHeight="1">
      <x:c r="A223" t="n">
        <x:v>256</x:v>
      </x:c>
      <x:c r="B223" t="str">
        <x:v>YES</x:v>
      </x:c>
      <x:c r="C223" t="str"/>
      <x:c r="D223" t="str">
        <x:v>OFFER-05D47A231E98</x:v>
      </x:c>
      <x:c r="E223" t="str">
        <x:v>SPEC-AD3A1C1F2C1E</x:v>
      </x:c>
      <x:c r="F223" t="str">
        <x:v>MORTISE PANIC</x:v>
      </x:c>
      <x:c r="G223" t="str">
        <x:v>EL LEVER DOGGING</x:v>
      </x:c>
      <x:c r="H223" t="str">
        <x:v>PHI</x:v>
      </x:c>
      <x:c r="I223" t="str">
        <x:v>2300 BASE EL LOCK/UNLOCK</x:v>
      </x:c>
      <x:c r="J223" t="str">
        <x:v>PANIC RATED BASE</x:v>
      </x:c>
      <x:c r="K223" t="str"/>
      <x:c r="L223" t="str">
        <x:v>628</x:v>
      </x:c>
      <x:c r="M223" t="str"/>
      <x:c r="N223" t="str"/>
      <x:c r="O223" s="54" t="n">
        <x:v>5918</x:v>
      </x:c>
      <x:c r="P223" t="str"/>
    </x:row>
    <x:row r="224" ht="15" hidden="0" customHeight="1">
      <x:c r="A224" t="n">
        <x:v>257</x:v>
      </x:c>
      <x:c r="B224" t="str">
        <x:v>NO</x:v>
      </x:c>
      <x:c r="C224" t="n">
        <x:v>242</x:v>
      </x:c>
      <x:c r="D224" t="str">
        <x:v>OFFER-2D3ABF1C542C</x:v>
      </x:c>
      <x:c r="E224" t="str">
        <x:v>SPEC-C5B77A68C63A</x:v>
      </x:c>
      <x:c r="F224" t="str">
        <x:v>MORTISE PANIC</x:v>
      </x:c>
      <x:c r="G224" t="str">
        <x:v>FIRE ADDER</x:v>
      </x:c>
      <x:c r="H224" t="str">
        <x:v>PHI</x:v>
      </x:c>
      <x:c r="I224" t="str"/>
      <x:c r="J224" t="str"/>
      <x:c r="K224" t="str"/>
      <x:c r="L224" t="str">
        <x:v>ACC</x:v>
      </x:c>
      <x:c r="M224" t="str"/>
      <x:c r="N224" t="str"/>
      <x:c r="O224" s="54" t="n">
        <x:v>292</x:v>
      </x:c>
      <x:c r="P224" t="str"/>
    </x:row>
    <x:row r="225" ht="15" hidden="0" customHeight="1">
      <x:c r="A225" t="n">
        <x:v>258</x:v>
      </x:c>
      <x:c r="B225" t="str">
        <x:v>NO</x:v>
      </x:c>
      <x:c r="C225" t="n">
        <x:v>243</x:v>
      </x:c>
      <x:c r="D225" t="str">
        <x:v>OFFER-71CC3A3DEC37</x:v>
      </x:c>
      <x:c r="E225" t="str">
        <x:v>SPEC-1D93796FD95F</x:v>
      </x:c>
      <x:c r="F225" t="str">
        <x:v>MORTISE PANIC</x:v>
      </x:c>
      <x:c r="G225" t="str">
        <x:v>WIND ADDER</x:v>
      </x:c>
      <x:c r="H225" t="str">
        <x:v>PHI</x:v>
      </x:c>
      <x:c r="I225" t="str"/>
      <x:c r="J225" t="str"/>
      <x:c r="K225" t="str"/>
      <x:c r="L225" t="str">
        <x:v>ACC</x:v>
      </x:c>
      <x:c r="M225" t="str"/>
      <x:c r="N225" t="str"/>
      <x:c r="O225" s="54" t="n">
        <x:v>67</x:v>
      </x:c>
      <x:c r="P225" t="str"/>
    </x:row>
    <x:row r="226" ht="15" hidden="0" customHeight="1">
      <x:c r="A226" t="n">
        <x:v>259</x:v>
      </x:c>
      <x:c r="B226" t="str">
        <x:v>NO</x:v>
      </x:c>
      <x:c r="C226" t="n">
        <x:v>244</x:v>
      </x:c>
      <x:c r="D226" t="str">
        <x:v>OFFER-1D6F45D649A9</x:v>
      </x:c>
      <x:c r="E226" t="str">
        <x:v>SPEC-C4ED33E1B50D</x:v>
      </x:c>
      <x:c r="F226" t="str">
        <x:v>MORTISE PANIC</x:v>
      </x:c>
      <x:c r="G226" t="str">
        <x:v>TDI ADDER</x:v>
      </x:c>
      <x:c r="H226" t="str">
        <x:v>PHI</x:v>
      </x:c>
      <x:c r="I226" t="str"/>
      <x:c r="J226" t="str"/>
      <x:c r="K226" t="str"/>
      <x:c r="L226" t="str">
        <x:v>ACC</x:v>
      </x:c>
      <x:c r="M226" t="str"/>
      <x:c r="N226" t="str"/>
      <x:c r="O226" s="54" t="n">
        <x:v>67</x:v>
      </x:c>
      <x:c r="P226" t="str"/>
    </x:row>
    <x:row r="227" ht="15" hidden="0" customHeight="1">
      <x:c r="A227" t="n">
        <x:v>260</x:v>
      </x:c>
      <x:c r="B227" t="str">
        <x:v>NO</x:v>
      </x:c>
      <x:c r="C227" t="n">
        <x:v>245</x:v>
      </x:c>
      <x:c r="D227" t="str">
        <x:v>OFFER-C9960490322F</x:v>
      </x:c>
      <x:c r="E227" t="str">
        <x:v>SPEC-C0B08F444CF0</x:v>
      </x:c>
      <x:c r="F227" t="str">
        <x:v>MORTISE PANIC</x:v>
      </x:c>
      <x:c r="G227" t="str">
        <x:v>MLR ADDER</x:v>
      </x:c>
      <x:c r="H227" t="str">
        <x:v>PHI</x:v>
      </x:c>
      <x:c r="I227" t="str">
        <x:v>MORTORIZED LATCH RETRACTION</x:v>
      </x:c>
      <x:c r="J227" t="str"/>
      <x:c r="K227" t="str"/>
      <x:c r="L227" t="str">
        <x:v>ACC</x:v>
      </x:c>
      <x:c r="M227" t="str"/>
      <x:c r="N227" t="str"/>
      <x:c r="O227" s="54" t="n">
        <x:v>1577</x:v>
      </x:c>
      <x:c r="P227" t="str"/>
    </x:row>
    <x:row r="228" ht="15" hidden="0" customHeight="1">
      <x:c r="A228" t="n">
        <x:v>261</x:v>
      </x:c>
      <x:c r="B228" t="str">
        <x:v>NO</x:v>
      </x:c>
      <x:c r="C228" t="n">
        <x:v>246</x:v>
      </x:c>
      <x:c r="D228" t="str">
        <x:v>OFFER-05C9188B3A16</x:v>
      </x:c>
      <x:c r="E228" t="str">
        <x:v>SPEC-C7B25313BBD9</x:v>
      </x:c>
      <x:c r="F228" t="str">
        <x:v>MORTISE PANIC</x:v>
      </x:c>
      <x:c r="G228" t="str">
        <x:v>LATCH BOLT MONITOR</x:v>
      </x:c>
      <x:c r="H228" t="str">
        <x:v>PHI</x:v>
      </x:c>
      <x:c r="I228" t="str"/>
      <x:c r="J228" t="str"/>
      <x:c r="K228" t="str"/>
      <x:c r="L228" t="str">
        <x:v>ACC</x:v>
      </x:c>
      <x:c r="M228" t="str"/>
      <x:c r="N228" t="str"/>
      <x:c r="O228" s="54" t="n">
        <x:v>372</x:v>
      </x:c>
      <x:c r="P228" t="str"/>
    </x:row>
    <x:row r="229" ht="15" hidden="0" customHeight="1">
      <x:c r="A229" t="n">
        <x:v>263</x:v>
      </x:c>
      <x:c r="B229" t="str">
        <x:v>NO</x:v>
      </x:c>
      <x:c r="C229" t="n">
        <x:v>248</x:v>
      </x:c>
      <x:c r="D229" t="str">
        <x:v>OFFER-C67E39244F9C</x:v>
      </x:c>
      <x:c r="E229" t="str">
        <x:v>SPEC-809A92977C48</x:v>
      </x:c>
      <x:c r="F229" t="str">
        <x:v>PHI MP LEVER TRIM</x:v>
      </x:c>
      <x:c r="G229" t="str">
        <x:v>ESC LEVER</x:v>
      </x:c>
      <x:c r="H229" t="str">
        <x:v>PHI</x:v>
      </x:c>
      <x:c r="I229" t="str">
        <x:v>M4903A</x:v>
      </x:c>
      <x:c r="J229" t="str">
        <x:v>KEY RETRACTS LATCH</x:v>
      </x:c>
      <x:c r="K229" t="str"/>
      <x:c r="L229" t="str">
        <x:v>630</x:v>
      </x:c>
      <x:c r="M229" t="str"/>
      <x:c r="N229" t="str"/>
      <x:c r="O229" s="54" t="n">
        <x:v>1250</x:v>
      </x:c>
      <x:c r="P229" t="str"/>
    </x:row>
    <x:row r="230" ht="15" hidden="0" customHeight="1">
      <x:c r="A230" t="n">
        <x:v>264</x:v>
      </x:c>
      <x:c r="B230" t="str">
        <x:v>NO</x:v>
      </x:c>
      <x:c r="C230" t="n">
        <x:v>249</x:v>
      </x:c>
      <x:c r="D230" t="str">
        <x:v>OFFER-5389E6055E2D</x:v>
      </x:c>
      <x:c r="E230" t="str">
        <x:v>SPEC-AFD3426908DC</x:v>
      </x:c>
      <x:c r="F230" t="str">
        <x:v>PHI MP LEVER TRIM</x:v>
      </x:c>
      <x:c r="G230" t="str">
        <x:v>ESC LEVER</x:v>
      </x:c>
      <x:c r="H230" t="str">
        <x:v>PHI</x:v>
      </x:c>
      <x:c r="I230" t="str">
        <x:v>M4908A</x:v>
      </x:c>
      <x:c r="J230" t="str">
        <x:v>KEY LOCKS/UNLOCKS LEVER</x:v>
      </x:c>
      <x:c r="K230" t="str"/>
      <x:c r="L230" t="str">
        <x:v>630</x:v>
      </x:c>
      <x:c r="M230" t="str"/>
      <x:c r="N230" t="str"/>
      <x:c r="O230" s="54" t="n">
        <x:v>1250</x:v>
      </x:c>
      <x:c r="P230" t="str"/>
    </x:row>
    <x:row r="231" ht="15" hidden="0" customHeight="1">
      <x:c r="A231" t="n">
        <x:v>265</x:v>
      </x:c>
      <x:c r="B231" t="str">
        <x:v>NO</x:v>
      </x:c>
      <x:c r="C231" t="n">
        <x:v>250</x:v>
      </x:c>
      <x:c r="D231" t="str">
        <x:v>OFFER-30E2A629C269</x:v>
      </x:c>
      <x:c r="E231" t="str">
        <x:v>SPEC-BF967A9B6B97</x:v>
      </x:c>
      <x:c r="F231" t="str">
        <x:v>PHI MP TP TRIM</x:v>
      </x:c>
      <x:c r="G231" t="str">
        <x:v>PULL TRIM THUMB</x:v>
      </x:c>
      <x:c r="H231" t="str">
        <x:v>PHI</x:v>
      </x:c>
      <x:c r="I231" t="str">
        <x:v>M1705A</x:v>
      </x:c>
      <x:c r="J231" t="str">
        <x:v>KEY LOCKS UNLOCKS THUMB PIECE</x:v>
      </x:c>
      <x:c r="K231" t="str"/>
      <x:c r="L231" t="str">
        <x:v>630</x:v>
      </x:c>
      <x:c r="M231" t="str"/>
      <x:c r="N231" t="str"/>
      <x:c r="O231" s="54" t="n">
        <x:v>1250</x:v>
      </x:c>
      <x:c r="P231" t="str"/>
    </x:row>
    <x:row r="232" ht="15" hidden="0" customHeight="1">
      <x:c r="A232" t="n">
        <x:v>266</x:v>
      </x:c>
      <x:c r="B232" t="str">
        <x:v>NO</x:v>
      </x:c>
      <x:c r="C232" t="n">
        <x:v>251</x:v>
      </x:c>
      <x:c r="D232" t="str">
        <x:v>OFFER-C001EC0DB5A4</x:v>
      </x:c>
      <x:c r="E232" t="str">
        <x:v>SPEC-4E844C1A94F7</x:v>
      </x:c>
      <x:c r="F232" t="str">
        <x:v>PHI MP TP TRIM</x:v>
      </x:c>
      <x:c r="G232" t="str">
        <x:v>PULL TRIM THUMB</x:v>
      </x:c>
      <x:c r="H232" t="str">
        <x:v>PHI</x:v>
      </x:c>
      <x:c r="I232" t="str">
        <x:v>1703A</x:v>
      </x:c>
      <x:c r="J232" t="str">
        <x:v>KEY RETRACTS LATCH</x:v>
      </x:c>
      <x:c r="K232" t="str"/>
      <x:c r="L232" t="str">
        <x:v>630</x:v>
      </x:c>
      <x:c r="M232" t="str"/>
      <x:c r="N232" t="str"/>
      <x:c r="O232" s="54" t="n">
        <x:v>1000</x:v>
      </x:c>
      <x:c r="P232" t="str"/>
    </x:row>
    <x:row r="233" ht="15" hidden="0" customHeight="1">
      <x:c r="A233" t="n">
        <x:v>267</x:v>
      </x:c>
      <x:c r="B233" t="str">
        <x:v>NO</x:v>
      </x:c>
      <x:c r="C233" t="n">
        <x:v>252</x:v>
      </x:c>
      <x:c r="D233" t="str">
        <x:v>OFFER-481DE3A545B7</x:v>
      </x:c>
      <x:c r="E233" t="str">
        <x:v>SPEC-AAC9EDB8AAE5</x:v>
      </x:c>
      <x:c r="F233" t="str">
        <x:v>PHI MP P TRIM</x:v>
      </x:c>
      <x:c r="G233" t="str">
        <x:v>PULL TRIM CYLINDER</x:v>
      </x:c>
      <x:c r="H233" t="str">
        <x:v>PHI</x:v>
      </x:c>
      <x:c r="I233" t="str">
        <x:v>1703A</x:v>
      </x:c>
      <x:c r="J233" t="str">
        <x:v>KEY RETRACTS LATCH</x:v>
      </x:c>
      <x:c r="K233" t="str"/>
      <x:c r="L233" t="str">
        <x:v>630</x:v>
      </x:c>
      <x:c r="M233" t="str"/>
      <x:c r="N233" t="str"/>
      <x:c r="O233" s="54" t="n">
        <x:v>1000</x:v>
      </x:c>
      <x:c r="P233" t="str"/>
    </x:row>
    <x:row r="234" ht="15" hidden="0" customHeight="1">
      <x:c r="A234" t="n">
        <x:v>271</x:v>
      </x:c>
      <x:c r="B234" t="str">
        <x:v>YES</x:v>
      </x:c>
      <x:c r="C234" t="str"/>
      <x:c r="D234" t="str">
        <x:v>OFFER-03B77EA7DE67</x:v>
      </x:c>
      <x:c r="E234" t="str">
        <x:v>SPEC-689B22E417E6</x:v>
      </x:c>
      <x:c r="F234" t="str">
        <x:v>MORTISE PANIC</x:v>
      </x:c>
      <x:c r="G234" t="str">
        <x:v>MORTISE PANIC</x:v>
      </x:c>
      <x:c r="H234" t="str">
        <x:v>COR</x:v>
      </x:c>
      <x:c r="I234" t="str"/>
      <x:c r="J234" t="str"/>
      <x:c r="K234" t="str"/>
      <x:c r="L234" t="str"/>
      <x:c r="M234" t="str"/>
      <x:c r="N234" t="str"/>
      <x:c r="O234" s="54"/>
      <x:c r="P234" t="str"/>
    </x:row>
    <x:row r="235" ht="15" hidden="0" customHeight="1">
      <x:c r="A235" t="n">
        <x:v>272</x:v>
      </x:c>
      <x:c r="B235" t="str">
        <x:v>YES</x:v>
      </x:c>
      <x:c r="C235" t="str"/>
      <x:c r="D235" t="str">
        <x:v>OFFER-7F49B7D2C161</x:v>
      </x:c>
      <x:c r="E235" t="str">
        <x:v>SPEC-689B22E417E6</x:v>
      </x:c>
      <x:c r="F235" t="str">
        <x:v>MORTISE PANIC</x:v>
      </x:c>
      <x:c r="G235" t="str">
        <x:v>MORTISE PANIC</x:v>
      </x:c>
      <x:c r="H235" t="str">
        <x:v>SAR</x:v>
      </x:c>
      <x:c r="I235" t="str"/>
      <x:c r="J235" t="str"/>
      <x:c r="K235" t="str"/>
      <x:c r="L235" t="str"/>
      <x:c r="M235" t="str"/>
      <x:c r="N235" t="str"/>
      <x:c r="O235" s="54"/>
      <x:c r="P235" t="str"/>
    </x:row>
    <x:row r="236" ht="15" hidden="0" customHeight="1">
      <x:c r="A236" t="n">
        <x:v>273</x:v>
      </x:c>
      <x:c r="B236" t="str">
        <x:v>NO</x:v>
      </x:c>
      <x:c r="C236" t="n">
        <x:v>272</x:v>
      </x:c>
      <x:c r="D236" t="str">
        <x:v>OFFER-7F49B7D2C161</x:v>
      </x:c>
      <x:c r="E236" t="str">
        <x:v>SPEC-689B22E417E6</x:v>
      </x:c>
      <x:c r="F236" t="str">
        <x:v>MORTISE PANIC</x:v>
      </x:c>
      <x:c r="G236" t="str">
        <x:v>MORTISE PANIC</x:v>
      </x:c>
      <x:c r="H236" t="str">
        <x:v>SAR</x:v>
      </x:c>
      <x:c r="I236" t="str"/>
      <x:c r="J236" t="str"/>
      <x:c r="K236" t="str"/>
      <x:c r="L236" t="str"/>
      <x:c r="M236" t="str"/>
      <x:c r="N236" t="str"/>
      <x:c r="O236" s="54"/>
      <x:c r="P236" t="str"/>
    </x:row>
    <x:row r="237" ht="15" hidden="0" customHeight="1">
      <x:c r="A237" t="n">
        <x:v>274</x:v>
      </x:c>
      <x:c r="B237" t="str">
        <x:v>NO</x:v>
      </x:c>
      <x:c r="C237" t="n">
        <x:v>272</x:v>
      </x:c>
      <x:c r="D237" t="str">
        <x:v>OFFER-7F49B7D2C161</x:v>
      </x:c>
      <x:c r="E237" t="str">
        <x:v>SPEC-689B22E417E6</x:v>
      </x:c>
      <x:c r="F237" t="str">
        <x:v>MORTISE PANIC</x:v>
      </x:c>
      <x:c r="G237" t="str">
        <x:v>MORTISE PANIC</x:v>
      </x:c>
      <x:c r="H237" t="str">
        <x:v>SAR</x:v>
      </x:c>
      <x:c r="I237" t="str"/>
      <x:c r="J237" t="str"/>
      <x:c r="K237" t="str"/>
      <x:c r="L237" t="str"/>
      <x:c r="M237" t="str"/>
      <x:c r="N237" t="str"/>
      <x:c r="O237" s="54"/>
      <x:c r="P237" t="str"/>
    </x:row>
    <x:row r="238" ht="15" hidden="0" customHeight="1">
      <x:c r="A238" t="n">
        <x:v>275</x:v>
      </x:c>
      <x:c r="B238" t="str">
        <x:v>YES</x:v>
      </x:c>
      <x:c r="C238" t="str"/>
      <x:c r="D238" t="str">
        <x:v>OFFER-51510BC59675</x:v>
      </x:c>
      <x:c r="E238" t="str">
        <x:v>SPEC-689B22E417E6</x:v>
      </x:c>
      <x:c r="F238" t="str">
        <x:v>MORTISE PANIC</x:v>
      </x:c>
      <x:c r="G238" t="str">
        <x:v>MORTISE PANIC</x:v>
      </x:c>
      <x:c r="H238" t="str">
        <x:v>VD</x:v>
      </x:c>
      <x:c r="I238" t="str"/>
      <x:c r="J238" t="str"/>
      <x:c r="K238" t="str"/>
      <x:c r="L238" t="str"/>
      <x:c r="M238" t="str"/>
      <x:c r="N238" t="str"/>
      <x:c r="O238" s="54"/>
      <x:c r="P238" t="str"/>
    </x:row>
    <x:row r="239" ht="15" hidden="0" customHeight="1">
      <x:c r="A239" t="n">
        <x:v>276</x:v>
      </x:c>
      <x:c r="B239" t="str">
        <x:v>NO</x:v>
      </x:c>
      <x:c r="C239" t="n">
        <x:v>275</x:v>
      </x:c>
      <x:c r="D239" t="str">
        <x:v>OFFER-51510BC59675</x:v>
      </x:c>
      <x:c r="E239" t="str">
        <x:v>SPEC-689B22E417E6</x:v>
      </x:c>
      <x:c r="F239" t="str">
        <x:v>MORTISE PANIC</x:v>
      </x:c>
      <x:c r="G239" t="str">
        <x:v>MORTISE PANIC</x:v>
      </x:c>
      <x:c r="H239" t="str">
        <x:v>VD</x:v>
      </x:c>
      <x:c r="I239" t="str"/>
      <x:c r="J239" t="str"/>
      <x:c r="K239" t="str"/>
      <x:c r="L239" t="str"/>
      <x:c r="M239" t="str"/>
      <x:c r="N239" t="str"/>
      <x:c r="O239" s="54"/>
      <x:c r="P239" t="str"/>
    </x:row>
    <x:row r="240" ht="15" hidden="0" customHeight="1">
      <x:c r="A240" t="n">
        <x:v>277</x:v>
      </x:c>
      <x:c r="B240" t="str">
        <x:v>NO</x:v>
      </x:c>
      <x:c r="C240" t="n">
        <x:v>275</x:v>
      </x:c>
      <x:c r="D240" t="str">
        <x:v>OFFER-51510BC59675</x:v>
      </x:c>
      <x:c r="E240" t="str">
        <x:v>SPEC-689B22E417E6</x:v>
      </x:c>
      <x:c r="F240" t="str">
        <x:v>MORTISE PANIC</x:v>
      </x:c>
      <x:c r="G240" t="str">
        <x:v>MORTISE PANIC</x:v>
      </x:c>
      <x:c r="H240" t="str">
        <x:v>VD</x:v>
      </x:c>
      <x:c r="I240" t="str"/>
      <x:c r="J240" t="str"/>
      <x:c r="K240" t="str"/>
      <x:c r="L240" t="str"/>
      <x:c r="M240" t="str"/>
      <x:c r="N240" t="str"/>
      <x:c r="O240" s="54"/>
      <x:c r="P240" t="str"/>
    </x:row>
    <x:row r="241" ht="15" hidden="0" customHeight="1">
      <x:c r="A241" t="n">
        <x:v>278</x:v>
      </x:c>
      <x:c r="B241" t="str">
        <x:v>NO</x:v>
      </x:c>
      <x:c r="C241" t="n">
        <x:v>275</x:v>
      </x:c>
      <x:c r="D241" t="str">
        <x:v>OFFER-51510BC59675</x:v>
      </x:c>
      <x:c r="E241" t="str">
        <x:v>SPEC-689B22E417E6</x:v>
      </x:c>
      <x:c r="F241" t="str">
        <x:v>MORTISE PANIC</x:v>
      </x:c>
      <x:c r="G241" t="str">
        <x:v>MORTISE PANIC</x:v>
      </x:c>
      <x:c r="H241" t="str">
        <x:v>VD</x:v>
      </x:c>
      <x:c r="I241" t="str"/>
      <x:c r="J241" t="str"/>
      <x:c r="K241" t="str"/>
      <x:c r="L241" t="str"/>
      <x:c r="M241" t="str"/>
      <x:c r="N241" t="str"/>
      <x:c r="O241" s="54"/>
      <x:c r="P241" t="str"/>
    </x:row>
    <x:row r="242" ht="15" hidden="0" customHeight="1">
      <x:c r="A242" t="n">
        <x:v>280</x:v>
      </x:c>
      <x:c r="B242" t="str">
        <x:v>YES</x:v>
      </x:c>
      <x:c r="C242" t="str"/>
      <x:c r="D242" t="str">
        <x:v>OFFER-C6C76C8D0EFC</x:v>
      </x:c>
      <x:c r="E242" t="str">
        <x:v>SPEC-4793A0BD3957</x:v>
      </x:c>
      <x:c r="F242" t="str">
        <x:v>RIM PANIC</x:v>
      </x:c>
      <x:c r="G242" t="str">
        <x:v>1000: R-PANIC NR</x:v>
      </x:c>
      <x:c r="H242" t="str">
        <x:v>DH</x:v>
      </x:c>
      <x:c r="I242" t="str">
        <x:v>1000: R-PANIC NR</x:v>
      </x:c>
      <x:c r="J242" t="str">
        <x:v>PANIC RATED</x:v>
      </x:c>
      <x:c r="K242" t="str"/>
      <x:c r="L242" t="str">
        <x:v>630</x:v>
      </x:c>
      <x:c r="M242" t="str">
        <x:v>78002505 - 1000R 33" Rim Device 630</x:v>
      </x:c>
      <x:c r="N242" t="str"/>
      <x:c r="O242" s="54" t="n">
        <x:v>930.35</x:v>
      </x:c>
      <x:c r="P242" t="str"/>
    </x:row>
    <x:row r="243" ht="15" hidden="0" customHeight="1">
      <x:c r="A243" t="n">
        <x:v>281</x:v>
      </x:c>
      <x:c r="B243" t="str">
        <x:v>YES</x:v>
      </x:c>
      <x:c r="C243" t="str"/>
      <x:c r="D243" t="str">
        <x:v>OFFER-D1286B1B1AEF</x:v>
      </x:c>
      <x:c r="E243" t="str">
        <x:v>SPEC-A085F19A4362</x:v>
      </x:c>
      <x:c r="F243" t="str">
        <x:v>RIM PANIC</x:v>
      </x:c>
      <x:c r="G243" t="str">
        <x:v>1000F: R-PANIC F RATED</x:v>
      </x:c>
      <x:c r="H243" t="str">
        <x:v>DH</x:v>
      </x:c>
      <x:c r="I243" t="str">
        <x:v>1000F: R-PANIC F RATED</x:v>
      </x:c>
      <x:c r="J243" t="str">
        <x:v>FIRE RATED</x:v>
      </x:c>
      <x:c r="K243" t="str"/>
      <x:c r="L243" t="str">
        <x:v>630</x:v>
      </x:c>
      <x:c r="M243" t="str">
        <x:v>78002587 - F1000R 33" Fire Rated Rim Device 630</x:v>
      </x:c>
      <x:c r="N243" t="str"/>
      <x:c r="O243" s="54" t="n">
        <x:v>1014.2</x:v>
      </x:c>
      <x:c r="P243" t="str"/>
    </x:row>
    <x:row r="244" ht="15" hidden="0" customHeight="1">
      <x:c r="A244" t="n">
        <x:v>282</x:v>
      </x:c>
      <x:c r="B244" t="str">
        <x:v>YES</x:v>
      </x:c>
      <x:c r="C244" t="str"/>
      <x:c r="D244" t="str">
        <x:v>OFFER-1D515CA77FC8</x:v>
      </x:c>
      <x:c r="E244" t="str">
        <x:v>SPEC-C6691ACF2992</x:v>
      </x:c>
      <x:c r="F244" t="str">
        <x:v>RIM PANIC</x:v>
      </x:c>
      <x:c r="G244" t="str">
        <x:v>1000: R-PANIC NR</x:v>
      </x:c>
      <x:c r="H244" t="str">
        <x:v>DH</x:v>
      </x:c>
      <x:c r="I244" t="str">
        <x:v>1000: R-PANIC NR</x:v>
      </x:c>
      <x:c r="J244" t="str">
        <x:v>PANIC RATED</x:v>
      </x:c>
      <x:c r="K244" t="str"/>
      <x:c r="L244" t="str">
        <x:v>630</x:v>
      </x:c>
      <x:c r="M244" t="str">
        <x:v>78002510 - 1000R 42" Rim Device 630</x:v>
      </x:c>
      <x:c r="N244" t="str"/>
      <x:c r="O244" s="54" t="n">
        <x:v>1048.15</x:v>
      </x:c>
      <x:c r="P244" t="str"/>
    </x:row>
    <x:row r="245" ht="15" hidden="0" customHeight="1">
      <x:c r="A245" t="n">
        <x:v>283</x:v>
      </x:c>
      <x:c r="B245" t="str">
        <x:v>YES</x:v>
      </x:c>
      <x:c r="C245" t="str"/>
      <x:c r="D245" t="str">
        <x:v>OFFER-94B1EA31EABC</x:v>
      </x:c>
      <x:c r="E245" t="str">
        <x:v>SPEC-7935B9EC99E6</x:v>
      </x:c>
      <x:c r="F245" t="str">
        <x:v>RIM PANIC</x:v>
      </x:c>
      <x:c r="G245" t="str">
        <x:v>1000F: R-PANIC F RATED</x:v>
      </x:c>
      <x:c r="H245" t="str">
        <x:v>DH</x:v>
      </x:c>
      <x:c r="I245" t="str">
        <x:v>1000F: R-PANIC F RATED</x:v>
      </x:c>
      <x:c r="J245" t="str">
        <x:v>FIRE RATED</x:v>
      </x:c>
      <x:c r="K245" t="str"/>
      <x:c r="L245" t="str">
        <x:v>630</x:v>
      </x:c>
      <x:c r="M245" t="str">
        <x:v>78002592 - F1000R 42" Fire Rated Rim Device 630</x:v>
      </x:c>
      <x:c r="N245" t="str"/>
      <x:c r="O245" s="54" t="n">
        <x:v>1128.1</x:v>
      </x:c>
      <x:c r="P245" t="str"/>
    </x:row>
    <x:row r="246" ht="15" hidden="0" customHeight="1">
      <x:c r="A246" t="n">
        <x:v>285</x:v>
      </x:c>
      <x:c r="B246" t="str">
        <x:v>YES</x:v>
      </x:c>
      <x:c r="C246" t="str"/>
      <x:c r="D246" t="str">
        <x:v>OFFER-C0F84173985D</x:v>
      </x:c>
      <x:c r="E246" t="str">
        <x:v>SPEC-4793A0BD3957</x:v>
      </x:c>
      <x:c r="F246" t="str">
        <x:v>RIM PANIC</x:v>
      </x:c>
      <x:c r="G246" t="str">
        <x:v>2000: R-PANIC NR</x:v>
      </x:c>
      <x:c r="H246" t="str">
        <x:v>DH</x:v>
      </x:c>
      <x:c r="I246" t="str">
        <x:v>2000: R-PANIC NR</x:v>
      </x:c>
      <x:c r="J246" t="str">
        <x:v>PANIC RATED</x:v>
      </x:c>
      <x:c r="K246" t="str"/>
      <x:c r="L246" t="str">
        <x:v>630</x:v>
      </x:c>
      <x:c r="M246" t="str">
        <x:v>78002621 - 2000R 33" Rim Device 630</x:v>
      </x:c>
      <x:c r="N246" t="str"/>
      <x:c r="O246" s="54" t="n">
        <x:v>519</x:v>
      </x:c>
      <x:c r="P246" t="str"/>
    </x:row>
    <x:row r="247" ht="15" hidden="0" customHeight="1">
      <x:c r="A247" t="n">
        <x:v>286</x:v>
      </x:c>
      <x:c r="B247" t="str">
        <x:v>YES</x:v>
      </x:c>
      <x:c r="C247" t="str"/>
      <x:c r="D247" t="str">
        <x:v>OFFER-740D540F0D18</x:v>
      </x:c>
      <x:c r="E247" t="str">
        <x:v>SPEC-A085F19A4362</x:v>
      </x:c>
      <x:c r="F247" t="str">
        <x:v>RIM PANIC</x:v>
      </x:c>
      <x:c r="G247" t="str">
        <x:v>2000F: R-PANIC F RATED</x:v>
      </x:c>
      <x:c r="H247" t="str">
        <x:v>DH</x:v>
      </x:c>
      <x:c r="I247" t="str">
        <x:v>2000F: R-PANIC F RATED</x:v>
      </x:c>
      <x:c r="J247" t="str">
        <x:v>FIRE RATED</x:v>
      </x:c>
      <x:c r="K247" t="str"/>
      <x:c r="L247" t="str">
        <x:v>630</x:v>
      </x:c>
      <x:c r="M247" t="str">
        <x:v>78002658 - F2000R 33" Fire Rated Rim Device</x:v>
      </x:c>
      <x:c r="N247" t="str"/>
      <x:c r="O247" s="54" t="n">
        <x:v>624.35</x:v>
      </x:c>
      <x:c r="P247" t="str"/>
    </x:row>
    <x:row r="248" ht="15" hidden="0" customHeight="1">
      <x:c r="A248" t="n">
        <x:v>287</x:v>
      </x:c>
      <x:c r="B248" t="str">
        <x:v>YES</x:v>
      </x:c>
      <x:c r="C248" t="str"/>
      <x:c r="D248" t="str">
        <x:v>OFFER-3A85325005DA</x:v>
      </x:c>
      <x:c r="E248" t="str">
        <x:v>SPEC-C6691ACF2992</x:v>
      </x:c>
      <x:c r="F248" t="str">
        <x:v>RIM PANIC</x:v>
      </x:c>
      <x:c r="G248" t="str">
        <x:v>2000: R-PANIC NR</x:v>
      </x:c>
      <x:c r="H248" t="str">
        <x:v>DH</x:v>
      </x:c>
      <x:c r="I248" t="str">
        <x:v>2000: R-PANIC NR</x:v>
      </x:c>
      <x:c r="J248" t="str">
        <x:v>PANIC RATED</x:v>
      </x:c>
      <x:c r="K248" t="str"/>
      <x:c r="L248" t="str">
        <x:v>630</x:v>
      </x:c>
      <x:c r="M248" t="str">
        <x:v>78002622 - 2000R 42" Rim Device</x:v>
      </x:c>
      <x:c r="N248" t="str"/>
      <x:c r="O248" s="54" t="n">
        <x:v>571.15</x:v>
      </x:c>
      <x:c r="P248" t="str"/>
    </x:row>
    <x:row r="249" ht="15" hidden="0" customHeight="1">
      <x:c r="A249" t="n">
        <x:v>288</x:v>
      </x:c>
      <x:c r="B249" t="str">
        <x:v>YES</x:v>
      </x:c>
      <x:c r="C249" t="str"/>
      <x:c r="D249" t="str">
        <x:v>OFFER-553B6D611A43</x:v>
      </x:c>
      <x:c r="E249" t="str">
        <x:v>SPEC-7935B9EC99E6</x:v>
      </x:c>
      <x:c r="F249" t="str">
        <x:v>RIM PANIC</x:v>
      </x:c>
      <x:c r="G249" t="str">
        <x:v>2000F: R-PANIC F RATED</x:v>
      </x:c>
      <x:c r="H249" t="str">
        <x:v>DH</x:v>
      </x:c>
      <x:c r="I249" t="str">
        <x:v>2000F: R-PANIC F RATED</x:v>
      </x:c>
      <x:c r="J249" t="str">
        <x:v>FIRE RATED</x:v>
      </x:c>
      <x:c r="K249" t="str"/>
      <x:c r="L249" t="str">
        <x:v>630</x:v>
      </x:c>
      <x:c r="M249" t="str">
        <x:v>78002659 - F2000R 42" Fire Rated Rim Device</x:v>
      </x:c>
      <x:c r="N249" t="str"/>
      <x:c r="O249" s="54" t="n">
        <x:v>678.2</x:v>
      </x:c>
      <x:c r="P249" t="str"/>
    </x:row>
    <x:row r="250" ht="15" hidden="0" customHeight="1">
      <x:c r="A250" t="n">
        <x:v>290</x:v>
      </x:c>
      <x:c r="B250" t="str">
        <x:v>YES</x:v>
      </x:c>
      <x:c r="C250" t="str"/>
      <x:c r="D250" t="str">
        <x:v>OFFER-D63EDA218368</x:v>
      </x:c>
      <x:c r="E250" t="str">
        <x:v>SPEC-6637568F824C</x:v>
      </x:c>
      <x:c r="F250" t="str">
        <x:v>RIM PANIC</x:v>
      </x:c>
      <x:c r="G250" t="str">
        <x:v>2000: R-PANIC NR</x:v>
      </x:c>
      <x:c r="H250" t="str">
        <x:v>DH</x:v>
      </x:c>
      <x:c r="I250" t="str">
        <x:v>2000: R-PANIC NR</x:v>
      </x:c>
      <x:c r="J250" t="str">
        <x:v>PANIC RATED</x:v>
      </x:c>
      <x:c r="K250" t="str"/>
      <x:c r="L250" t="str">
        <x:v>689</x:v>
      </x:c>
      <x:c r="M250" t="str">
        <x:v>78002623 - 2000R 33" Rim Device 689</x:v>
      </x:c>
      <x:c r="N250" t="str"/>
      <x:c r="O250" s="54" t="n">
        <x:v>285.6</x:v>
      </x:c>
      <x:c r="P250" t="str"/>
    </x:row>
    <x:row r="251" ht="15" hidden="0" customHeight="1">
      <x:c r="A251" t="n">
        <x:v>291</x:v>
      </x:c>
      <x:c r="B251" t="str">
        <x:v>YES</x:v>
      </x:c>
      <x:c r="C251" t="str"/>
      <x:c r="D251" t="str">
        <x:v>OFFER-ED2A9FD1BE52</x:v>
      </x:c>
      <x:c r="E251" t="str">
        <x:v>SPEC-99AC7FBD3B71</x:v>
      </x:c>
      <x:c r="F251" t="str">
        <x:v>RIM PANIC</x:v>
      </x:c>
      <x:c r="G251" t="str">
        <x:v>2000F: R-PANIC F RATED</x:v>
      </x:c>
      <x:c r="H251" t="str">
        <x:v>DH</x:v>
      </x:c>
      <x:c r="I251" t="str">
        <x:v>2000F: R-PANIC F RATED</x:v>
      </x:c>
      <x:c r="J251" t="str">
        <x:v>FIRE RATED</x:v>
      </x:c>
      <x:c r="K251" t="str"/>
      <x:c r="L251" t="str">
        <x:v>689</x:v>
      </x:c>
      <x:c r="M251" t="str">
        <x:v>78002660 - F2000R 33" Fire Rated Rim Device</x:v>
      </x:c>
      <x:c r="N251" t="str"/>
      <x:c r="O251" s="54" t="n">
        <x:v>289.85</x:v>
      </x:c>
      <x:c r="P251" t="str"/>
    </x:row>
    <x:row r="252" ht="15" hidden="0" customHeight="1">
      <x:c r="A252" t="n">
        <x:v>292</x:v>
      </x:c>
      <x:c r="B252" t="str">
        <x:v>YES</x:v>
      </x:c>
      <x:c r="C252" t="str"/>
      <x:c r="D252" t="str">
        <x:v>OFFER-8BAD3D05A52F</x:v>
      </x:c>
      <x:c r="E252" t="str">
        <x:v>SPEC-107EFC844FEF</x:v>
      </x:c>
      <x:c r="F252" t="str">
        <x:v>RIM PANIC</x:v>
      </x:c>
      <x:c r="G252" t="str">
        <x:v>2000: R-PANIC NR</x:v>
      </x:c>
      <x:c r="H252" t="str">
        <x:v>DH</x:v>
      </x:c>
      <x:c r="I252" t="str">
        <x:v>2000: R-PANIC NR</x:v>
      </x:c>
      <x:c r="J252" t="str">
        <x:v>PANIC RATED</x:v>
      </x:c>
      <x:c r="K252" t="str"/>
      <x:c r="L252" t="str">
        <x:v>689</x:v>
      </x:c>
      <x:c r="M252" t="str">
        <x:v>78002624 - 2000R 42" Rim Device</x:v>
      </x:c>
      <x:c r="N252" t="str"/>
      <x:c r="O252" s="54" t="n">
        <x:v>324.1</x:v>
      </x:c>
      <x:c r="P252" t="str"/>
    </x:row>
    <x:row r="253" ht="15" hidden="0" customHeight="1">
      <x:c r="A253" t="n">
        <x:v>293</x:v>
      </x:c>
      <x:c r="B253" t="str">
        <x:v>YES</x:v>
      </x:c>
      <x:c r="C253" t="str"/>
      <x:c r="D253" t="str">
        <x:v>OFFER-6B943A94FFA6</x:v>
      </x:c>
      <x:c r="E253" t="str">
        <x:v>SPEC-741297671B6D</x:v>
      </x:c>
      <x:c r="F253" t="str">
        <x:v>RIM PANIC</x:v>
      </x:c>
      <x:c r="G253" t="str">
        <x:v>2000F: R-PANIC F RATED</x:v>
      </x:c>
      <x:c r="H253" t="str">
        <x:v>DH</x:v>
      </x:c>
      <x:c r="I253" t="str">
        <x:v>2000F: R-PANIC F RATED</x:v>
      </x:c>
      <x:c r="J253" t="str">
        <x:v>FIRE RATED</x:v>
      </x:c>
      <x:c r="K253" t="str"/>
      <x:c r="L253" t="str">
        <x:v>689</x:v>
      </x:c>
      <x:c r="M253" t="str">
        <x:v>78002659 - F2000R 42" Fire Rated Rim Device</x:v>
      </x:c>
      <x:c r="N253" t="str"/>
      <x:c r="O253" s="54" t="n">
        <x:v>409.1</x:v>
      </x:c>
      <x:c r="P253" t="str"/>
    </x:row>
    <x:row r="254" ht="15" hidden="0" customHeight="1">
      <x:c r="A254" t="n">
        <x:v>295</x:v>
      </x:c>
      <x:c r="B254" t="str">
        <x:v>YES</x:v>
      </x:c>
      <x:c r="C254" t="str"/>
      <x:c r="D254" t="str">
        <x:v>OFFER-0DB8182F75F8</x:v>
      </x:c>
      <x:c r="E254" t="str">
        <x:v>SPEC-B1360CC941DC</x:v>
      </x:c>
      <x:c r="F254" t="str">
        <x:v>DH RP TRIM</x:v>
      </x:c>
      <x:c r="G254" t="str">
        <x:v>P-TRIM NO THUMB OR CYLINDER</x:v>
      </x:c>
      <x:c r="H254" t="str">
        <x:v>DH</x:v>
      </x:c>
      <x:c r="I254" t="str">
        <x:v>1000/2000 PULL TRIM</x:v>
      </x:c>
      <x:c r="J254" t="str"/>
      <x:c r="K254" t="str"/>
      <x:c r="L254" t="str">
        <x:v>630</x:v>
      </x:c>
      <x:c r="M254" t="str">
        <x:v>78002407 - 2P-03NL Pull Trim with Cylinder Hole (Rim Cyl. NOT included)</x:v>
      </x:c>
      <x:c r="N254" t="str"/>
      <x:c r="O254" s="54" t="n">
        <x:v>136.65</x:v>
      </x:c>
      <x:c r="P254" t="str"/>
    </x:row>
    <x:row r="255" ht="15" hidden="0" customHeight="1">
      <x:c r="A255" t="n">
        <x:v>296</x:v>
      </x:c>
      <x:c r="B255" t="str">
        <x:v>YES</x:v>
      </x:c>
      <x:c r="C255" t="str"/>
      <x:c r="D255" t="str">
        <x:v>OFFER-F6BE864F30F5</x:v>
      </x:c>
      <x:c r="E255" t="str">
        <x:v>SPEC-B1360CC941DC</x:v>
      </x:c>
      <x:c r="F255" t="str">
        <x:v>DH RP TRIM</x:v>
      </x:c>
      <x:c r="G255" t="str">
        <x:v>P-TRIM w THUMB + CYLINDER</x:v>
      </x:c>
      <x:c r="H255" t="str">
        <x:v>DH</x:v>
      </x:c>
      <x:c r="I255" t="str">
        <x:v>1000/2000 TP TRIM</x:v>
      </x:c>
      <x:c r="J255" t="str"/>
      <x:c r="K255" t="str"/>
      <x:c r="L255" t="str">
        <x:v>630</x:v>
      </x:c>
      <x:c r="M255" t="str">
        <x:v>78002493 - TP-08 Entry Thumbpiece Trim (Includes 1 1/4" Mort Cyl.)</x:v>
      </x:c>
      <x:c r="N255" t="str"/>
      <x:c r="O255" s="54" t="n">
        <x:v>204.55</x:v>
      </x:c>
      <x:c r="P255" t="str"/>
    </x:row>
    <x:row r="256" ht="15" hidden="0" customHeight="1">
      <x:c r="A256" t="n">
        <x:v>297</x:v>
      </x:c>
      <x:c r="B256" t="str">
        <x:v>YES</x:v>
      </x:c>
      <x:c r="C256" t="str"/>
      <x:c r="D256" t="str">
        <x:v>OFFER-2694FBF95269</x:v>
      </x:c>
      <x:c r="E256" t="str">
        <x:v>SPEC-09F181C9FAEA</x:v>
      </x:c>
      <x:c r="F256" t="str">
        <x:v>DH RP TRIM</x:v>
      </x:c>
      <x:c r="G256" t="str">
        <x:v>SFIC CYLINDER 1.250"</x:v>
      </x:c>
      <x:c r="H256" t="str">
        <x:v>DH</x:v>
      </x:c>
      <x:c r="I256" t="str">
        <x:v>1000/2000 SFIC</x:v>
      </x:c>
      <x:c r="J256" t="str"/>
      <x:c r="K256" t="str"/>
      <x:c r="L256" t="str">
        <x:v>316</x:v>
      </x:c>
      <x:c r="M256" t="str">
        <x:v>78002706 - LE-08 Flat Entry Lever Escutcheon (includes 1 1/8" Mort Cyl.)</x:v>
      </x:c>
      <x:c r="N256" t="str"/>
      <x:c r="O256" s="54" t="n">
        <x:v>466.9</x:v>
      </x:c>
      <x:c r="P256" t="str"/>
    </x:row>
    <x:row r="257" ht="15" hidden="0" customHeight="1">
      <x:c r="A257" t="n">
        <x:v>298</x:v>
      </x:c>
      <x:c r="B257" t="str">
        <x:v>YES</x:v>
      </x:c>
      <x:c r="C257" t="str"/>
      <x:c r="D257" t="str">
        <x:v>OFFER-3215AE13B3C7</x:v>
      </x:c>
      <x:c r="E257" t="str">
        <x:v>SPEC-69C6410D5BA4</x:v>
      </x:c>
      <x:c r="F257" t="str">
        <x:v>DH RP TRIM</x:v>
      </x:c>
      <x:c r="G257" t="str">
        <x:v>ESC LVR TRIM 1.125 M CYL</x:v>
      </x:c>
      <x:c r="H257" t="str">
        <x:v>DH</x:v>
      </x:c>
      <x:c r="I257" t="str">
        <x:v>LE-08</x:v>
      </x:c>
      <x:c r="J257" t="str"/>
      <x:c r="K257" t="str"/>
      <x:c r="L257" t="str">
        <x:v>304</x:v>
      </x:c>
      <x:c r="M257" t="str">
        <x:v>78002459 - LE-08 Flat Entry Lever Escutcheon (includes 1 1/8" Mort Cyl.)</x:v>
      </x:c>
      <x:c r="N257" t="str"/>
      <x:c r="O257" s="54" t="n">
        <x:v>251.55</x:v>
      </x:c>
      <x:c r="P257" t="str"/>
    </x:row>
    <x:row r="258" ht="15" hidden="0" customHeight="1">
      <x:c r="A258" t="n">
        <x:v>299</x:v>
      </x:c>
      <x:c r="B258" t="str">
        <x:v>YES</x:v>
      </x:c>
      <x:c r="C258" t="str"/>
      <x:c r="D258" t="str">
        <x:v>OFFER-4D36966A02F2</x:v>
      </x:c>
      <x:c r="E258" t="str">
        <x:v>SPEC-1EEF3EEC4A24</x:v>
      </x:c>
      <x:c r="F258" t="str">
        <x:v>DH RP TRIM</x:v>
      </x:c>
      <x:c r="G258" t="str">
        <x:v>ESC LVR TRIM SFIC 1.375 CYL</x:v>
      </x:c>
      <x:c r="H258" t="str">
        <x:v>DH</x:v>
      </x:c>
      <x:c r="I258" t="str">
        <x:v>LD-08 SFIC</x:v>
      </x:c>
      <x:c r="J258" t="str"/>
      <x:c r="K258" t="str"/>
      <x:c r="L258" t="str">
        <x:v>304</x:v>
      </x:c>
      <x:c r="M258" t="str">
        <x:v>78000659 - LE-08IC Flat Entry Lever Escutcheon (includes 1 3/8" SFIC Housing+2 shims)</x:v>
      </x:c>
      <x:c r="N258" t="str"/>
      <x:c r="O258" s="54" t="n">
        <x:v>251.55</x:v>
      </x:c>
      <x:c r="P258" t="str"/>
    </x:row>
    <x:row r="259" ht="15" hidden="0" customHeight="1">
      <x:c r="A259" t="n">
        <x:v>301</x:v>
      </x:c>
      <x:c r="B259" t="str">
        <x:v>YES</x:v>
      </x:c>
      <x:c r="C259" t="str"/>
      <x:c r="D259" t="str">
        <x:v>OFFER-AF401A15162A</x:v>
      </x:c>
      <x:c r="E259" t="str">
        <x:v>SPEC-B9693605514D</x:v>
      </x:c>
      <x:c r="F259" t="str">
        <x:v>RIM PANIC</x:v>
      </x:c>
      <x:c r="G259" t="str">
        <x:v>9500-36"</x:v>
      </x:c>
      <x:c r="H259" t="str">
        <x:v>PHG</x:v>
      </x:c>
      <x:c r="I259" t="str">
        <x:v>36" RIM PANIC</x:v>
      </x:c>
      <x:c r="J259" t="str">
        <x:v>PANIC RATED</x:v>
      </x:c>
      <x:c r="K259" t="str"/>
      <x:c r="L259" t="str">
        <x:v>630</x:v>
      </x:c>
      <x:c r="M259" t="str">
        <x:v>95ED36R32D</x:v>
      </x:c>
      <x:c r="N259" t="str"/>
      <x:c r="O259" s="54" t="n">
        <x:v>440.88</x:v>
      </x:c>
      <x:c r="P259" t="str"/>
    </x:row>
    <x:row r="260" ht="15" hidden="0" customHeight="1">
      <x:c r="A260" t="n">
        <x:v>302</x:v>
      </x:c>
      <x:c r="B260" t="str">
        <x:v>YES</x:v>
      </x:c>
      <x:c r="C260" t="str"/>
      <x:c r="D260" t="str">
        <x:v>OFFER-5D4DD7117B4F</x:v>
      </x:c>
      <x:c r="E260" t="str">
        <x:v>SPEC-EBE22E2E7E86</x:v>
      </x:c>
      <x:c r="F260" t="str">
        <x:v>RIM PANIC</x:v>
      </x:c>
      <x:c r="G260" t="str">
        <x:v>9500-36"</x:v>
      </x:c>
      <x:c r="H260" t="str">
        <x:v>PHG</x:v>
      </x:c>
      <x:c r="I260" t="str">
        <x:v>36" RIM PANIC</x:v>
      </x:c>
      <x:c r="J260" t="str">
        <x:v>FIRE RATED</x:v>
      </x:c>
      <x:c r="K260" t="str"/>
      <x:c r="L260" t="str">
        <x:v>630</x:v>
      </x:c>
      <x:c r="M260" t="str">
        <x:v>95ED36FR32D</x:v>
      </x:c>
      <x:c r="N260" t="str"/>
      <x:c r="O260" s="54" t="n">
        <x:v>467.62</x:v>
      </x:c>
      <x:c r="P260" t="str"/>
    </x:row>
    <x:row r="261" ht="15" hidden="0" customHeight="1">
      <x:c r="A261" t="n">
        <x:v>303</x:v>
      </x:c>
      <x:c r="B261" t="str">
        <x:v>YES</x:v>
      </x:c>
      <x:c r="C261" t="str"/>
      <x:c r="D261" t="str">
        <x:v>OFFER-C2B6D96D5EDA</x:v>
      </x:c>
      <x:c r="E261" t="str">
        <x:v>SPEC-A885CA680F72</x:v>
      </x:c>
      <x:c r="F261" t="str">
        <x:v>RIM PANIC</x:v>
      </x:c>
      <x:c r="G261" t="str">
        <x:v>9500-48"</x:v>
      </x:c>
      <x:c r="H261" t="str">
        <x:v>PHG</x:v>
      </x:c>
      <x:c r="I261" t="str">
        <x:v>48" RIM PANIC</x:v>
      </x:c>
      <x:c r="J261" t="str">
        <x:v>WIND RATED</x:v>
      </x:c>
      <x:c r="K261" t="str"/>
      <x:c r="L261" t="str">
        <x:v>630</x:v>
      </x:c>
      <x:c r="M261" t="str">
        <x:v>95ED36FR32D</x:v>
      </x:c>
      <x:c r="N261" t="str"/>
      <x:c r="O261" s="54" t="n">
        <x:v>467.62</x:v>
      </x:c>
      <x:c r="P261" t="str"/>
    </x:row>
    <x:row r="262" ht="15" hidden="0" customHeight="1">
      <x:c r="A262" t="n">
        <x:v>304</x:v>
      </x:c>
      <x:c r="B262" t="str">
        <x:v>YES</x:v>
      </x:c>
      <x:c r="C262" t="str"/>
      <x:c r="D262" t="str">
        <x:v>OFFER-C6180F510030</x:v>
      </x:c>
      <x:c r="E262" t="str">
        <x:v>SPEC-0C7D8610573F</x:v>
      </x:c>
      <x:c r="F262" t="str">
        <x:v>RIM PANIC</x:v>
      </x:c>
      <x:c r="G262" t="str">
        <x:v>9500-36"</x:v>
      </x:c>
      <x:c r="H262" t="str">
        <x:v>PHG</x:v>
      </x:c>
      <x:c r="I262" t="str">
        <x:v>36" RIM PANIC</x:v>
      </x:c>
      <x:c r="J262" t="str">
        <x:v>TDI RATED</x:v>
      </x:c>
      <x:c r="K262" t="str"/>
      <x:c r="L262" t="str">
        <x:v>630</x:v>
      </x:c>
      <x:c r="M262" t="str">
        <x:v>95ED36FR32D</x:v>
      </x:c>
      <x:c r="N262" t="str"/>
      <x:c r="O262" s="54" t="n">
        <x:v>467.62</x:v>
      </x:c>
      <x:c r="P262" t="str"/>
    </x:row>
    <x:row r="263" ht="15" hidden="0" customHeight="1">
      <x:c r="A263" t="n">
        <x:v>305</x:v>
      </x:c>
      <x:c r="B263" t="str">
        <x:v>YES</x:v>
      </x:c>
      <x:c r="C263" t="str"/>
      <x:c r="D263" t="str">
        <x:v>OFFER-764F6D9F87A3</x:v>
      </x:c>
      <x:c r="E263" t="str">
        <x:v>SPEC-91FCF875ED12</x:v>
      </x:c>
      <x:c r="F263" t="str">
        <x:v>RIM PANIC</x:v>
      </x:c>
      <x:c r="G263" t="str">
        <x:v>9500-48"</x:v>
      </x:c>
      <x:c r="H263" t="str">
        <x:v>PHG</x:v>
      </x:c>
      <x:c r="I263" t="str">
        <x:v>48" RIM PANIC</x:v>
      </x:c>
      <x:c r="J263" t="str">
        <x:v>PANIC RATED</x:v>
      </x:c>
      <x:c r="K263" t="str"/>
      <x:c r="L263" t="str">
        <x:v>630</x:v>
      </x:c>
      <x:c r="M263" t="str">
        <x:v>95ED48R32D</x:v>
      </x:c>
      <x:c r="N263" t="str"/>
      <x:c r="O263" s="54" t="n">
        <x:v>448.43</x:v>
      </x:c>
      <x:c r="P263" t="str"/>
    </x:row>
    <x:row r="264" ht="15" hidden="0" customHeight="1">
      <x:c r="A264" t="n">
        <x:v>306</x:v>
      </x:c>
      <x:c r="B264" t="str">
        <x:v>YES</x:v>
      </x:c>
      <x:c r="C264" t="str"/>
      <x:c r="D264" t="str">
        <x:v>OFFER-CA7344E64657</x:v>
      </x:c>
      <x:c r="E264" t="str">
        <x:v>SPEC-668DCC0882B9</x:v>
      </x:c>
      <x:c r="F264" t="str">
        <x:v>RIM PANIC</x:v>
      </x:c>
      <x:c r="G264" t="str">
        <x:v>9500-48"</x:v>
      </x:c>
      <x:c r="H264" t="str">
        <x:v>PHG</x:v>
      </x:c>
      <x:c r="I264" t="str">
        <x:v>48" RIM PANIC</x:v>
      </x:c>
      <x:c r="J264" t="str">
        <x:v>FIRE RATED</x:v>
      </x:c>
      <x:c r="K264" t="str"/>
      <x:c r="L264" t="str">
        <x:v>630</x:v>
      </x:c>
      <x:c r="M264" t="str">
        <x:v>95ED48FR32D</x:v>
      </x:c>
      <x:c r="N264" t="str"/>
      <x:c r="O264" s="54" t="n">
        <x:v>484.7</x:v>
      </x:c>
      <x:c r="P264" t="str"/>
    </x:row>
    <x:row r="265" ht="15" hidden="0" customHeight="1">
      <x:c r="A265" t="n">
        <x:v>307</x:v>
      </x:c>
      <x:c r="B265" t="str">
        <x:v>YES</x:v>
      </x:c>
      <x:c r="C265" t="str"/>
      <x:c r="D265" t="str">
        <x:v>OFFER-7430158E4ED1</x:v>
      </x:c>
      <x:c r="E265" t="str">
        <x:v>SPEC-A885CA680F72</x:v>
      </x:c>
      <x:c r="F265" t="str">
        <x:v>RIM PANIC</x:v>
      </x:c>
      <x:c r="G265" t="str">
        <x:v>9500-48"</x:v>
      </x:c>
      <x:c r="H265" t="str">
        <x:v>PHG</x:v>
      </x:c>
      <x:c r="I265" t="str">
        <x:v>48" RIM PANIC</x:v>
      </x:c>
      <x:c r="J265" t="str">
        <x:v>WIND RATED</x:v>
      </x:c>
      <x:c r="K265" t="str"/>
      <x:c r="L265" t="str">
        <x:v>630</x:v>
      </x:c>
      <x:c r="M265" t="str">
        <x:v>95ED48FR32D</x:v>
      </x:c>
      <x:c r="N265" t="str"/>
      <x:c r="O265" s="54" t="n">
        <x:v>484.7</x:v>
      </x:c>
      <x:c r="P265" t="str"/>
    </x:row>
    <x:row r="266" ht="15" hidden="0" customHeight="1">
      <x:c r="A266" t="n">
        <x:v>308</x:v>
      </x:c>
      <x:c r="B266" t="str">
        <x:v>YES</x:v>
      </x:c>
      <x:c r="C266" t="str"/>
      <x:c r="D266" t="str">
        <x:v>OFFER-AEB5E2F43186</x:v>
      </x:c>
      <x:c r="E266" t="str">
        <x:v>SPEC-FB6463B2EA16</x:v>
      </x:c>
      <x:c r="F266" t="str">
        <x:v>RIM PANIC</x:v>
      </x:c>
      <x:c r="G266" t="str">
        <x:v>9500-48"</x:v>
      </x:c>
      <x:c r="H266" t="str">
        <x:v>PHG</x:v>
      </x:c>
      <x:c r="I266" t="str">
        <x:v>48" RIM PANIC</x:v>
      </x:c>
      <x:c r="J266" t="str">
        <x:v>TDI RATED</x:v>
      </x:c>
      <x:c r="K266" t="str"/>
      <x:c r="L266" t="str">
        <x:v>630</x:v>
      </x:c>
      <x:c r="M266" t="str">
        <x:v>95ED48FR32D</x:v>
      </x:c>
      <x:c r="N266" t="str"/>
      <x:c r="O266" s="54" t="n">
        <x:v>484.7</x:v>
      </x:c>
      <x:c r="P266" t="str"/>
    </x:row>
    <x:row r="267" ht="15" hidden="0" customHeight="1">
      <x:c r="A267" t="n">
        <x:v>310</x:v>
      </x:c>
      <x:c r="B267" t="str">
        <x:v>YES</x:v>
      </x:c>
      <x:c r="C267" t="str"/>
      <x:c r="D267" t="str">
        <x:v>OFFER-14E56D35C06D</x:v>
      </x:c>
      <x:c r="E267" t="str">
        <x:v>SPEC-4E095B175796</x:v>
      </x:c>
      <x:c r="F267" t="str">
        <x:v>PHG RP TRIM</x:v>
      </x:c>
      <x:c r="G267" t="str">
        <x:v>HETL9 ESC TRIM-900</x:v>
      </x:c>
      <x:c r="H267" t="str">
        <x:v>PHG</x:v>
      </x:c>
      <x:c r="I267" t="str">
        <x:v>HETL9 9 SERIES TRIM (9500)</x:v>
      </x:c>
      <x:c r="J267" t="str">
        <x:v>SUFFIX: HETL-900CT: ENTRY</x:v>
      </x:c>
      <x:c r="K267" t="str"/>
      <x:c r="L267" t="str">
        <x:v>630</x:v>
      </x:c>
      <x:c r="M267" t="str">
        <x:v>HETL900CT32D</x:v>
      </x:c>
      <x:c r="N267" t="str"/>
      <x:c r="O267" s="54" t="n">
        <x:v>214.63</x:v>
      </x:c>
      <x:c r="P267" t="str"/>
    </x:row>
    <x:row r="268" ht="15" hidden="0" customHeight="1">
      <x:c r="A268" t="n">
        <x:v>311</x:v>
      </x:c>
      <x:c r="B268" t="str">
        <x:v>YES</x:v>
      </x:c>
      <x:c r="C268" t="str"/>
      <x:c r="D268" t="str">
        <x:v>OFFER-0A4D39C37BCA</x:v>
      </x:c>
      <x:c r="E268" t="str">
        <x:v>SPEC-B535D0CC63C5</x:v>
      </x:c>
      <x:c r="F268" t="str">
        <x:v>PHG RP TRIM</x:v>
      </x:c>
      <x:c r="G268" t="str">
        <x:v>HETL9 ESC TRIM-900ICB</x:v>
      </x:c>
      <x:c r="H268" t="str">
        <x:v>PHG</x:v>
      </x:c>
      <x:c r="I268" t="str">
        <x:v>HETL9 9 SERIES TRIM (9500)</x:v>
      </x:c>
      <x:c r="J268" t="str">
        <x:v>SUFFIX: HETL-900CT: ENTRY ICB SFIC</x:v>
      </x:c>
      <x:c r="K268" t="str"/>
      <x:c r="L268" t="str">
        <x:v>630</x:v>
      </x:c>
      <x:c r="M268" t="str">
        <x:v>HETL900CT32DICB</x:v>
      </x:c>
      <x:c r="N268" t="str"/>
      <x:c r="O268" s="54" t="n">
        <x:v>252.36</x:v>
      </x:c>
      <x:c r="P268" t="str"/>
    </x:row>
    <x:row r="269" ht="15" hidden="0" customHeight="1">
      <x:c r="A269" t="n">
        <x:v>312</x:v>
      </x:c>
      <x:c r="B269" t="str">
        <x:v>YES</x:v>
      </x:c>
      <x:c r="C269" t="str"/>
      <x:c r="D269" t="str">
        <x:v>OFFER-8A903449DD9C</x:v>
      </x:c>
      <x:c r="E269" t="str">
        <x:v>SPEC-5A6D704C5CA6</x:v>
      </x:c>
      <x:c r="F269" t="str">
        <x:v>PHG RP TRIM</x:v>
      </x:c>
      <x:c r="G269" t="str">
        <x:v>HETL9 ESC TRIM-900ICS</x:v>
      </x:c>
      <x:c r="H269" t="str">
        <x:v>PHG</x:v>
      </x:c>
      <x:c r="I269" t="str">
        <x:v>HETL9 9 SERIES TRIM (9500)</x:v>
      </x:c>
      <x:c r="J269" t="str">
        <x:v>SUFFIX: HETL-900CT: ENTRY ICS LFIC</x:v>
      </x:c>
      <x:c r="K269" t="str"/>
      <x:c r="L269" t="str">
        <x:v>630</x:v>
      </x:c>
      <x:c r="M269" t="str">
        <x:v>HETL900CT32DICS</x:v>
      </x:c>
      <x:c r="N269" t="str"/>
      <x:c r="O269" s="54" t="n">
        <x:v>252.36</x:v>
      </x:c>
      <x:c r="P269" t="str"/>
    </x:row>
    <x:row r="270" ht="15" hidden="0" customHeight="1">
      <x:c r="A270" t="n">
        <x:v>314</x:v>
      </x:c>
      <x:c r="B270" t="str">
        <x:v>YES</x:v>
      </x:c>
      <x:c r="C270" t="str"/>
      <x:c r="D270" t="str">
        <x:v>OFFER-88F895FF90ED</x:v>
      </x:c>
      <x:c r="E270" t="str">
        <x:v>SPEC-C953AC09EC93</x:v>
      </x:c>
      <x:c r="F270" t="str">
        <x:v>PHG RP TRIM</x:v>
      </x:c>
      <x:c r="G270" t="str">
        <x:v>HETL9 ESC TRIM-904</x:v>
      </x:c>
      <x:c r="H270" t="str">
        <x:v>PHG</x:v>
      </x:c>
      <x:c r="I270" t="str">
        <x:v>HETL9 9 SERIES TRIM (9500)</x:v>
      </x:c>
      <x:c r="J270" t="str">
        <x:v>SUFFIX: HETL-904CT: STOREROOM</x:v>
      </x:c>
      <x:c r="K270" t="str"/>
      <x:c r="L270" t="str">
        <x:v>630</x:v>
      </x:c>
      <x:c r="M270" t="str">
        <x:v>HETL904CT32D</x:v>
      </x:c>
      <x:c r="N270" t="str"/>
      <x:c r="O270" s="54" t="n">
        <x:v>214.63</x:v>
      </x:c>
      <x:c r="P270" t="str"/>
    </x:row>
    <x:row r="271" ht="15" hidden="0" customHeight="1">
      <x:c r="A271" t="n">
        <x:v>315</x:v>
      </x:c>
      <x:c r="B271" t="str">
        <x:v>YES</x:v>
      </x:c>
      <x:c r="C271" t="str"/>
      <x:c r="D271" t="str">
        <x:v>OFFER-AACCC6687A52</x:v>
      </x:c>
      <x:c r="E271" t="str">
        <x:v>SPEC-BF25F8629A9D</x:v>
      </x:c>
      <x:c r="F271" t="str">
        <x:v>PHG RP TRIM</x:v>
      </x:c>
      <x:c r="G271" t="str">
        <x:v>HETL9 ESC TRIM-904ICB</x:v>
      </x:c>
      <x:c r="H271" t="str">
        <x:v>PHG</x:v>
      </x:c>
      <x:c r="I271" t="str">
        <x:v>HETL9 9 SERIES TRIM (9500)</x:v>
      </x:c>
      <x:c r="J271" t="str">
        <x:v>SUFFIX: HETL-904CT: S_ROOM ICB SFIC</x:v>
      </x:c>
      <x:c r="K271" t="str"/>
      <x:c r="L271" t="str">
        <x:v>630</x:v>
      </x:c>
      <x:c r="M271" t="str">
        <x:v>HETL904CT32DICB</x:v>
      </x:c>
      <x:c r="N271" t="str"/>
      <x:c r="O271" s="54" t="n">
        <x:v>252.36</x:v>
      </x:c>
      <x:c r="P271" t="str"/>
    </x:row>
    <x:row r="272" ht="15" hidden="0" customHeight="1">
      <x:c r="A272" t="n">
        <x:v>316</x:v>
      </x:c>
      <x:c r="B272" t="str">
        <x:v>YES</x:v>
      </x:c>
      <x:c r="C272" t="str"/>
      <x:c r="D272" t="str">
        <x:v>OFFER-F73DDD4409FD</x:v>
      </x:c>
      <x:c r="E272" t="str">
        <x:v>SPEC-180E7CB1C30C</x:v>
      </x:c>
      <x:c r="F272" t="str">
        <x:v>PHG RP TRIM</x:v>
      </x:c>
      <x:c r="G272" t="str">
        <x:v>HETL9 ESC TRIM-904ICS</x:v>
      </x:c>
      <x:c r="H272" t="str">
        <x:v>PHG</x:v>
      </x:c>
      <x:c r="I272" t="str">
        <x:v>HETL9 9 SERIES TRIM (9500)</x:v>
      </x:c>
      <x:c r="J272" t="str">
        <x:v>SUFFIX: HTTL-904CT: S_ROOM ICS LFIC</x:v>
      </x:c>
      <x:c r="K272" t="str"/>
      <x:c r="L272" t="str">
        <x:v>630</x:v>
      </x:c>
      <x:c r="M272" t="str">
        <x:v>HETL904CT32DICS</x:v>
      </x:c>
      <x:c r="N272" t="str"/>
      <x:c r="O272" s="54" t="n">
        <x:v>252.36</x:v>
      </x:c>
      <x:c r="P272" t="str"/>
    </x:row>
    <x:row r="273" ht="15" hidden="0" customHeight="1">
      <x:c r="A273" t="n">
        <x:v>318</x:v>
      </x:c>
      <x:c r="B273" t="str">
        <x:v>YES</x:v>
      </x:c>
      <x:c r="C273" t="str"/>
      <x:c r="D273" t="str">
        <x:v>OFFER-BFF489DEAFE6</x:v>
      </x:c>
      <x:c r="E273" t="str">
        <x:v>SPEC-B9693605514D</x:v>
      </x:c>
      <x:c r="F273" t="str">
        <x:v>RIM PANIC</x:v>
      </x:c>
      <x:c r="G273" t="str">
        <x:v>9300B 36"</x:v>
      </x:c>
      <x:c r="H273" t="str">
        <x:v>DK</x:v>
      </x:c>
      <x:c r="I273" t="str">
        <x:v>9300B:R-PANIC: NR</x:v>
      </x:c>
      <x:c r="J273" t="str">
        <x:v>PANIC RATED BASE</x:v>
      </x:c>
      <x:c r="K273" t="str"/>
      <x:c r="L273" t="str">
        <x:v>630</x:v>
      </x:c>
      <x:c r="M273" t="str"/>
      <x:c r="N273" t="str"/>
      <x:c r="O273" s="54" t="n">
        <x:v>2144</x:v>
      </x:c>
      <x:c r="P273" t="str"/>
    </x:row>
    <x:row r="274" ht="15" hidden="0" customHeight="1">
      <x:c r="A274" t="n">
        <x:v>319</x:v>
      </x:c>
      <x:c r="B274" t="str">
        <x:v>YES</x:v>
      </x:c>
      <x:c r="C274" t="str"/>
      <x:c r="D274" t="str">
        <x:v>OFFER-CB5C011F38E5</x:v>
      </x:c>
      <x:c r="E274" t="str">
        <x:v>SPEC-EBE22E2E7E86</x:v>
      </x:c>
      <x:c r="F274" t="str">
        <x:v>RIM PANIC</x:v>
      </x:c>
      <x:c r="G274" t="str">
        <x:v>9300B 36" FIRE</x:v>
      </x:c>
      <x:c r="H274" t="str">
        <x:v>DK</x:v>
      </x:c>
      <x:c r="I274" t="str">
        <x:v>9300B:R-PANIC: FR</x:v>
      </x:c>
      <x:c r="J274" t="str">
        <x:v>FIRE RATED BASE</x:v>
      </x:c>
      <x:c r="K274" t="str"/>
      <x:c r="L274" t="str">
        <x:v>630</x:v>
      </x:c>
      <x:c r="M274" t="str"/>
      <x:c r="N274" t="str"/>
      <x:c r="O274" s="54" t="n">
        <x:v>2408</x:v>
      </x:c>
      <x:c r="P274" t="str"/>
    </x:row>
    <x:row r="275" ht="15" hidden="0" customHeight="1">
      <x:c r="A275" t="n">
        <x:v>320</x:v>
      </x:c>
      <x:c r="B275" t="str">
        <x:v>YES</x:v>
      </x:c>
      <x:c r="C275" t="str"/>
      <x:c r="D275" t="str">
        <x:v>OFFER-2CFD0AD52CC3</x:v>
      </x:c>
      <x:c r="E275" t="str">
        <x:v>SPEC-91FCF875ED12</x:v>
      </x:c>
      <x:c r="F275" t="str">
        <x:v>RIM PANIC</x:v>
      </x:c>
      <x:c r="G275" t="str">
        <x:v>9300A 48"</x:v>
      </x:c>
      <x:c r="H275" t="str">
        <x:v>DK</x:v>
      </x:c>
      <x:c r="I275" t="str">
        <x:v>9300A:R-PANIC: NR</x:v>
      </x:c>
      <x:c r="J275" t="str">
        <x:v>PANIC RATED BASE</x:v>
      </x:c>
      <x:c r="K275" t="str"/>
      <x:c r="L275" t="str">
        <x:v>630</x:v>
      </x:c>
      <x:c r="M275" t="str"/>
      <x:c r="N275" t="str"/>
      <x:c r="O275" s="54" t="n">
        <x:v>2144</x:v>
      </x:c>
      <x:c r="P275" t="str"/>
    </x:row>
    <x:row r="276" ht="15" hidden="0" customHeight="1">
      <x:c r="A276" t="n">
        <x:v>321</x:v>
      </x:c>
      <x:c r="B276" t="str">
        <x:v>YES</x:v>
      </x:c>
      <x:c r="C276" t="str"/>
      <x:c r="D276" t="str">
        <x:v>OFFER-6C961D8DEA02</x:v>
      </x:c>
      <x:c r="E276" t="str">
        <x:v>SPEC-0BAC690514BC</x:v>
      </x:c>
      <x:c r="F276" t="str">
        <x:v>RIM PANIC</x:v>
      </x:c>
      <x:c r="G276" t="str">
        <x:v>EL LEVER DOG ADD</x:v>
      </x:c>
      <x:c r="H276" t="str">
        <x:v>DK</x:v>
      </x:c>
      <x:c r="I276" t="str">
        <x:v>9300 BASE EL LOCK/UNLOCK</x:v>
      </x:c>
      <x:c r="J276" t="str"/>
      <x:c r="K276" t="str"/>
      <x:c r="L276" t="str">
        <x:v>630</x:v>
      </x:c>
      <x:c r="M276" t="str"/>
      <x:c r="N276" t="str"/>
      <x:c r="O276" s="54" t="n">
        <x:v>2408</x:v>
      </x:c>
      <x:c r="P276" t="str"/>
    </x:row>
    <x:row r="277" ht="15" hidden="0" customHeight="1">
      <x:c r="A277" t="n">
        <x:v>322</x:v>
      </x:c>
      <x:c r="B277" t="str">
        <x:v>YES</x:v>
      </x:c>
      <x:c r="C277" t="str"/>
      <x:c r="D277" t="str">
        <x:v>OFFER-6DDC6924A08A</x:v>
      </x:c>
      <x:c r="E277" t="str">
        <x:v>SPEC-283CB2D05CC5</x:v>
      </x:c>
      <x:c r="F277" t="str">
        <x:v>RIM PANIC</x:v>
      </x:c>
      <x:c r="G277" t="str">
        <x:v>WIND ADDER</x:v>
      </x:c>
      <x:c r="H277" t="str">
        <x:v>DK</x:v>
      </x:c>
      <x:c r="I277" t="str"/>
      <x:c r="J277" t="str"/>
      <x:c r="K277" t="str"/>
      <x:c r="L277" t="str">
        <x:v>ACC</x:v>
      </x:c>
      <x:c r="M277" t="str"/>
      <x:c r="N277" t="str"/>
      <x:c r="O277" s="54" t="n">
        <x:v>256</x:v>
      </x:c>
      <x:c r="P277" t="str"/>
    </x:row>
    <x:row r="278" ht="15" hidden="0" customHeight="1">
      <x:c r="A278" t="n">
        <x:v>323</x:v>
      </x:c>
      <x:c r="B278" t="str">
        <x:v>YES</x:v>
      </x:c>
      <x:c r="C278" t="str"/>
      <x:c r="D278" t="str">
        <x:v>OFFER-63F8C9C6FEE8</x:v>
      </x:c>
      <x:c r="E278" t="str">
        <x:v>SPEC-20C076C9626B</x:v>
      </x:c>
      <x:c r="F278" t="str">
        <x:v>RIM PANIC</x:v>
      </x:c>
      <x:c r="G278" t="str">
        <x:v>TDI ADDER</x:v>
      </x:c>
      <x:c r="H278" t="str">
        <x:v>DK</x:v>
      </x:c>
      <x:c r="I278" t="str"/>
      <x:c r="J278" t="str"/>
      <x:c r="K278" t="str"/>
      <x:c r="L278" t="str">
        <x:v>ACC</x:v>
      </x:c>
      <x:c r="M278" t="str"/>
      <x:c r="N278" t="str"/>
      <x:c r="O278" s="54"/>
      <x:c r="P278" t="str"/>
    </x:row>
    <x:row r="279" ht="15" hidden="0" customHeight="1">
      <x:c r="A279" t="n">
        <x:v>324</x:v>
      </x:c>
      <x:c r="B279" t="str">
        <x:v>YES</x:v>
      </x:c>
      <x:c r="C279" t="str"/>
      <x:c r="D279" t="str">
        <x:v>OFFER-3C24BFD0EE63</x:v>
      </x:c>
      <x:c r="E279" t="str">
        <x:v>SPEC-88554AFB1435</x:v>
      </x:c>
      <x:c r="F279" t="str">
        <x:v>RIM PANIC</x:v>
      </x:c>
      <x:c r="G279" t="str">
        <x:v>MLR ADDER</x:v>
      </x:c>
      <x:c r="H279" t="str">
        <x:v>DK</x:v>
      </x:c>
      <x:c r="I279" t="str">
        <x:v>MORTORIZED LATCH RETRACTION</x:v>
      </x:c>
      <x:c r="J279" t="str"/>
      <x:c r="K279" t="str"/>
      <x:c r="L279" t="str">
        <x:v>ACC</x:v>
      </x:c>
      <x:c r="M279" t="str"/>
      <x:c r="N279" t="str"/>
      <x:c r="O279" s="54" t="n">
        <x:v>1410</x:v>
      </x:c>
      <x:c r="P279" t="str"/>
    </x:row>
    <x:row r="280" ht="15" hidden="0" customHeight="1">
      <x:c r="A280" t="n">
        <x:v>325</x:v>
      </x:c>
      <x:c r="B280" t="str">
        <x:v>YES</x:v>
      </x:c>
      <x:c r="C280" t="str"/>
      <x:c r="D280" t="str">
        <x:v>OFFER-024B29992B04</x:v>
      </x:c>
      <x:c r="E280" t="str">
        <x:v>SPEC-F0001889C9A7</x:v>
      </x:c>
      <x:c r="F280" t="str">
        <x:v>RIM PANIC</x:v>
      </x:c>
      <x:c r="G280" t="str">
        <x:v>LATCH BOLT MONITOR</x:v>
      </x:c>
      <x:c r="H280" t="str">
        <x:v>DK</x:v>
      </x:c>
      <x:c r="I280" t="str"/>
      <x:c r="J280" t="str"/>
      <x:c r="K280" t="str"/>
      <x:c r="L280" t="str">
        <x:v>ACC</x:v>
      </x:c>
      <x:c r="M280" t="str"/>
      <x:c r="N280" t="str"/>
      <x:c r="O280" s="54"/>
      <x:c r="P280" t="str"/>
    </x:row>
    <x:row r="281" ht="15" hidden="0" customHeight="1">
      <x:c r="A281" t="n">
        <x:v>326</x:v>
      </x:c>
      <x:c r="B281" t="str">
        <x:v>YES</x:v>
      </x:c>
      <x:c r="C281" t="str"/>
      <x:c r="D281" t="str">
        <x:v>OFFER-21E2CD4F6856</x:v>
      </x:c>
      <x:c r="E281" t="str">
        <x:v>SPEC-F1E1828AD4E3</x:v>
      </x:c>
      <x:c r="F281" t="str">
        <x:v>RIM PANIC</x:v>
      </x:c>
      <x:c r="G281" t="str">
        <x:v>ESC LEVER TRIM</x:v>
      </x:c>
      <x:c r="H281" t="str">
        <x:v>DK</x:v>
      </x:c>
      <x:c r="I281" t="str">
        <x:v>YC: ESCUTCHEON</x:v>
      </x:c>
      <x:c r="J281" t="str"/>
      <x:c r="K281" t="str"/>
      <x:c r="L281" t="str">
        <x:v>630</x:v>
      </x:c>
      <x:c r="M281" t="str">
        <x:v>YR x FUNCTION</x:v>
      </x:c>
      <x:c r="N281" t="str"/>
      <x:c r="O281" s="54" t="n">
        <x:v>1473</x:v>
      </x:c>
      <x:c r="P281" t="str"/>
    </x:row>
    <x:row r="282" ht="15" hidden="0" customHeight="1">
      <x:c r="A282" t="n">
        <x:v>327</x:v>
      </x:c>
      <x:c r="B282" t="str">
        <x:v>YES</x:v>
      </x:c>
      <x:c r="C282" t="str"/>
      <x:c r="D282" t="str">
        <x:v>OFFER-B55BB12150E2</x:v>
      </x:c>
      <x:c r="E282" t="str">
        <x:v>SPEC-F1E1828AD4E3</x:v>
      </x:c>
      <x:c r="F282" t="str">
        <x:v>RIM PANIC</x:v>
      </x:c>
      <x:c r="G282" t="str">
        <x:v>THUMB PULL TRIM</x:v>
      </x:c>
      <x:c r="H282" t="str">
        <x:v>DK</x:v>
      </x:c>
      <x:c r="I282" t="str">
        <x:v>THUMB PULL TRIM</x:v>
      </x:c>
      <x:c r="J282" t="str"/>
      <x:c r="K282" t="str"/>
      <x:c r="L282" t="str">
        <x:v>630</x:v>
      </x:c>
      <x:c r="M282" t="str">
        <x:v>HRT05</x:v>
      </x:c>
      <x:c r="N282" t="str"/>
      <x:c r="O282" s="54" t="n">
        <x:v>467</x:v>
      </x:c>
      <x:c r="P282" t="str"/>
    </x:row>
    <x:row r="283" ht="15" hidden="0" customHeight="1">
      <x:c r="A283" t="n">
        <x:v>329</x:v>
      </x:c>
      <x:c r="B283" t="str">
        <x:v>YES</x:v>
      </x:c>
      <x:c r="C283" t="str"/>
      <x:c r="D283" t="str">
        <x:v>OFFER-5F469931A036</x:v>
      </x:c>
      <x:c r="E283" t="str">
        <x:v>SPEC-17E12F75ACF6</x:v>
      </x:c>
      <x:c r="F283" t="str">
        <x:v>DK RP LEVER TRIM</x:v>
      </x:c>
      <x:c r="G283" t="str">
        <x:v>ESC LEVER</x:v>
      </x:c>
      <x:c r="H283" t="str">
        <x:v>DK</x:v>
      </x:c>
      <x:c r="I283" t="str">
        <x:v>YR08</x:v>
      </x:c>
      <x:c r="J283" t="str">
        <x:v>KEY LOCKS/UNLOCKS LEVER</x:v>
      </x:c>
      <x:c r="K283" t="str"/>
      <x:c r="L283" t="str">
        <x:v>630</x:v>
      </x:c>
      <x:c r="M283" t="str"/>
      <x:c r="N283" t="str"/>
      <x:c r="O283" s="54" t="n">
        <x:v>857</x:v>
      </x:c>
      <x:c r="P283" t="str"/>
    </x:row>
    <x:row r="284" ht="15" hidden="0" customHeight="1">
      <x:c r="A284" t="n">
        <x:v>330</x:v>
      </x:c>
      <x:c r="B284" t="str">
        <x:v>YES</x:v>
      </x:c>
      <x:c r="C284" t="str"/>
      <x:c r="D284" t="str">
        <x:v>OFFER-D2E05996EFE9</x:v>
      </x:c>
      <x:c r="E284" t="str">
        <x:v>SPEC-3433EE87D2B9</x:v>
      </x:c>
      <x:c r="F284" t="str">
        <x:v>DK RP LEVER TRIM</x:v>
      </x:c>
      <x:c r="G284" t="str">
        <x:v>ESC LEVER</x:v>
      </x:c>
      <x:c r="H284" t="str">
        <x:v>DK</x:v>
      </x:c>
      <x:c r="I284" t="str">
        <x:v>YR08C</x:v>
      </x:c>
      <x:c r="J284" t="str">
        <x:v>KEY LOCKS UNLOCKS LEVER CLUTCH</x:v>
      </x:c>
      <x:c r="K284" t="str"/>
      <x:c r="L284" t="str">
        <x:v>630</x:v>
      </x:c>
      <x:c r="M284" t="str"/>
      <x:c r="N284" t="str"/>
      <x:c r="O284" s="54" t="n">
        <x:v>1219</x:v>
      </x:c>
      <x:c r="P284" t="str"/>
    </x:row>
    <x:row r="285" ht="15" hidden="0" customHeight="1">
      <x:c r="A285" t="n">
        <x:v>331</x:v>
      </x:c>
      <x:c r="B285" t="str">
        <x:v>YES</x:v>
      </x:c>
      <x:c r="C285" t="str"/>
      <x:c r="D285" t="str">
        <x:v>OFFER-44440FEDE09D</x:v>
      </x:c>
      <x:c r="E285" t="str">
        <x:v>SPEC-895F5591D942</x:v>
      </x:c>
      <x:c r="F285" t="str">
        <x:v>DK RP LEVER TRIM</x:v>
      </x:c>
      <x:c r="G285" t="str">
        <x:v>ESC LEVER</x:v>
      </x:c>
      <x:c r="H285" t="str">
        <x:v>DK</x:v>
      </x:c>
      <x:c r="I285" t="str">
        <x:v>YR03: NIGHT LATCH</x:v>
      </x:c>
      <x:c r="J285" t="str">
        <x:v>KEY RETRACTS LATCH</x:v>
      </x:c>
      <x:c r="K285" t="str"/>
      <x:c r="L285" t="str">
        <x:v>630</x:v>
      </x:c>
      <x:c r="M285" t="str"/>
      <x:c r="N285" t="str"/>
      <x:c r="O285" s="54" t="n">
        <x:v>733</x:v>
      </x:c>
      <x:c r="P285" t="str"/>
    </x:row>
    <x:row r="286" ht="15" hidden="0" customHeight="1">
      <x:c r="A286" t="n">
        <x:v>332</x:v>
      </x:c>
      <x:c r="B286" t="str">
        <x:v>YES</x:v>
      </x:c>
      <x:c r="C286" t="str"/>
      <x:c r="D286" t="str">
        <x:v>OFFER-63EAD5311FF7</x:v>
      </x:c>
      <x:c r="E286" t="str">
        <x:v>SPEC-573D87063710</x:v>
      </x:c>
      <x:c r="F286" t="str">
        <x:v>DK RP TP TRIM</x:v>
      </x:c>
      <x:c r="G286" t="str">
        <x:v>PULL TRIM THUMB</x:v>
      </x:c>
      <x:c r="H286" t="str">
        <x:v>DK</x:v>
      </x:c>
      <x:c r="I286" t="str">
        <x:v>HTT05</x:v>
      </x:c>
      <x:c r="J286" t="str">
        <x:v>KEY LOCKS UNLOCKS THUMB PIECE</x:v>
      </x:c>
      <x:c r="K286" t="str"/>
      <x:c r="L286" t="str">
        <x:v>630</x:v>
      </x:c>
      <x:c r="M286" t="str"/>
      <x:c r="N286" t="str"/>
      <x:c r="O286" s="54" t="n">
        <x:v>467</x:v>
      </x:c>
      <x:c r="P286" t="str"/>
    </x:row>
    <x:row r="287" ht="15" hidden="0" customHeight="1">
      <x:c r="A287" t="n">
        <x:v>333</x:v>
      </x:c>
      <x:c r="B287" t="str">
        <x:v>YES</x:v>
      </x:c>
      <x:c r="C287" t="str"/>
      <x:c r="D287" t="str">
        <x:v>OFFER-6E06A2CCC848</x:v>
      </x:c>
      <x:c r="E287" t="str">
        <x:v>SPEC-A097D4F851FA</x:v>
      </x:c>
      <x:c r="F287" t="str">
        <x:v>DK RP TP TRIM</x:v>
      </x:c>
      <x:c r="G287" t="str">
        <x:v>PULL TRIM THUMB</x:v>
      </x:c>
      <x:c r="H287" t="str">
        <x:v>DK</x:v>
      </x:c>
      <x:c r="I287" t="str">
        <x:v>HTT03</x:v>
      </x:c>
      <x:c r="J287" t="str">
        <x:v>KEY RETRACTS LATCH</x:v>
      </x:c>
      <x:c r="K287" t="str"/>
      <x:c r="L287" t="str">
        <x:v>630</x:v>
      </x:c>
      <x:c r="M287" t="str"/>
      <x:c r="N287" t="str"/>
      <x:c r="O287" s="54" t="n">
        <x:v>443</x:v>
      </x:c>
      <x:c r="P287" t="str"/>
    </x:row>
    <x:row r="288" ht="15" hidden="0" customHeight="1">
      <x:c r="A288" t="n">
        <x:v>334</x:v>
      </x:c>
      <x:c r="B288" t="str">
        <x:v>YES</x:v>
      </x:c>
      <x:c r="C288" t="str"/>
      <x:c r="D288" t="str">
        <x:v>OFFER-B9019DF5F2C8</x:v>
      </x:c>
      <x:c r="E288" t="str">
        <x:v>SPEC-8F99897C5F18</x:v>
      </x:c>
      <x:c r="F288" t="str">
        <x:v>DK RP P TRIM</x:v>
      </x:c>
      <x:c r="G288" t="str">
        <x:v>PULL TRIM CYLINDER</x:v>
      </x:c>
      <x:c r="H288" t="str">
        <x:v>DK</x:v>
      </x:c>
      <x:c r="I288" t="str">
        <x:v>PRT03</x:v>
      </x:c>
      <x:c r="J288" t="str">
        <x:v>KEY RETRACTS LATCH</x:v>
      </x:c>
      <x:c r="K288" t="str"/>
      <x:c r="L288" t="str">
        <x:v>630</x:v>
      </x:c>
      <x:c r="M288" t="str"/>
      <x:c r="N288" t="str"/>
      <x:c r="O288" s="54" t="n">
        <x:v>467</x:v>
      </x:c>
      <x:c r="P288" t="str"/>
    </x:row>
    <x:row r="289" ht="15" hidden="0" customHeight="1">
      <x:c r="A289" t="n">
        <x:v>336</x:v>
      </x:c>
      <x:c r="B289" t="str">
        <x:v>YES</x:v>
      </x:c>
      <x:c r="C289" t="str"/>
      <x:c r="D289" t="str">
        <x:v>OFFER-0C3F1190F227</x:v>
      </x:c>
      <x:c r="E289" t="str">
        <x:v>SPEC-B9693605514D</x:v>
      </x:c>
      <x:c r="F289" t="str">
        <x:v>RIM PANIC</x:v>
      </x:c>
      <x:c r="G289" t="str">
        <x:v>2300 36"</x:v>
      </x:c>
      <x:c r="H289" t="str">
        <x:v>PHI</x:v>
      </x:c>
      <x:c r="I289" t="str">
        <x:v>2400:R-PANIC: NR</x:v>
      </x:c>
      <x:c r="J289" t="str">
        <x:v>PANIC RATED BASE</x:v>
      </x:c>
      <x:c r="K289" t="str"/>
      <x:c r="L289" t="str">
        <x:v>630</x:v>
      </x:c>
      <x:c r="M289" t="str"/>
      <x:c r="N289" t="str"/>
      <x:c r="O289" s="54" t="n">
        <x:v>4860</x:v>
      </x:c>
      <x:c r="P289" t="str">
        <x:v>50/70</x:v>
      </x:c>
    </x:row>
    <x:row r="290" ht="15" hidden="0" customHeight="1">
      <x:c r="A290" t="n">
        <x:v>337</x:v>
      </x:c>
      <x:c r="B290" t="str">
        <x:v>YES</x:v>
      </x:c>
      <x:c r="C290" t="str"/>
      <x:c r="D290" t="str">
        <x:v>OFFER-1F1566827C02</x:v>
      </x:c>
      <x:c r="E290" t="str">
        <x:v>SPEC-91FCF875ED12</x:v>
      </x:c>
      <x:c r="F290" t="str">
        <x:v>RIM PANIC</x:v>
      </x:c>
      <x:c r="G290" t="str">
        <x:v>2300 48"</x:v>
      </x:c>
      <x:c r="H290" t="str">
        <x:v>PHI</x:v>
      </x:c>
      <x:c r="I290" t="str">
        <x:v>2400:R-PANIC: NR</x:v>
      </x:c>
      <x:c r="J290" t="str">
        <x:v>PANIC RATED BASE</x:v>
      </x:c>
      <x:c r="K290" t="str"/>
      <x:c r="L290" t="str">
        <x:v>630</x:v>
      </x:c>
      <x:c r="M290" t="str"/>
      <x:c r="N290" t="str"/>
      <x:c r="O290" s="54" t="n">
        <x:v>4860</x:v>
      </x:c>
      <x:c r="P290" t="str">
        <x:v>50/70</x:v>
      </x:c>
    </x:row>
    <x:row r="291" ht="15" hidden="0" customHeight="1">
      <x:c r="A291" t="n">
        <x:v>338</x:v>
      </x:c>
      <x:c r="B291" t="str">
        <x:v>YES</x:v>
      </x:c>
      <x:c r="C291" t="str"/>
      <x:c r="D291" t="str">
        <x:v>OFFER-834DF9656AA4</x:v>
      </x:c>
      <x:c r="E291" t="str">
        <x:v>SPEC-9681E11277B4</x:v>
      </x:c>
      <x:c r="F291" t="str">
        <x:v>RIM PANIC</x:v>
      </x:c>
      <x:c r="G291" t="str">
        <x:v>EL LEVER DOGGING</x:v>
      </x:c>
      <x:c r="H291" t="str">
        <x:v>PHI</x:v>
      </x:c>
      <x:c r="I291" t="str">
        <x:v>2400 BASE EL LOCK/UNLOCK</x:v>
      </x:c>
      <x:c r="J291" t="str">
        <x:v>PANIC RATED BASE</x:v>
      </x:c>
      <x:c r="K291" t="str"/>
      <x:c r="L291" t="str">
        <x:v>630</x:v>
      </x:c>
      <x:c r="M291" t="str"/>
      <x:c r="N291" t="str"/>
      <x:c r="O291" s="54" t="n">
        <x:v>5918</x:v>
      </x:c>
      <x:c r="P291" t="str"/>
    </x:row>
    <x:row r="292" ht="15" hidden="0" customHeight="1">
      <x:c r="A292" t="n">
        <x:v>339</x:v>
      </x:c>
      <x:c r="B292" t="str">
        <x:v>YES</x:v>
      </x:c>
      <x:c r="C292" t="str"/>
      <x:c r="D292" t="str">
        <x:v>OFFER-4C1667D806E4</x:v>
      </x:c>
      <x:c r="E292" t="str">
        <x:v>SPEC-558A3F2C2CA4</x:v>
      </x:c>
      <x:c r="F292" t="str">
        <x:v>RIM PANIC</x:v>
      </x:c>
      <x:c r="G292" t="str">
        <x:v>FIRE ADDER</x:v>
      </x:c>
      <x:c r="H292" t="str">
        <x:v>PHI</x:v>
      </x:c>
      <x:c r="I292" t="str"/>
      <x:c r="J292" t="str"/>
      <x:c r="K292" t="str"/>
      <x:c r="L292" t="str">
        <x:v>ACC</x:v>
      </x:c>
      <x:c r="M292" t="str"/>
      <x:c r="N292" t="str"/>
      <x:c r="O292" s="54" t="n">
        <x:v>292</x:v>
      </x:c>
      <x:c r="P292" t="str"/>
    </x:row>
    <x:row r="293" ht="15" hidden="0" customHeight="1">
      <x:c r="A293" t="n">
        <x:v>340</x:v>
      </x:c>
      <x:c r="B293" t="str">
        <x:v>YES</x:v>
      </x:c>
      <x:c r="C293" t="str"/>
      <x:c r="D293" t="str">
        <x:v>OFFER-3D2CE677E537</x:v>
      </x:c>
      <x:c r="E293" t="str">
        <x:v>SPEC-283CB2D05CC5</x:v>
      </x:c>
      <x:c r="F293" t="str">
        <x:v>RIM PANIC</x:v>
      </x:c>
      <x:c r="G293" t="str">
        <x:v>WIND ADDER</x:v>
      </x:c>
      <x:c r="H293" t="str">
        <x:v>PHI</x:v>
      </x:c>
      <x:c r="I293" t="str"/>
      <x:c r="J293" t="str"/>
      <x:c r="K293" t="str"/>
      <x:c r="L293" t="str">
        <x:v>ACC</x:v>
      </x:c>
      <x:c r="M293" t="str"/>
      <x:c r="N293" t="str"/>
      <x:c r="O293" s="54" t="n">
        <x:v>67</x:v>
      </x:c>
      <x:c r="P293" t="str"/>
    </x:row>
    <x:row r="294" ht="15" hidden="0" customHeight="1">
      <x:c r="A294" t="n">
        <x:v>341</x:v>
      </x:c>
      <x:c r="B294" t="str">
        <x:v>YES</x:v>
      </x:c>
      <x:c r="C294" t="str"/>
      <x:c r="D294" t="str">
        <x:v>OFFER-2ECB555036ED</x:v>
      </x:c>
      <x:c r="E294" t="str">
        <x:v>SPEC-20C076C9626B</x:v>
      </x:c>
      <x:c r="F294" t="str">
        <x:v>RIM PANIC</x:v>
      </x:c>
      <x:c r="G294" t="str">
        <x:v>TDI ADDER</x:v>
      </x:c>
      <x:c r="H294" t="str">
        <x:v>PHI</x:v>
      </x:c>
      <x:c r="I294" t="str"/>
      <x:c r="J294" t="str"/>
      <x:c r="K294" t="str"/>
      <x:c r="L294" t="str">
        <x:v>ACC</x:v>
      </x:c>
      <x:c r="M294" t="str"/>
      <x:c r="N294" t="str"/>
      <x:c r="O294" s="54" t="n">
        <x:v>67</x:v>
      </x:c>
      <x:c r="P294" t="str"/>
    </x:row>
    <x:row r="295" ht="15" hidden="0" customHeight="1">
      <x:c r="A295" t="n">
        <x:v>342</x:v>
      </x:c>
      <x:c r="B295" t="str">
        <x:v>YES</x:v>
      </x:c>
      <x:c r="C295" t="str"/>
      <x:c r="D295" t="str">
        <x:v>OFFER-7E3FA3CE3601</x:v>
      </x:c>
      <x:c r="E295" t="str">
        <x:v>SPEC-88554AFB1435</x:v>
      </x:c>
      <x:c r="F295" t="str">
        <x:v>RIM PANIC</x:v>
      </x:c>
      <x:c r="G295" t="str">
        <x:v>MLR ADDER</x:v>
      </x:c>
      <x:c r="H295" t="str">
        <x:v>PHI</x:v>
      </x:c>
      <x:c r="I295" t="str">
        <x:v>MORTORIZED LATCH RETRACTION</x:v>
      </x:c>
      <x:c r="J295" t="str"/>
      <x:c r="K295" t="str"/>
      <x:c r="L295" t="str">
        <x:v>ACC</x:v>
      </x:c>
      <x:c r="M295" t="str"/>
      <x:c r="N295" t="str"/>
      <x:c r="O295" s="54" t="n">
        <x:v>1577</x:v>
      </x:c>
      <x:c r="P295" t="str"/>
    </x:row>
    <x:row r="296" ht="15" hidden="0" customHeight="1">
      <x:c r="A296" t="n">
        <x:v>343</x:v>
      </x:c>
      <x:c r="B296" t="str">
        <x:v>YES</x:v>
      </x:c>
      <x:c r="C296" t="str"/>
      <x:c r="D296" t="str">
        <x:v>OFFER-4F376B0516E3</x:v>
      </x:c>
      <x:c r="E296" t="str">
        <x:v>SPEC-F0001889C9A7</x:v>
      </x:c>
      <x:c r="F296" t="str">
        <x:v>RIM PANIC</x:v>
      </x:c>
      <x:c r="G296" t="str">
        <x:v>LATCH BOLT MONITOR</x:v>
      </x:c>
      <x:c r="H296" t="str">
        <x:v>PHI</x:v>
      </x:c>
      <x:c r="I296" t="str"/>
      <x:c r="J296" t="str"/>
      <x:c r="K296" t="str"/>
      <x:c r="L296" t="str">
        <x:v>ACC</x:v>
      </x:c>
      <x:c r="M296" t="str"/>
      <x:c r="N296" t="str"/>
      <x:c r="O296" s="54" t="n">
        <x:v>372</x:v>
      </x:c>
      <x:c r="P296" t="str"/>
    </x:row>
    <x:row r="297" ht="15" hidden="0" customHeight="1">
      <x:c r="A297" t="n">
        <x:v>345</x:v>
      </x:c>
      <x:c r="B297" t="str">
        <x:v>YES</x:v>
      </x:c>
      <x:c r="C297" t="str"/>
      <x:c r="D297" t="str">
        <x:v>OFFER-6C522B2394D3</x:v>
      </x:c>
      <x:c r="E297" t="str">
        <x:v>SPEC-895F5591D942</x:v>
      </x:c>
      <x:c r="F297" t="str">
        <x:v>PHI RP LEVER TRIM</x:v>
      </x:c>
      <x:c r="G297" t="str">
        <x:v>ESC LEVER</x:v>
      </x:c>
      <x:c r="H297" t="str">
        <x:v>PHI</x:v>
      </x:c>
      <x:c r="I297" t="str">
        <x:v>4903A</x:v>
      </x:c>
      <x:c r="J297" t="str">
        <x:v>KEY RETRACTS LATCH</x:v>
      </x:c>
      <x:c r="K297" t="str"/>
      <x:c r="L297" t="str">
        <x:v>630</x:v>
      </x:c>
      <x:c r="M297" t="str"/>
      <x:c r="N297" t="str"/>
      <x:c r="O297" s="54" t="n">
        <x:v>1250</x:v>
      </x:c>
      <x:c r="P297" t="str"/>
    </x:row>
    <x:row r="298" ht="15" hidden="0" customHeight="1">
      <x:c r="A298" t="n">
        <x:v>346</x:v>
      </x:c>
      <x:c r="B298" t="str">
        <x:v>YES</x:v>
      </x:c>
      <x:c r="C298" t="str"/>
      <x:c r="D298" t="str">
        <x:v>OFFER-881263F3275E</x:v>
      </x:c>
      <x:c r="E298" t="str">
        <x:v>SPEC-17E12F75ACF6</x:v>
      </x:c>
      <x:c r="F298" t="str">
        <x:v>PHI RP LEVER TRIM</x:v>
      </x:c>
      <x:c r="G298" t="str">
        <x:v>ESC LEVER</x:v>
      </x:c>
      <x:c r="H298" t="str">
        <x:v>PHI</x:v>
      </x:c>
      <x:c r="I298" t="str">
        <x:v>4908A</x:v>
      </x:c>
      <x:c r="J298" t="str">
        <x:v>KEY LOCKS/UNLOCKS LEVER</x:v>
      </x:c>
      <x:c r="K298" t="str"/>
      <x:c r="L298" t="str">
        <x:v>630</x:v>
      </x:c>
      <x:c r="M298" t="str"/>
      <x:c r="N298" t="str"/>
      <x:c r="O298" s="54" t="n">
        <x:v>1250</x:v>
      </x:c>
      <x:c r="P298" t="str"/>
    </x:row>
    <x:row r="299" ht="15" hidden="0" customHeight="1">
      <x:c r="A299" t="n">
        <x:v>347</x:v>
      </x:c>
      <x:c r="B299" t="str">
        <x:v>YES</x:v>
      </x:c>
      <x:c r="C299" t="str"/>
      <x:c r="D299" t="str">
        <x:v>OFFER-B8F438161444</x:v>
      </x:c>
      <x:c r="E299" t="str">
        <x:v>SPEC-573D87063710</x:v>
      </x:c>
      <x:c r="F299" t="str">
        <x:v>PHI RP TP TRIM</x:v>
      </x:c>
      <x:c r="G299" t="str">
        <x:v>PULL TRIM THUMB</x:v>
      </x:c>
      <x:c r="H299" t="str">
        <x:v>PHI</x:v>
      </x:c>
      <x:c r="I299" t="str">
        <x:v>1705A</x:v>
      </x:c>
      <x:c r="J299" t="str">
        <x:v>KEY LOCKS UNLOCKS THUMB PIECE</x:v>
      </x:c>
      <x:c r="K299" t="str"/>
      <x:c r="L299" t="str">
        <x:v>630</x:v>
      </x:c>
      <x:c r="M299" t="str"/>
      <x:c r="N299" t="str"/>
      <x:c r="O299" s="54" t="n">
        <x:v>1250</x:v>
      </x:c>
      <x:c r="P299" t="str"/>
    </x:row>
    <x:row r="300" ht="15" hidden="0" customHeight="1">
      <x:c r="A300" t="n">
        <x:v>348</x:v>
      </x:c>
      <x:c r="B300" t="str">
        <x:v>YES</x:v>
      </x:c>
      <x:c r="C300" t="str"/>
      <x:c r="D300" t="str">
        <x:v>OFFER-FDFA8C0B544A</x:v>
      </x:c>
      <x:c r="E300" t="str">
        <x:v>SPEC-A097D4F851FA</x:v>
      </x:c>
      <x:c r="F300" t="str">
        <x:v>PHI RP TP TRIM</x:v>
      </x:c>
      <x:c r="G300" t="str">
        <x:v>PULL TRIM THUMB</x:v>
      </x:c>
      <x:c r="H300" t="str">
        <x:v>PHI</x:v>
      </x:c>
      <x:c r="I300" t="str">
        <x:v>1703A</x:v>
      </x:c>
      <x:c r="J300" t="str">
        <x:v>KEY RETRACTS LATCH</x:v>
      </x:c>
      <x:c r="K300" t="str"/>
      <x:c r="L300" t="str">
        <x:v>630</x:v>
      </x:c>
      <x:c r="M300" t="str"/>
      <x:c r="N300" t="str"/>
      <x:c r="O300" s="54" t="n">
        <x:v>1000</x:v>
      </x:c>
      <x:c r="P300" t="str"/>
    </x:row>
    <x:row r="301" ht="15" hidden="0" customHeight="1">
      <x:c r="A301" t="n">
        <x:v>349</x:v>
      </x:c>
      <x:c r="B301" t="str">
        <x:v>YES</x:v>
      </x:c>
      <x:c r="C301" t="str"/>
      <x:c r="D301" t="str">
        <x:v>OFFER-CC8966190185</x:v>
      </x:c>
      <x:c r="E301" t="str">
        <x:v>SPEC-8F99897C5F18</x:v>
      </x:c>
      <x:c r="F301" t="str">
        <x:v>PHI RP P TRIM</x:v>
      </x:c>
      <x:c r="G301" t="str">
        <x:v>PULL TRIM CYLINDER</x:v>
      </x:c>
      <x:c r="H301" t="str">
        <x:v>PHI</x:v>
      </x:c>
      <x:c r="I301" t="str">
        <x:v>1703A</x:v>
      </x:c>
      <x:c r="J301" t="str">
        <x:v>KEY RETRACTS LATCH</x:v>
      </x:c>
      <x:c r="K301" t="str"/>
      <x:c r="L301" t="str">
        <x:v>630</x:v>
      </x:c>
      <x:c r="M301" t="str"/>
      <x:c r="N301" t="str"/>
      <x:c r="O301" s="54" t="n">
        <x:v>1000</x:v>
      </x:c>
      <x:c r="P301" t="str"/>
    </x:row>
  </x:sheetData>
  <x:conditionalFormatting sqref="B2:B301">
    <x:cfRule type="containsText" dxfId="8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f5b277132e1742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4" hidden="0" customWidth="1"/>
    <x:col min="5" max="5" width="70" hidden="0" customWidth="1"/>
    <x:col min="6" max="6" width="36" hidden="0" customWidth="1"/>
  </x:cols>
  <x:sheetData>
    <x:row r="1" ht="34" hidden="0" customHeight="1">
      <x:c r="A1" s="34" t="str">
        <x:v>Sheet</x:v>
      </x:c>
      <x:c r="B1" s="34" t="str">
        <x:v>Field</x:v>
      </x:c>
      <x:c r="C1" s="34" t="str">
        <x:v>Data_Type</x:v>
      </x:c>
      <x:c r="D1" s="34" t="str">
        <x:v>Required</x:v>
      </x:c>
      <x:c r="E1" s="34" t="str">
        <x:v>Definition</x:v>
      </x:c>
      <x:c r="F1" s="34" t="str">
        <x:v>Recommended_Database_Field</x:v>
      </x:c>
    </x:row>
    <x:row r="2" ht="15" hidden="0" customHeight="1">
      <x:c r="A2" t="str">
        <x:v>Specs</x:v>
      </x:c>
      <x:c r="B2" t="str">
        <x:v>Spec_ID</x:v>
      </x:c>
      <x:c r="C2" t="str">
        <x:v>text</x:v>
      </x:c>
      <x:c r="D2" t="str">
        <x:v>Yes</x:v>
      </x:c>
      <x:c r="E2" s="45" t="str">
        <x:v>Stable primary key derived from canonical spec dimensions.</x:v>
      </x:c>
      <x:c r="F2" s="45" t="str">
        <x:v>hardware_specs.id</x:v>
      </x:c>
    </x:row>
    <x:row r="3" ht="15" hidden="0" customHeight="1">
      <x:c r="A3" t="str">
        <x:v>Specs</x:v>
      </x:c>
      <x:c r="B3" t="str">
        <x:v>Product_Category</x:v>
      </x:c>
      <x:c r="C3" t="str">
        <x:v>text</x:v>
      </x:c>
      <x:c r="D3" t="str">
        <x:v>Yes</x:v>
      </x:c>
      <x:c r="E3" s="45" t="str">
        <x:v>Top-level user selection: HINGE, CLOSER, LOCK, DEADBOLT, EXIT DEVICE, PANIC TRIM.</x:v>
      </x:c>
      <x:c r="F3" s="45" t="str">
        <x:v>hardware_specs.category</x:v>
      </x:c>
    </x:row>
    <x:row r="4" ht="15" hidden="0" customHeight="1">
      <x:c r="A4" t="str">
        <x:v>Specs</x:v>
      </x:c>
      <x:c r="B4" t="str">
        <x:v>Product_Subtype</x:v>
      </x:c>
      <x:c r="C4" t="str">
        <x:v>text</x:v>
      </x:c>
      <x:c r="D4" t="str">
        <x:v>Yes</x:v>
      </x:c>
      <x:c r="E4" s="45" t="str">
        <x:v>Vendor-neutral product form/type.</x:v>
      </x:c>
      <x:c r="F4" s="45" t="str">
        <x:v>hardware_specs.subtype</x:v>
      </x:c>
    </x:row>
    <x:row r="5" ht="15" hidden="0" customHeight="1">
      <x:c r="A5" t="str">
        <x:v>Specs</x:v>
      </x:c>
      <x:c r="B5" t="str">
        <x:v>Application</x:v>
      </x:c>
      <x:c r="C5" t="str">
        <x:v>text</x:v>
      </x:c>
      <x:c r="D5" t="str">
        <x:v>Conditional</x:v>
      </x:c>
      <x:c r="E5" s="45" t="str">
        <x:v>Mounting/application such as CYLINDRICAL, MORTISE, or RIM.</x:v>
      </x:c>
      <x:c r="F5" s="45" t="str">
        <x:v>hardware_specs.application</x:v>
      </x:c>
    </x:row>
    <x:row r="6" ht="26.399999618530273" hidden="0" customHeight="1">
      <x:c r="A6" t="str">
        <x:v>Specs</x:v>
      </x:c>
      <x:c r="B6" t="str">
        <x:v>Function</x:v>
      </x:c>
      <x:c r="C6" t="str">
        <x:v>text</x:v>
      </x:c>
      <x:c r="D6" t="str">
        <x:v>Conditional</x:v>
      </x:c>
      <x:c r="E6" s="45" t="str">
        <x:v>Operational function such as ENTRY, CLASSROOM, STOREROOM, or KEY RETRACTS LATCH.</x:v>
      </x:c>
      <x:c r="F6" s="45" t="str">
        <x:v>hardware_specs.function</x:v>
      </x:c>
    </x:row>
    <x:row r="7" ht="15" hidden="0" customHeight="1">
      <x:c r="A7" t="str">
        <x:v>Specs</x:v>
      </x:c>
      <x:c r="B7" t="str">
        <x:v>Keying</x:v>
      </x:c>
      <x:c r="C7" t="str">
        <x:v>text</x:v>
      </x:c>
      <x:c r="D7" t="str">
        <x:v>Conditional</x:v>
      </x:c>
      <x:c r="E7" s="45" t="str">
        <x:v>STANDARD, SFIC, LFIC, or NOT APPLICABLE.</x:v>
      </x:c>
      <x:c r="F7" s="45" t="str">
        <x:v>hardware_specs.keying</x:v>
      </x:c>
    </x:row>
    <x:row r="8" ht="15" hidden="0" customHeight="1">
      <x:c r="A8" t="str">
        <x:v>Specs</x:v>
      </x:c>
      <x:c r="B8" t="str">
        <x:v>Size</x:v>
      </x:c>
      <x:c r="C8" t="str">
        <x:v>text</x:v>
      </x:c>
      <x:c r="D8" t="str">
        <x:v>Conditional</x:v>
      </x:c>
      <x:c r="E8" s="45" t="str">
        <x:v>Vendor-neutral physical size or backset.</x:v>
      </x:c>
      <x:c r="F8" s="45" t="str">
        <x:v>hardware_specs.size</x:v>
      </x:c>
    </x:row>
    <x:row r="9" ht="15" hidden="0" customHeight="1">
      <x:c r="A9" t="str">
        <x:v>Specs</x:v>
      </x:c>
      <x:c r="B9" t="str">
        <x:v>Rating</x:v>
      </x:c>
      <x:c r="C9" t="str">
        <x:v>text</x:v>
      </x:c>
      <x:c r="D9" t="str">
        <x:v>Conditional</x:v>
      </x:c>
      <x:c r="E9" s="45" t="str">
        <x:v>PANIC, FIRE, WIND, TDI, or combined rating.</x:v>
      </x:c>
      <x:c r="F9" s="45" t="str">
        <x:v>hardware_specs.rating</x:v>
      </x:c>
    </x:row>
    <x:row r="10" ht="15" hidden="0" customHeight="1">
      <x:c r="A10" t="str">
        <x:v>Specs</x:v>
      </x:c>
      <x:c r="B10" t="str">
        <x:v>Duty_Grade</x:v>
      </x:c>
      <x:c r="C10" t="str">
        <x:v>text</x:v>
      </x:c>
      <x:c r="D10" t="str">
        <x:v>Conditional</x:v>
      </x:c>
      <x:c r="E10" s="45" t="str">
        <x:v>Closer duty/grade requirement.</x:v>
      </x:c>
      <x:c r="F10" s="45" t="str">
        <x:v>hardware_specs.duty_grade</x:v>
      </x:c>
    </x:row>
    <x:row r="11" ht="15" hidden="0" customHeight="1">
      <x:c r="A11" t="str">
        <x:v>Specs</x:v>
      </x:c>
      <x:c r="B11" t="str">
        <x:v>Mounting_Arm</x:v>
      </x:c>
      <x:c r="C11" t="str">
        <x:v>text</x:v>
      </x:c>
      <x:c r="D11" t="str">
        <x:v>Conditional</x:v>
      </x:c>
      <x:c r="E11" s="45" t="str">
        <x:v>Mounting or closer-arm requirement.</x:v>
      </x:c>
      <x:c r="F11" s="45" t="str">
        <x:v>hardware_specs.mounting_arm</x:v>
      </x:c>
    </x:row>
    <x:row r="12" ht="15" hidden="0" customHeight="1">
      <x:c r="A12" t="str">
        <x:v>Specs</x:v>
      </x:c>
      <x:c r="B12" t="str">
        <x:v>Thickness_Weight</x:v>
      </x:c>
      <x:c r="C12" t="str">
        <x:v>text</x:v>
      </x:c>
      <x:c r="D12" t="str">
        <x:v>Conditional</x:v>
      </x:c>
      <x:c r="E12" s="45" t="str">
        <x:v>Gauge/thickness/weight requirement when applicable.</x:v>
      </x:c>
      <x:c r="F12" s="45" t="str">
        <x:v>hardware_specs.thickness_weight</x:v>
      </x:c>
    </x:row>
    <x:row r="13" ht="15" hidden="0" customHeight="1">
      <x:c r="A13" t="str">
        <x:v>Specs</x:v>
      </x:c>
      <x:c r="B13" t="str">
        <x:v>Material</x:v>
      </x:c>
      <x:c r="C13" t="str">
        <x:v>text</x:v>
      </x:c>
      <x:c r="D13" t="str">
        <x:v>Conditional</x:v>
      </x:c>
      <x:c r="E13" s="45" t="str">
        <x:v>Vendor-neutral material requirement.</x:v>
      </x:c>
      <x:c r="F13" s="45" t="str">
        <x:v>hardware_specs.material</x:v>
      </x:c>
    </x:row>
    <x:row r="14" ht="15" hidden="0" customHeight="1">
      <x:c r="A14" t="str">
        <x:v>Specs</x:v>
      </x:c>
      <x:c r="B14" t="str">
        <x:v>Finish</x:v>
      </x:c>
      <x:c r="C14" t="str">
        <x:v>text</x:v>
      </x:c>
      <x:c r="D14" t="str">
        <x:v>Conditional</x:v>
      </x:c>
      <x:c r="E14" s="45" t="str">
        <x:v>Finish code/name, e.g. 626, 630, 689, CLEAR ANODIZED.</x:v>
      </x:c>
      <x:c r="F14" s="45" t="str">
        <x:v>hardware_specs.finish</x:v>
      </x:c>
    </x:row>
    <x:row r="15" ht="15" hidden="0" customHeight="1">
      <x:c r="A15" t="str">
        <x:v>Specs</x:v>
      </x:c>
      <x:c r="B15" t="str">
        <x:v>Electrical</x:v>
      </x:c>
      <x:c r="C15" t="str">
        <x:v>text</x:v>
      </x:c>
      <x:c r="D15" t="str">
        <x:v>Conditional</x:v>
      </x:c>
      <x:c r="E15" s="45" t="str">
        <x:v>Fail mode, electric dogging, latch retraction, or monitoring option.</x:v>
      </x:c>
      <x:c r="F15" s="45" t="str">
        <x:v>hardware_specs.electrical</x:v>
      </x:c>
    </x:row>
    <x:row r="16" ht="15" hidden="0" customHeight="1">
      <x:c r="A16" t="str">
        <x:v>Vendor Options</x:v>
      </x:c>
      <x:c r="B16" t="str">
        <x:v>Offer_ID</x:v>
      </x:c>
      <x:c r="C16" t="str">
        <x:v>text</x:v>
      </x:c>
      <x:c r="D16" t="str">
        <x:v>Yes</x:v>
      </x:c>
      <x:c r="E16" s="45" t="str">
        <x:v>Stable vendor-offer primary key.</x:v>
      </x:c>
      <x:c r="F16" s="45" t="str">
        <x:v>hardware_vendor_options.id</x:v>
      </x:c>
    </x:row>
    <x:row r="17" ht="15" hidden="0" customHeight="1">
      <x:c r="A17" t="str">
        <x:v>Vendor Options</x:v>
      </x:c>
      <x:c r="B17" t="str">
        <x:v>Spec_ID</x:v>
      </x:c>
      <x:c r="C17" t="str">
        <x:v>text</x:v>
      </x:c>
      <x:c r="D17" t="str">
        <x:v>Yes</x:v>
      </x:c>
      <x:c r="E17" s="45" t="str">
        <x:v>Foreign key to the vendor-neutral spec.</x:v>
      </x:c>
      <x:c r="F17" s="45" t="str">
        <x:v>hardware_vendor_options.spec_id</x:v>
      </x:c>
    </x:row>
    <x:row r="18" ht="15" hidden="0" customHeight="1">
      <x:c r="A18" t="str">
        <x:v>Vendor Options</x:v>
      </x:c>
      <x:c r="B18" t="str">
        <x:v>Manufacturer_Vendor</x:v>
      </x:c>
      <x:c r="C18" t="str">
        <x:v>text</x:v>
      </x:c>
      <x:c r="D18" t="str">
        <x:v>Yes</x:v>
      </x:c>
      <x:c r="E18" s="45" t="str">
        <x:v>Manufacturer/vendor code selected only after a spec match.</x:v>
      </x:c>
      <x:c r="F18" s="45" t="str">
        <x:v>hardware_vendor_options.vendor_code</x:v>
      </x:c>
    </x:row>
    <x:row r="19" ht="15" hidden="0" customHeight="1">
      <x:c r="A19" t="str">
        <x:v>Vendor Options</x:v>
      </x:c>
      <x:c r="B19" t="str">
        <x:v>Vendor_Series</x:v>
      </x:c>
      <x:c r="C19" t="str">
        <x:v>text</x:v>
      </x:c>
      <x:c r="D19" t="str">
        <x:v>No</x:v>
      </x:c>
      <x:c r="E19" s="45" t="str">
        <x:v>Manufacturer-specific series/family.</x:v>
      </x:c>
      <x:c r="F19" s="45" t="str">
        <x:v>hardware_vendor_options.series</x:v>
      </x:c>
    </x:row>
    <x:row r="20" ht="15" hidden="0" customHeight="1">
      <x:c r="A20" t="str">
        <x:v>Vendor Options</x:v>
      </x:c>
      <x:c r="B20" t="str">
        <x:v>Vendor_Model</x:v>
      </x:c>
      <x:c r="C20" t="str">
        <x:v>text</x:v>
      </x:c>
      <x:c r="D20" t="str">
        <x:v>No</x:v>
      </x:c>
      <x:c r="E20" s="45" t="str">
        <x:v>Manufacturer-specific model/configuration.</x:v>
      </x:c>
      <x:c r="F20" s="45" t="str">
        <x:v>hardware_vendor_options.model</x:v>
      </x:c>
    </x:row>
    <x:row r="21" ht="15" hidden="0" customHeight="1">
      <x:c r="A21" t="str">
        <x:v>Vendor Options</x:v>
      </x:c>
      <x:c r="B21" t="str">
        <x:v>Manufacturer_Part_Number</x:v>
      </x:c>
      <x:c r="C21" t="str">
        <x:v>text</x:v>
      </x:c>
      <x:c r="D21" t="str">
        <x:v>Yes</x:v>
      </x:c>
      <x:c r="E21" s="45" t="str">
        <x:v>Orderable manufacturer part/configuration number.</x:v>
      </x:c>
      <x:c r="F21" s="45" t="str">
        <x:v>hardware_vendor_options.part_number</x:v>
      </x:c>
    </x:row>
    <x:row r="22" ht="15" hidden="0" customHeight="1">
      <x:c r="A22" t="str">
        <x:v>Vendor Options</x:v>
      </x:c>
      <x:c r="B22" t="str">
        <x:v>List_Price</x:v>
      </x:c>
      <x:c r="C22" t="str">
        <x:v>decimal(12,2)</x:v>
      </x:c>
      <x:c r="D22" t="str">
        <x:v>Conditional</x:v>
      </x:c>
      <x:c r="E22" s="45" t="str">
        <x:v>Vendor list price in Currency.</x:v>
      </x:c>
      <x:c r="F22" s="45" t="str">
        <x:v>hardware_vendor_prices.list_price</x:v>
      </x:c>
    </x:row>
    <x:row r="23" ht="15" hidden="0" customHeight="1">
      <x:c r="A23" t="str">
        <x:v>Vendor Options</x:v>
      </x:c>
      <x:c r="B23" t="str">
        <x:v>Discount_1</x:v>
      </x:c>
      <x:c r="C23" t="str">
        <x:v>decimal(6,5)</x:v>
      </x:c>
      <x:c r="D23" t="str">
        <x:v>No</x:v>
      </x:c>
      <x:c r="E23" s="45" t="str">
        <x:v>First sequential discount as a decimal.</x:v>
      </x:c>
      <x:c r="F23" s="45" t="str">
        <x:v>hardware_vendor_prices.discount_1</x:v>
      </x:c>
    </x:row>
    <x:row r="24" ht="15" hidden="0" customHeight="1">
      <x:c r="A24" t="str">
        <x:v>Vendor Options</x:v>
      </x:c>
      <x:c r="B24" t="str">
        <x:v>Discount_2</x:v>
      </x:c>
      <x:c r="C24" t="str">
        <x:v>decimal(6,5)</x:v>
      </x:c>
      <x:c r="D24" t="str">
        <x:v>No</x:v>
      </x:c>
      <x:c r="E24" s="45" t="str">
        <x:v>Second sequential discount for chains such as 50/70.</x:v>
      </x:c>
      <x:c r="F24" s="45" t="str">
        <x:v>hardware_vendor_prices.discount_2</x:v>
      </x:c>
    </x:row>
    <x:row r="25" ht="15" hidden="0" customHeight="1">
      <x:c r="A25" t="str">
        <x:v>Vendor Options</x:v>
      </x:c>
      <x:c r="B25" t="str">
        <x:v>Net_Price</x:v>
      </x:c>
      <x:c r="C25" t="str">
        <x:v>decimal(12,2)</x:v>
      </x:c>
      <x:c r="D25" t="str">
        <x:v>Derived</x:v>
      </x:c>
      <x:c r="E25" s="45" t="str">
        <x:v>List_Price × (1 − Discount_1) × (1 − Discount_2).</x:v>
      </x:c>
      <x:c r="F25" s="45" t="str">
        <x:v>hardware_vendor_prices.net_price</x:v>
      </x:c>
    </x:row>
    <x:row r="26" ht="15" hidden="0" customHeight="1">
      <x:c r="A26" t="str">
        <x:v>Vendor Options</x:v>
      </x:c>
      <x:c r="B26" t="str">
        <x:v>Price_Status</x:v>
      </x:c>
      <x:c r="C26" t="str">
        <x:v>text</x:v>
      </x:c>
      <x:c r="D26" t="str">
        <x:v>Derived</x:v>
      </x:c>
      <x:c r="E26" s="45" t="str">
        <x:v>PRICED or UNPRICED.</x:v>
      </x:c>
      <x:c r="F26" s="45" t="str">
        <x:v>staging only</x:v>
      </x:c>
    </x:row>
    <x:row r="27" ht="15" hidden="0" customHeight="1">
      <x:c r="A27" t="str">
        <x:v>Vendor Options</x:v>
      </x:c>
      <x:c r="B27" t="str">
        <x:v>Data_Status</x:v>
      </x:c>
      <x:c r="C27" t="str">
        <x:v>text</x:v>
      </x:c>
      <x:c r="D27" t="str">
        <x:v>Derived</x:v>
      </x:c>
      <x:c r="E27" s="45" t="str">
        <x:v>ACTIVE or REVIEW based on blocking QA flags.</x:v>
      </x:c>
      <x:c r="F27" s="45" t="str">
        <x:v>staging only</x:v>
      </x:c>
    </x:row>
    <x:row r="28" ht="15" hidden="0" customHeight="1">
      <x:c r="A28" t="str">
        <x:v>Vendor Options</x:v>
      </x:c>
      <x:c r="B28" t="str">
        <x:v>Source_Row</x:v>
      </x:c>
      <x:c r="C28" t="str">
        <x:v>integer</x:v>
      </x:c>
      <x:c r="D28" t="str">
        <x:v>Yes</x:v>
      </x:c>
      <x:c r="E28" s="45" t="str">
        <x:v>Original Numbers workbook row for audit traceability.</x:v>
      </x:c>
      <x:c r="F28" s="45" t="str">
        <x:v>staging.source_row</x:v>
      </x:c>
    </x:row>
  </x:sheetData>
  <x:pageMargins left="0.7" right="0.7" top="0.75" bottom="0.75" header="0.3" footer="0.3"/>
  <x:tableParts count="1">
    <x:tablePart xmlns:r="http://schemas.openxmlformats.org/officeDocument/2006/relationships" r:id="R0dc61f56e1f145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60" hidden="0" customWidth="1"/>
  </x:cols>
  <x:sheetData>
    <x:row r="1" ht="34" hidden="0" customHeight="1">
      <x:c r="A1" s="34" t="str">
        <x:v>Field</x:v>
      </x:c>
      <x:c r="B1" s="34" t="str">
        <x:v>Source_Value</x:v>
      </x:c>
      <x:c r="C1" s="34" t="str">
        <x:v>Canonical_Value</x:v>
      </x:c>
      <x:c r="D1" s="34" t="str">
        <x:v>Rule_Note</x:v>
      </x:c>
    </x:row>
    <x:row r="2" ht="15" hidden="0" customHeight="1">
      <x:c r="A2" t="str">
        <x:v>Category</x:v>
      </x:c>
      <x:c r="B2" s="45" t="str">
        <x:v>HINGES</x:v>
      </x:c>
      <x:c r="C2" s="45" t="str">
        <x:v>HINGE</x:v>
      </x:c>
      <x:c r="D2" s="45" t="str">
        <x:v>Plural source label normalized.</x:v>
      </x:c>
    </x:row>
    <x:row r="3" ht="15" hidden="0" customHeight="1">
      <x:c r="A3" t="str">
        <x:v>Category</x:v>
      </x:c>
      <x:c r="B3" s="45" t="str">
        <x:v>DBOLT</x:v>
      </x:c>
      <x:c r="C3" s="45" t="str">
        <x:v>DEADBOLT</x:v>
      </x:c>
      <x:c r="D3" s="45" t="str">
        <x:v>Source abbreviation normalized.</x:v>
      </x:c>
    </x:row>
    <x:row r="4" ht="15" hidden="0" customHeight="1">
      <x:c r="A4" t="str">
        <x:v>Category</x:v>
      </x:c>
      <x:c r="B4" s="45" t="str">
        <x:v>CYLINDRICAL LOCK</x:v>
      </x:c>
      <x:c r="C4" s="45" t="str">
        <x:v>LOCK / CYLINDRICAL LOCK</x:v>
      </x:c>
      <x:c r="D4" s="45" t="str">
        <x:v>Category and subtype separated.</x:v>
      </x:c>
    </x:row>
    <x:row r="5" ht="15" hidden="0" customHeight="1">
      <x:c r="A5" t="str">
        <x:v>Category</x:v>
      </x:c>
      <x:c r="B5" s="45" t="str">
        <x:v>MORTISE LOCK</x:v>
      </x:c>
      <x:c r="C5" s="45" t="str">
        <x:v>LOCK / MORTISE LOCK</x:v>
      </x:c>
      <x:c r="D5" s="45" t="str">
        <x:v>Category and application separated.</x:v>
      </x:c>
    </x:row>
    <x:row r="6" ht="15" hidden="0" customHeight="1">
      <x:c r="A6" t="str">
        <x:v>Category</x:v>
      </x:c>
      <x:c r="B6" s="45" t="str">
        <x:v>MORTISE PANIC</x:v>
      </x:c>
      <x:c r="C6" s="45" t="str">
        <x:v>EXIT DEVICE / MORTISE</x:v>
      </x:c>
      <x:c r="D6" s="45" t="str">
        <x:v>Vendor-neutral category and application separated.</x:v>
      </x:c>
    </x:row>
    <x:row r="7" ht="15" hidden="0" customHeight="1">
      <x:c r="A7" t="str">
        <x:v>Category</x:v>
      </x:c>
      <x:c r="B7" s="45" t="str">
        <x:v>RIM PANIC</x:v>
      </x:c>
      <x:c r="C7" s="45" t="str">
        <x:v>EXIT DEVICE / RIM</x:v>
      </x:c>
      <x:c r="D7" s="45" t="str">
        <x:v>Vendor-neutral category and application separated.</x:v>
      </x:c>
    </x:row>
    <x:row r="8" ht="15" hidden="0" customHeight="1">
      <x:c r="A8" t="str">
        <x:v>Subtype</x:v>
      </x:c>
      <x:c r="B8" s="45" t="str">
        <x:v>CONTINUOS PIN</x:v>
      </x:c>
      <x:c r="C8" s="45" t="str">
        <x:v>CONTINUOUS PIN HINGE</x:v>
      </x:c>
      <x:c r="D8" s="45" t="str">
        <x:v>Spelling corrected.</x:v>
      </x:c>
    </x:row>
    <x:row r="9" ht="15" hidden="0" customHeight="1">
      <x:c r="A9" t="str">
        <x:v>Subtype</x:v>
      </x:c>
      <x:c r="B9" s="45" t="str">
        <x:v>POWER TRSFR</x:v>
      </x:c>
      <x:c r="C9" s="45" t="str">
        <x:v>POWER TRANSFER HINGE</x:v>
      </x:c>
      <x:c r="D9" s="45" t="str">
        <x:v>Abbreviation expanded.</x:v>
      </x:c>
    </x:row>
    <x:row r="10" ht="26.399999618530273" hidden="0" customHeight="1">
      <x:c r="A10" t="str">
        <x:v>Function</x:v>
      </x:c>
      <x:c r="B10" s="45" t="str">
        <x:v>DORMITORY; DORM/CORRIDOR; CORIDOR/DORM</x:v>
      </x:c>
      <x:c r="C10" s="45" t="str">
        <x:v>DORMITORY / CORRIDOR</x:v>
      </x:c>
      <x:c r="D10" s="45" t="str">
        <x:v>Equivalent function descriptions grouped.</x:v>
      </x:c>
    </x:row>
    <x:row r="11" ht="15" hidden="0" customHeight="1">
      <x:c r="A11" t="str">
        <x:v>Function</x:v>
      </x:c>
      <x:c r="B11" s="45" t="str">
        <x:v>ENTRANCE</x:v>
      </x:c>
      <x:c r="C11" s="45" t="str">
        <x:v>ENTRY</x:v>
      </x:c>
      <x:c r="D11" s="45" t="str">
        <x:v>Equivalent lock function descriptions grouped.</x:v>
      </x:c>
    </x:row>
    <x:row r="12" ht="15" hidden="0" customHeight="1">
      <x:c r="A12" t="str">
        <x:v>Keying</x:v>
      </x:c>
      <x:c r="B12" s="45" t="str">
        <x:v>ICB</x:v>
      </x:c>
      <x:c r="C12" s="45" t="str">
        <x:v>SFIC</x:v>
      </x:c>
      <x:c r="D12" s="45" t="str">
        <x:v>Source suffix mapped to its stated core format.</x:v>
      </x:c>
    </x:row>
    <x:row r="13" ht="15" hidden="0" customHeight="1">
      <x:c r="A13" t="str">
        <x:v>Keying</x:v>
      </x:c>
      <x:c r="B13" s="45" t="str">
        <x:v>ICS</x:v>
      </x:c>
      <x:c r="C13" s="45" t="str">
        <x:v>LFIC</x:v>
      </x:c>
      <x:c r="D13" s="45" t="str">
        <x:v>Source suffix mapped to its stated core format.</x:v>
      </x:c>
    </x:row>
    <x:row r="14" ht="15" hidden="0" customHeight="1">
      <x:c r="A14" t="str">
        <x:v>Material</x:v>
      </x:c>
      <x:c r="B14" s="45" t="str">
        <x:v>304SS; 304 SS</x:v>
      </x:c>
      <x:c r="C14" s="45" t="str">
        <x:v>304 STAINLESS STEEL</x:v>
      </x:c>
      <x:c r="D14" s="45" t="str">
        <x:v>Whitespace and abbreviation normalized.</x:v>
      </x:c>
    </x:row>
    <x:row r="15" ht="15" hidden="0" customHeight="1">
      <x:c r="A15" t="str">
        <x:v>Material</x:v>
      </x:c>
      <x:c r="B15" s="45" t="str">
        <x:v>316 SS</x:v>
      </x:c>
      <x:c r="C15" s="45" t="str">
        <x:v>316 STAINLESS STEEL</x:v>
      </x:c>
      <x:c r="D15" s="45" t="str">
        <x:v>Abbreviation expanded.</x:v>
      </x:c>
    </x:row>
    <x:row r="16" ht="15" hidden="0" customHeight="1">
      <x:c r="A16" t="str">
        <x:v>Finish</x:v>
      </x:c>
      <x:c r="B16" s="45" t="str">
        <x:v>CLEAR AN</x:v>
      </x:c>
      <x:c r="C16" s="45" t="str">
        <x:v>CLEAR ANODIZED</x:v>
      </x:c>
      <x:c r="D16" s="45" t="str">
        <x:v>Abbreviation expanded.</x:v>
      </x:c>
    </x:row>
  </x:sheetData>
  <x:pageMargins left="0.7" right="0.7" top="0.75" bottom="0.75" header="0.3" footer="0.3"/>
  <x:tableParts count="1">
    <x:tablePart xmlns:r="http://schemas.openxmlformats.org/officeDocument/2006/relationships" r:id="R2b5b1a4bd61749d2"/>
  </x:tableParts>
</x:worksheet>
</file>