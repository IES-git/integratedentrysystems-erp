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atedentrysystems180.sharepoint.com/sites/IntegratedEntrySolutions/Shared Documents/IES Folders/1_NEW QUOTE SYSTEM/Waffl/"/>
    </mc:Choice>
  </mc:AlternateContent>
  <xr:revisionPtr revIDLastSave="1403" documentId="8_{6F598CDC-9732-494C-AC48-5705702E61AB}" xr6:coauthVersionLast="47" xr6:coauthVersionMax="47" xr10:uidLastSave="{76631B43-2E5C-41D1-9FB4-BD2920B6BB6A}"/>
  <bookViews>
    <workbookView xWindow="-108" yWindow="13020" windowWidth="23256" windowHeight="12456" xr2:uid="{D976408D-2D80-4568-BD48-F6F3832EA5B4}"/>
  </bookViews>
  <sheets>
    <sheet name="HARDWARE" sheetId="4" r:id="rId1"/>
    <sheet name="DOOR" sheetId="1" r:id="rId2"/>
    <sheet name="Sheet1" sheetId="3" r:id="rId3"/>
    <sheet name="FRAME" sheetId="2" r:id="rId4"/>
    <sheet name="door table" sheetId="5" r:id="rId5"/>
    <sheet name="frame 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9" i="6" l="1"/>
  <c r="Q109" i="6"/>
  <c r="N109" i="6"/>
  <c r="L109" i="6"/>
  <c r="H109" i="6"/>
  <c r="F109" i="6"/>
  <c r="S99" i="6"/>
  <c r="Q99" i="6"/>
  <c r="N99" i="6"/>
  <c r="L99" i="6"/>
  <c r="H99" i="6"/>
  <c r="F99" i="6"/>
  <c r="S97" i="6"/>
  <c r="S100" i="6" s="1"/>
  <c r="Q97" i="6"/>
  <c r="Q100" i="6" s="1"/>
  <c r="N97" i="6"/>
  <c r="N100" i="6" s="1"/>
  <c r="L97" i="6"/>
  <c r="L100" i="6" s="1"/>
  <c r="H97" i="6"/>
  <c r="H100" i="6" s="1"/>
  <c r="F97" i="6"/>
  <c r="F100" i="6" s="1"/>
  <c r="D58" i="6" l="1"/>
  <c r="D56" i="6"/>
  <c r="D59" i="6" s="1"/>
  <c r="S58" i="6"/>
  <c r="S56" i="6"/>
  <c r="S59" i="6" s="1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R56" i="6"/>
  <c r="R59" i="6" s="1"/>
  <c r="Q56" i="6"/>
  <c r="Q59" i="6" s="1"/>
  <c r="P56" i="6"/>
  <c r="P59" i="6" s="1"/>
  <c r="O56" i="6"/>
  <c r="O59" i="6" s="1"/>
  <c r="N56" i="6"/>
  <c r="N59" i="6" s="1"/>
  <c r="M56" i="6"/>
  <c r="M59" i="6" s="1"/>
  <c r="L56" i="6"/>
  <c r="L59" i="6" s="1"/>
  <c r="K56" i="6"/>
  <c r="K59" i="6" s="1"/>
  <c r="J56" i="6"/>
  <c r="J59" i="6" s="1"/>
  <c r="I56" i="6"/>
  <c r="I59" i="6" s="1"/>
  <c r="H56" i="6"/>
  <c r="H59" i="6" s="1"/>
  <c r="G56" i="6"/>
  <c r="G59" i="6" s="1"/>
  <c r="F56" i="6"/>
  <c r="F59" i="6" s="1"/>
  <c r="E56" i="6"/>
  <c r="E59" i="6" s="1"/>
  <c r="S44" i="6"/>
  <c r="S47" i="6" s="1"/>
  <c r="R9" i="6"/>
  <c r="R7" i="6"/>
  <c r="R10" i="6" s="1"/>
  <c r="F81" i="6"/>
  <c r="F80" i="6"/>
  <c r="F77" i="6"/>
  <c r="I20" i="6"/>
  <c r="I18" i="6"/>
  <c r="I21" i="6" s="1"/>
  <c r="I7" i="6"/>
  <c r="I10" i="6" s="1"/>
  <c r="I9" i="6"/>
  <c r="I46" i="6"/>
  <c r="F47" i="6"/>
  <c r="E47" i="6"/>
  <c r="S46" i="6"/>
  <c r="R46" i="6"/>
  <c r="Q46" i="6"/>
  <c r="P46" i="6"/>
  <c r="O46" i="6"/>
  <c r="N46" i="6"/>
  <c r="M46" i="6"/>
  <c r="L46" i="6"/>
  <c r="K46" i="6"/>
  <c r="J46" i="6"/>
  <c r="H46" i="6"/>
  <c r="G46" i="6"/>
  <c r="F46" i="6"/>
  <c r="E46" i="6"/>
  <c r="D46" i="6"/>
  <c r="I44" i="6"/>
  <c r="I47" i="6" s="1"/>
  <c r="S20" i="6"/>
  <c r="J44" i="6"/>
  <c r="J47" i="6" s="1"/>
  <c r="K44" i="6"/>
  <c r="K47" i="6" s="1"/>
  <c r="L44" i="6"/>
  <c r="L47" i="6" s="1"/>
  <c r="M44" i="6"/>
  <c r="M47" i="6" s="1"/>
  <c r="N44" i="6"/>
  <c r="N47" i="6" s="1"/>
  <c r="O44" i="6"/>
  <c r="O47" i="6" s="1"/>
  <c r="P44" i="6"/>
  <c r="P47" i="6" s="1"/>
  <c r="Q44" i="6"/>
  <c r="Q47" i="6" s="1"/>
  <c r="R44" i="6"/>
  <c r="R47" i="6" s="1"/>
  <c r="E44" i="6"/>
  <c r="F44" i="6"/>
  <c r="G44" i="6"/>
  <c r="G47" i="6" s="1"/>
  <c r="H44" i="6"/>
  <c r="H47" i="6" s="1"/>
  <c r="D23" i="6"/>
  <c r="S18" i="6"/>
  <c r="S21" i="6" s="1"/>
  <c r="V18" i="6"/>
  <c r="Q18" i="6"/>
  <c r="Q21" i="6" s="1"/>
  <c r="D44" i="6"/>
  <c r="R20" i="6"/>
  <c r="Q20" i="6"/>
  <c r="P20" i="6"/>
  <c r="O20" i="6"/>
  <c r="N20" i="6"/>
  <c r="M20" i="6"/>
  <c r="L20" i="6"/>
  <c r="K20" i="6"/>
  <c r="J20" i="6"/>
  <c r="H20" i="6"/>
  <c r="G20" i="6"/>
  <c r="F20" i="6"/>
  <c r="E20" i="6"/>
  <c r="D20" i="6"/>
  <c r="E9" i="6"/>
  <c r="F9" i="6"/>
  <c r="G9" i="6"/>
  <c r="H9" i="6"/>
  <c r="J9" i="6"/>
  <c r="K9" i="6"/>
  <c r="L9" i="6"/>
  <c r="M9" i="6"/>
  <c r="N9" i="6"/>
  <c r="O9" i="6"/>
  <c r="P9" i="6"/>
  <c r="Q9" i="6"/>
  <c r="S9" i="6"/>
  <c r="D9" i="6"/>
  <c r="D18" i="6"/>
  <c r="D21" i="6" s="1"/>
  <c r="E18" i="6"/>
  <c r="E21" i="6" s="1"/>
  <c r="F18" i="6"/>
  <c r="F21" i="6" s="1"/>
  <c r="G18" i="6"/>
  <c r="G21" i="6" s="1"/>
  <c r="H18" i="6"/>
  <c r="H21" i="6" s="1"/>
  <c r="J18" i="6"/>
  <c r="J21" i="6" s="1"/>
  <c r="K18" i="6"/>
  <c r="K21" i="6" s="1"/>
  <c r="L18" i="6"/>
  <c r="L21" i="6" s="1"/>
  <c r="M18" i="6"/>
  <c r="M21" i="6" s="1"/>
  <c r="N18" i="6"/>
  <c r="N21" i="6" s="1"/>
  <c r="O18" i="6"/>
  <c r="O21" i="6" s="1"/>
  <c r="P18" i="6"/>
  <c r="P21" i="6" s="1"/>
  <c r="R18" i="6"/>
  <c r="R21" i="6" s="1"/>
  <c r="W18" i="6"/>
  <c r="M7" i="6"/>
  <c r="M10" i="6" s="1"/>
  <c r="D7" i="6"/>
  <c r="D10" i="6" s="1"/>
  <c r="E7" i="6"/>
  <c r="E10" i="6" s="1"/>
  <c r="F7" i="6"/>
  <c r="F10" i="6" s="1"/>
  <c r="H7" i="6"/>
  <c r="H10" i="6" s="1"/>
  <c r="J7" i="6"/>
  <c r="J10" i="6" s="1"/>
  <c r="K7" i="6"/>
  <c r="K10" i="6" s="1"/>
  <c r="L7" i="6"/>
  <c r="L10" i="6" s="1"/>
  <c r="N7" i="6"/>
  <c r="N10" i="6" s="1"/>
  <c r="O7" i="6"/>
  <c r="O10" i="6" s="1"/>
  <c r="P7" i="6"/>
  <c r="P10" i="6" s="1"/>
  <c r="Q7" i="6"/>
  <c r="Q10" i="6" s="1"/>
  <c r="S7" i="6"/>
  <c r="S10" i="6" s="1"/>
  <c r="V7" i="6"/>
  <c r="W7" i="6"/>
  <c r="G7" i="6"/>
  <c r="G10" i="6" s="1"/>
  <c r="D24" i="6" l="1"/>
  <c r="D47" i="6"/>
  <c r="D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tc={0B9B05E3-EC73-470C-A4CF-FA52E883922D}</author>
    <author>tc={85ECDE37-1B38-43E7-9BA3-0B6B411A055A}</author>
    <author>tc={ECB2DF65-01A3-4C17-BA57-23D9BB2FCC78}</author>
    <author>tc={9F7FA8E6-2D26-477F-82DB-677571017920}</author>
  </authors>
  <commentList>
    <comment ref="E5" authorId="0" shapeId="0" xr:uid="{0B9B05E3-EC73-470C-A4CF-FA52E883922D}">
      <text>
        <t>[Threaded comment]
Your version of Excel allows you to read this threaded comment; however, any edits to it will get removed if the file is opened in a newer version of Excel. Learn more: https://go.microsoft.com/fwlink/?linkid=870924
Comment:
    ITEMS IN RED ARE MOST USED</t>
      </text>
    </comment>
    <comment ref="E16" authorId="1" shapeId="0" xr:uid="{85ECDE37-1B38-43E7-9BA3-0B6B411A055A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CYLINDRICAL LOCKS CAN BE MECHANICAL OR ELECTRICAL (LESS OFTEN USED)
ELECTRICAL LOCKS NEED AN ELECTRICAL HINGE IN DOOR AND FRAME</t>
      </text>
    </comment>
    <comment ref="E31" authorId="2" shapeId="0" xr:uid="{ECB2DF65-01A3-4C17-BA57-23D9BB2F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CYLINDRICAL LOCKS CAN BE MECHANICAL OR ELECTRICAL (LESS OFTEN USED)
ELECTRICAL LOCKS NEED AN ELECTRICAL HINGE IN DOOR AND FRAME</t>
      </text>
    </comment>
    <comment ref="E45" authorId="3" shapeId="0" xr:uid="{9F7FA8E6-2D26-477F-82DB-6775710179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MOST OFTEN USED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tc={87808E5D-C342-4B17-90E3-A945A1B5A4FE}</author>
    <author>tc={45CE1B68-B562-49C8-9D89-22A0DFA4526A}</author>
    <author>tc={3EE361F4-3D9E-4487-9838-C4AFB3134C9A}</author>
  </authors>
  <commentList>
    <comment ref="D4" authorId="0" shapeId="0" xr:uid="{87808E5D-C342-4B17-90E3-A945A1B5A4FE}">
      <text>
        <t>[Threaded comment]
Your version of Excel allows you to read this threaded comment; however, any edits to it will get removed if the file is opened in a newer version of Excel. Learn more: https://go.microsoft.com/fwlink/?linkid=870924
Comment:
    LP:  STYRENE HANDED
UP: STYRENE NOT HANDED
MS: STEEL RIBBED HANDED</t>
      </text>
    </comment>
    <comment ref="F4" authorId="1" shapeId="0" xr:uid="{45CE1B68-B562-49C8-9D89-22A0DFA4526A}">
      <text>
        <t>[Threaded comment]
Your version of Excel allows you to read this threaded comment; however, any edits to it will get removed if the file is opened in a newer version of Excel. Learn more: https://go.microsoft.com/fwlink/?linkid=870924
Comment:
    GL4:  A40
GL9:  A90
CRS:  COLD ROLLED STEEL</t>
      </text>
    </comment>
    <comment ref="K4" authorId="2" shapeId="0" xr:uid="{3EE361F4-3D9E-4487-9838-C4AFB3134C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UC12 = ¾" UNDERCUT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tc={715628C2-37E2-4396-8B37-DF4F872DF2C6}</author>
    <author>tc={3FC309A9-D5DE-451D-9FB4-252387AC97A3}</author>
    <author>tc={03DBD3CE-D56A-4E22-89A1-501FEE767606}</author>
    <author>tc={60508563-5A47-4117-BA2F-763052DB13C2}</author>
    <author>tc={A180A70A-116D-4C18-8EC6-8D28434BB532}</author>
    <author>tc={2B80BF7C-22E2-4CB4-A13C-07568A18773B}</author>
  </authors>
  <commentList>
    <comment ref="E2" authorId="0" shapeId="0" xr:uid="{715628C2-37E2-4396-8B37-DF4F872DF2C6}">
      <text>
        <t>[Threaded comment]
Your version of Excel allows you to read this threaded comment; however, any edits to it will get removed if the file is opened in a newer version of Excel. Learn more: https://go.microsoft.com/fwlink/?linkid=870924
Comment:
    A40</t>
      </text>
    </comment>
    <comment ref="G2" authorId="1" shapeId="0" xr:uid="{3FC309A9-D5DE-451D-9FB4-252387AC97A3}">
      <text>
        <t>[Threaded comment]
Your version of Excel allows you to read this threaded comment; however, any edits to it will get removed if the file is opened in a newer version of Excel. Learn more: https://go.microsoft.com/fwlink/?linkid=870924
Comment:
    BETWEEN RETURNS</t>
      </text>
    </comment>
    <comment ref="K2" authorId="2" shapeId="0" xr:uid="{03DBD3CE-D56A-4E22-89A1-501FEE76760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STRIKE (ASA)
R (RIM)</t>
      </text>
    </comment>
    <comment ref="L2" authorId="3" shapeId="0" xr:uid="{60508563-5A47-4117-BA2F-763052DB13C2}">
      <text>
        <t>[Threaded comment]
Your version of Excel allows you to read this threaded comment; however, any edits to it will get removed if the file is opened in a newer version of Excel. Learn more: https://go.microsoft.com/fwlink/?linkid=870924
Comment:
    KNOCKED DOWN</t>
      </text>
    </comment>
    <comment ref="M2" authorId="4" shapeId="0" xr:uid="{A180A70A-116D-4C18-8EC6-8D28434BB532}">
      <text>
        <t>[Threaded comment]
Your version of Excel allows you to read this threaded comment; however, any edits to it will get removed if the file is opened in a newer version of Excel. Learn more: https://go.microsoft.com/fwlink/?linkid=870924
Comment:
    TAB &amp; BUNDLE</t>
      </text>
    </comment>
    <comment ref="N2" authorId="5" shapeId="0" xr:uid="{2B80BF7C-22E2-4CB4-A13C-07568A18773B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CLOSER REINF_PAC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tc={40728FC1-D451-4EDE-BFF0-DAA285129ADE}</author>
  </authors>
  <commentList>
    <comment ref="G2" authorId="0" shapeId="0" xr:uid="{40728FC1-D451-4EDE-BFF0-DAA285129ADE}">
      <text>
        <t>[Threaded comment]
Your version of Excel allows you to read this threaded comment; however, any edits to it will get removed if the file is opened in a newer version of Excel. Learn more: https://go.microsoft.com/fwlink/?linkid=870924
Comment:
    ALWAYS “F” OTHERS EMBOSSED</t>
      </text>
    </comment>
  </commentList>
</comments>
</file>

<file path=xl/sharedStrings.xml><?xml version="1.0" encoding="utf-8"?>
<sst xmlns="http://schemas.openxmlformats.org/spreadsheetml/2006/main" count="599" uniqueCount="235">
  <si>
    <t>NAMING CONVENTIONS CECO OPTIONS</t>
  </si>
  <si>
    <t>DOOR</t>
  </si>
  <si>
    <t>SERIES</t>
  </si>
  <si>
    <t>GAGE</t>
  </si>
  <si>
    <t xml:space="preserve">MATERIAL </t>
  </si>
  <si>
    <t>ELEVATION</t>
  </si>
  <si>
    <t>W</t>
  </si>
  <si>
    <t>L</t>
  </si>
  <si>
    <t>UC</t>
  </si>
  <si>
    <t>LOCK</t>
  </si>
  <si>
    <t>LP</t>
  </si>
  <si>
    <t>GL4</t>
  </si>
  <si>
    <t>DESIGN</t>
  </si>
  <si>
    <t>F</t>
  </si>
  <si>
    <t>LP_16_ GL4_4080V_LHR_C1_LC1_BU</t>
  </si>
  <si>
    <t>3/4</t>
  </si>
  <si>
    <t>PROFILE</t>
  </si>
  <si>
    <t>THROAT</t>
  </si>
  <si>
    <t>DR_</t>
  </si>
  <si>
    <t xml:space="preserve">GA </t>
  </si>
  <si>
    <t>MATERIAL</t>
  </si>
  <si>
    <t>SR_</t>
  </si>
  <si>
    <t>MASONRY</t>
  </si>
  <si>
    <t>DRYWALL</t>
  </si>
  <si>
    <t>DR 16_GL4_400300_4080_RHR</t>
  </si>
  <si>
    <t>WIDTH</t>
  </si>
  <si>
    <t>LENGTH</t>
  </si>
  <si>
    <t>S</t>
  </si>
  <si>
    <t>KD</t>
  </si>
  <si>
    <t>TB</t>
  </si>
  <si>
    <t>S2</t>
  </si>
  <si>
    <t>HAND</t>
  </si>
  <si>
    <t>RHR</t>
  </si>
  <si>
    <t>ASSY</t>
  </si>
  <si>
    <t>BUNDLE</t>
  </si>
  <si>
    <t>CLOSER CODE</t>
  </si>
  <si>
    <t>STRIKE</t>
  </si>
  <si>
    <t>SR 16_GL4_400300_4080_RHR</t>
  </si>
  <si>
    <t>LP_16_ GL4_3080V_LHR_C1_LC1_BU</t>
  </si>
  <si>
    <t>LP_16_ GL4_6080V_LHR_C1_LC1_BU</t>
  </si>
  <si>
    <t>3068AFF</t>
  </si>
  <si>
    <t>3068AVV</t>
  </si>
  <si>
    <t>3068AG</t>
  </si>
  <si>
    <t>3068ALL</t>
  </si>
  <si>
    <t>3068IAFF</t>
  </si>
  <si>
    <t>3068IAVV</t>
  </si>
  <si>
    <t>3068IAG</t>
  </si>
  <si>
    <t>3068IALL</t>
  </si>
  <si>
    <t>3070AFF</t>
  </si>
  <si>
    <t>3070AVV</t>
  </si>
  <si>
    <t>3070AG</t>
  </si>
  <si>
    <t>3070ALL</t>
  </si>
  <si>
    <t>3070IAFF</t>
  </si>
  <si>
    <t>3070IAVV</t>
  </si>
  <si>
    <t>3070IAG</t>
  </si>
  <si>
    <t>3070IALL</t>
  </si>
  <si>
    <t>3080AFF</t>
  </si>
  <si>
    <t>3080AVV</t>
  </si>
  <si>
    <t>3080AG</t>
  </si>
  <si>
    <t>3080ALL</t>
  </si>
  <si>
    <t>3080IAFF</t>
  </si>
  <si>
    <t>3080IAVV</t>
  </si>
  <si>
    <t>3080IAG</t>
  </si>
  <si>
    <t>3080IALL</t>
  </si>
  <si>
    <t>ACTIVE SINGLE</t>
  </si>
  <si>
    <t xml:space="preserve">ACTIVE DOOR OF PAIR </t>
  </si>
  <si>
    <t>INACTIVE DOOR</t>
  </si>
  <si>
    <t>4068AFF</t>
  </si>
  <si>
    <t>4068AVV</t>
  </si>
  <si>
    <t>4068AG</t>
  </si>
  <si>
    <t>4068ALL</t>
  </si>
  <si>
    <t>4068IAFF</t>
  </si>
  <si>
    <t>4068IAVV</t>
  </si>
  <si>
    <t>4068IAG</t>
  </si>
  <si>
    <t>4068IALL</t>
  </si>
  <si>
    <t>UNDERCUT TABLE</t>
  </si>
  <si>
    <t>*LP/UP SAME $</t>
  </si>
  <si>
    <r>
      <rPr>
        <sz val="11"/>
        <color rgb="FFFF0000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19GL403068 F NH C1LC1 B</t>
    </r>
  </si>
  <si>
    <r>
      <rPr>
        <sz val="11"/>
        <color rgb="FFFF0000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19GL403068 V NH C1LC1 B</t>
    </r>
  </si>
  <si>
    <t>VCO</t>
  </si>
  <si>
    <t>CLOSER</t>
  </si>
  <si>
    <t>TOP CAP</t>
  </si>
  <si>
    <t>A40</t>
  </si>
  <si>
    <t xml:space="preserve">SWING IT  </t>
  </si>
  <si>
    <t>CLOSE IT</t>
  </si>
  <si>
    <t>ACTIVE DOOR</t>
  </si>
  <si>
    <t>HINGES</t>
  </si>
  <si>
    <t>SPRING SS</t>
  </si>
  <si>
    <t>ELECTRIFIED</t>
  </si>
  <si>
    <t>4.5 X 4.5 SS  .134"</t>
  </si>
  <si>
    <t>4.5 X 4.5 SS  .180"</t>
  </si>
  <si>
    <t>5 X 4.5 SS  .134"</t>
  </si>
  <si>
    <t>5 X 4.5 SS  .180"</t>
  </si>
  <si>
    <t>4.5 x 4.5"</t>
  </si>
  <si>
    <t>MECHANICAL SS_4.5*4.5  BBNRP</t>
  </si>
  <si>
    <t>MECHANICAL SS_5*4.5 BB NRP</t>
  </si>
  <si>
    <t>CONTINUOS  STAINLESS STEEL 630</t>
  </si>
  <si>
    <t>FULL MORTISE X HEIGHT  80"_84"_96"</t>
  </si>
  <si>
    <t>HALF MORTISE X HEIGHT  80"_84"_96"</t>
  </si>
  <si>
    <t>FULL SURFACE  X HEIGHT  80"_84"_96"</t>
  </si>
  <si>
    <t>4.5 X 4.5 SS  .134"   4, 6, 8 WIRE</t>
  </si>
  <si>
    <t>4.5 X 4.5 SS  .180"  4, 6, 8 WIRE</t>
  </si>
  <si>
    <t>DOOR CLOSERS</t>
  </si>
  <si>
    <t>PANIC BAR</t>
  </si>
  <si>
    <t>RIM EXIT</t>
  </si>
  <si>
    <t>MORTISE EXIT</t>
  </si>
  <si>
    <t>SURFACE VERTICAL ROD</t>
  </si>
  <si>
    <t>CONCELED VERTICAL ROD</t>
  </si>
  <si>
    <t> LP18GL430 68 GCO LHRC1LC1 B,</t>
  </si>
  <si>
    <t>HEADER MOUNT</t>
  </si>
  <si>
    <t>DOOR MOUNT</t>
  </si>
  <si>
    <t>CUSHIONED</t>
  </si>
  <si>
    <t>HOLD OPEN STOP</t>
  </si>
  <si>
    <t>HOLD OPEN SPRING</t>
  </si>
  <si>
    <t>HOLD OPEN FUSIBLE LINK</t>
  </si>
  <si>
    <t>HOLD OPEN PARALLEL ARM</t>
  </si>
  <si>
    <t>SIZE</t>
  </si>
  <si>
    <t>BRAND</t>
  </si>
  <si>
    <t>FINISH</t>
  </si>
  <si>
    <t>LABEL  NR, F, W, F/W</t>
  </si>
  <si>
    <t>ELECTRIFICATION</t>
  </si>
  <si>
    <t>DEADBOLT</t>
  </si>
  <si>
    <t xml:space="preserve">CYLINDRICAL </t>
  </si>
  <si>
    <t>MORTISE</t>
  </si>
  <si>
    <t>LATCH IT ACTIVE</t>
  </si>
  <si>
    <t>LATCH IT INACTIVE</t>
  </si>
  <si>
    <t>S/BOLTS</t>
  </si>
  <si>
    <t>F/BOLTS</t>
  </si>
  <si>
    <t>SVRODS</t>
  </si>
  <si>
    <t>CONTINOUS ALUMINUM</t>
  </si>
  <si>
    <t>FUNCTION</t>
  </si>
  <si>
    <t>FACE PLATES</t>
  </si>
  <si>
    <t>PROTECT IT</t>
  </si>
  <si>
    <t xml:space="preserve">WEATHERS TRIP </t>
  </si>
  <si>
    <t>THRESHOLDS</t>
  </si>
  <si>
    <t>DRIP CAPS</t>
  </si>
  <si>
    <t>BY OPENING SIZE</t>
  </si>
  <si>
    <t>BY MODEL</t>
  </si>
  <si>
    <t>ADHESIVE</t>
  </si>
  <si>
    <t>KERF</t>
  </si>
  <si>
    <t>SCREW ON</t>
  </si>
  <si>
    <t>BY MATERIAL</t>
  </si>
  <si>
    <t>ALUMINUM</t>
  </si>
  <si>
    <t>FLAT</t>
  </si>
  <si>
    <t>PANIC</t>
  </si>
  <si>
    <t>NOTCHED</t>
  </si>
  <si>
    <t>SWEEPS</t>
  </si>
  <si>
    <t>ACCESSORIES</t>
  </si>
  <si>
    <t>WINDOWS</t>
  </si>
  <si>
    <t>TYPE</t>
  </si>
  <si>
    <t>GLASS</t>
  </si>
  <si>
    <t>FIRE</t>
  </si>
  <si>
    <t xml:space="preserve">WIND </t>
  </si>
  <si>
    <t>BULLET</t>
  </si>
  <si>
    <t>TEMPERED</t>
  </si>
  <si>
    <t>INSULATED</t>
  </si>
  <si>
    <t>LOUVERS</t>
  </si>
  <si>
    <t>POLY CARB</t>
  </si>
  <si>
    <t>SECURITY GRILL</t>
  </si>
  <si>
    <t xml:space="preserve">  </t>
  </si>
  <si>
    <t>smc</t>
  </si>
  <si>
    <t>LITE/lvr</t>
  </si>
  <si>
    <t>PAGE 45</t>
  </si>
  <si>
    <t>RAPID CHANGE IS AVAILBLE RIGHT AVOVE LOCATION*</t>
  </si>
  <si>
    <t xml:space="preserve">PULLS UP A SHORTENED VERSION.   </t>
  </si>
  <si>
    <t xml:space="preserve">CAN MODIFY AN EXISTITING QUOTE   NOT SURE </t>
  </si>
  <si>
    <t xml:space="preserve">18 galv   </t>
  </si>
  <si>
    <t>mortise</t>
  </si>
  <si>
    <t>cyl</t>
  </si>
  <si>
    <t>M1A</t>
  </si>
  <si>
    <t xml:space="preserve">C1 </t>
  </si>
  <si>
    <t>C2</t>
  </si>
  <si>
    <t>NH</t>
  </si>
  <si>
    <t>GL4-A40</t>
  </si>
  <si>
    <t>UP</t>
  </si>
  <si>
    <t>LC1AA</t>
  </si>
  <si>
    <t>LOCK CODE</t>
  </si>
  <si>
    <t>GA</t>
  </si>
  <si>
    <t xml:space="preserve">16 galv   </t>
  </si>
  <si>
    <t>rim panic</t>
  </si>
  <si>
    <t>QUESTION IF THIS IS THE RIGHT PREP NUMBER MAY CHANGE</t>
  </si>
  <si>
    <t>PRL A</t>
  </si>
  <si>
    <t>svr</t>
  </si>
  <si>
    <t>m_panic</t>
  </si>
  <si>
    <t>VISIONS</t>
  </si>
  <si>
    <t>GLITE</t>
  </si>
  <si>
    <t>LOUVER</t>
  </si>
  <si>
    <t>VISION +LOUVER</t>
  </si>
  <si>
    <t>VISION PLUS LITE</t>
  </si>
  <si>
    <t>3" profile</t>
  </si>
  <si>
    <t>4" profile</t>
  </si>
  <si>
    <t>5.75" profile</t>
  </si>
  <si>
    <t>base</t>
  </si>
  <si>
    <t>material add</t>
  </si>
  <si>
    <t>closer</t>
  </si>
  <si>
    <t>packaging</t>
  </si>
  <si>
    <t>16 ga a40</t>
  </si>
  <si>
    <t>14  ga a40</t>
  </si>
  <si>
    <t>14 ga a40</t>
  </si>
  <si>
    <t>% optons</t>
  </si>
  <si>
    <t>% base</t>
  </si>
  <si>
    <t>as gauge goes up, base stays same as lower gauge  verifies options are  operations cost irrespective of base gauge, "increase gauge=increase % cost</t>
  </si>
  <si>
    <t>asa</t>
  </si>
  <si>
    <t>GALV 40</t>
  </si>
  <si>
    <t>PKG</t>
  </si>
  <si>
    <t>WHB</t>
  </si>
  <si>
    <t>NO DIFFERENCE IN PRICE FOR UL OR WHI LABEL, NO DIFFERENCE IN A OR B LABEL</t>
  </si>
  <si>
    <t xml:space="preserve">GENERALLY BY VENDOR </t>
  </si>
  <si>
    <t>TYPE: WHERE MOUNTED</t>
  </si>
  <si>
    <t xml:space="preserve">TYPE OF ARM </t>
  </si>
  <si>
    <t>CAST IRON</t>
  </si>
  <si>
    <t>SLIDE TRACK HOLD OPEN</t>
  </si>
  <si>
    <t>26D</t>
  </si>
  <si>
    <t>32D</t>
  </si>
  <si>
    <t>KEYED ONE SIDE</t>
  </si>
  <si>
    <t>KEYED BOTH SIDES</t>
  </si>
  <si>
    <t>STANDARD KEYING</t>
  </si>
  <si>
    <t>SFIC CORE (PREP) INCLUDE COST OF CYLINDER</t>
  </si>
  <si>
    <t>FUNCTION: WHAT THE CYLINDER DOES</t>
  </si>
  <si>
    <t>TYPE OF DEADBOLT</t>
  </si>
  <si>
    <t>PRIVACY</t>
  </si>
  <si>
    <t>CLASSROOM</t>
  </si>
  <si>
    <t>TYPE OF LOCKSET</t>
  </si>
  <si>
    <t>LEVER TYPE</t>
  </si>
  <si>
    <t>KEYING</t>
  </si>
  <si>
    <t>DORMITORY</t>
  </si>
  <si>
    <t>STOREROOM</t>
  </si>
  <si>
    <t>SOME DOORS HAVE DEADBOLTS AND LOCKSETS</t>
  </si>
  <si>
    <r>
      <t xml:space="preserve">SUPPLEMENTAL HARDWARE                                                   </t>
    </r>
    <r>
      <rPr>
        <b/>
        <sz val="11"/>
        <color theme="1"/>
        <rFont val="Aptos Narrow"/>
        <family val="2"/>
        <scheme val="minor"/>
      </rPr>
      <t>(ALTERNATE STYLE  DOOR CLOSER)</t>
    </r>
  </si>
  <si>
    <t>TRIM</t>
  </si>
  <si>
    <t>ROSE</t>
  </si>
  <si>
    <t>FLAT LEVER SOME VARIANTS,                              TACTILE FOR HAZARDOUS (SELDOM USED)</t>
  </si>
  <si>
    <t>LOCKSET   MECHANICAL AND ELECTRICAL</t>
  </si>
  <si>
    <t>ESCUTCHEON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</si>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</sst>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666666"/>
      <name val="Verdana"/>
      <family val="2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2">
    <xf numFmtId="0" fontId="0" fillId="0" borderId="0" xfId="0"/>
    <xf numFmtId="16" fontId="0" fillId="0" borderId="0" xfId="0" quotePrefix="1" applyNumberFormat="1"/>
    <xf numFmtId="0" fontId="0" fillId="0" borderId="0" xfId="0" applyAlignment="1">
      <alignment horizontal="center"/>
    </xf>
    <xf numFmtId="0" fontId="0" fillId="0" borderId="1" xfId="0" applyBorder="1"/>
    <xf numFmtId="44" fontId="0" fillId="0" borderId="0" xfId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3" fillId="2" borderId="2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6" fillId="2" borderId="2" xfId="0" applyFont="1" applyFill="1" applyBorder="1"/>
    <xf numFmtId="0" fontId="7" fillId="0" borderId="0" xfId="0" applyFont="1"/>
    <xf numFmtId="0" fontId="7" fillId="2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0" xfId="0" applyFill="1"/>
    <xf numFmtId="0" fontId="3" fillId="0" borderId="0" xfId="0" applyFont="1" applyAlignment="1">
      <alignment horizontal="left" wrapText="1"/>
    </xf>
    <xf numFmtId="9" fontId="0" fillId="0" borderId="0" xfId="2" applyFont="1"/>
    <xf numFmtId="0" fontId="0" fillId="4" borderId="0" xfId="0" applyFill="1"/>
    <xf numFmtId="0" fontId="0" fillId="0" borderId="0" xfId="0" applyFill="1"/>
    <xf numFmtId="9" fontId="0" fillId="0" borderId="0" xfId="2" applyNumberFormat="1" applyFont="1" applyFill="1"/>
    <xf numFmtId="0" fontId="7" fillId="0" borderId="0" xfId="0" applyFont="1" applyFill="1" applyAlignment="1">
      <alignment horizontal="left" wrapText="1"/>
    </xf>
    <xf numFmtId="9" fontId="0" fillId="0" borderId="0" xfId="2" applyFont="1" applyFill="1" applyAlignment="1">
      <alignment wrapText="1"/>
    </xf>
    <xf numFmtId="9" fontId="0" fillId="0" borderId="0" xfId="2" applyFont="1" applyFill="1"/>
    <xf numFmtId="0" fontId="0" fillId="5" borderId="0" xfId="0" applyFill="1"/>
    <xf numFmtId="0" fontId="7" fillId="5" borderId="0" xfId="0" applyFont="1" applyFill="1"/>
    <xf numFmtId="44" fontId="0" fillId="0" borderId="0" xfId="1" applyFont="1" applyFill="1"/>
    <xf numFmtId="0" fontId="3" fillId="0" borderId="0" xfId="0" applyFont="1" applyFill="1"/>
    <xf numFmtId="0" fontId="3" fillId="5" borderId="0" xfId="0" applyFont="1" applyFill="1"/>
    <xf numFmtId="1" fontId="0" fillId="0" borderId="0" xfId="0" applyNumberFormat="1"/>
    <xf numFmtId="1" fontId="0" fillId="0" borderId="0" xfId="0" applyNumberFormat="1" applyFill="1"/>
    <xf numFmtId="1" fontId="3" fillId="5" borderId="0" xfId="0" applyNumberFormat="1" applyFont="1" applyFill="1"/>
    <xf numFmtId="0" fontId="6" fillId="5" borderId="0" xfId="0" applyFont="1" applyFill="1"/>
    <xf numFmtId="0" fontId="8" fillId="5" borderId="0" xfId="0" applyFont="1" applyFill="1"/>
    <xf numFmtId="0" fontId="8" fillId="0" borderId="0" xfId="0" applyFont="1" applyFill="1"/>
    <xf numFmtId="0" fontId="6" fillId="3" borderId="0" xfId="0" applyFont="1" applyFill="1"/>
    <xf numFmtId="0" fontId="6" fillId="0" borderId="0" xfId="0" applyFont="1" applyFill="1"/>
    <xf numFmtId="1" fontId="6" fillId="0" borderId="0" xfId="0" applyNumberFormat="1" applyFont="1"/>
    <xf numFmtId="1" fontId="6" fillId="0" borderId="0" xfId="0" applyNumberFormat="1" applyFont="1" applyFill="1"/>
    <xf numFmtId="0" fontId="6" fillId="0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1" fontId="3" fillId="5" borderId="0" xfId="2" applyNumberFormat="1" applyFont="1" applyFill="1"/>
    <xf numFmtId="0" fontId="3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left" indent="3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7" fillId="0" borderId="0" xfId="0" applyFont="1" applyAlignment="1">
      <alignment horizontal="left" indent="3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horizontal="left" indent="3"/>
    </xf>
    <xf numFmtId="0" fontId="6" fillId="0" borderId="0" xfId="0" applyFont="1" applyAlignment="1">
      <alignment horizontal="left" indent="2"/>
    </xf>
    <xf numFmtId="0" fontId="0" fillId="6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 indent="7"/>
    </xf>
    <xf numFmtId="0" fontId="4" fillId="0" borderId="0" xfId="0" applyFont="1" applyAlignment="1">
      <alignment horizontal="left" indent="3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502920</xdr:colOff>
      <xdr:row>18</xdr:row>
      <xdr:rowOff>119522</xdr:rowOff>
    </xdr:from>
    <xdr:to>
      <xdr:col>12</xdr:col>
      <xdr:colOff>364940</xdr:colOff>
      <xdr:row>33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97C56-1635-F006-7096-5EAD450D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7380" y="3411362"/>
          <a:ext cx="4144460" cy="2798938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18</xdr:row>
      <xdr:rowOff>152400</xdr:rowOff>
    </xdr:from>
    <xdr:to>
      <xdr:col>19</xdr:col>
      <xdr:colOff>152213</xdr:colOff>
      <xdr:row>32</xdr:row>
      <xdr:rowOff>65278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77EDF5-FBAF-D385-541D-A3DC3D294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8380" y="3444240"/>
          <a:ext cx="3619313" cy="2473198"/>
        </a:xfrm>
        <a:prstGeom prst="rect">
          <a:avLst/>
        </a:prstGeom>
      </xdr:spPr>
    </xdr:pic>
    <xdr:clientData/>
  </xdr:twoCellAnchor>
  <xdr:twoCellAnchor editAs="oneCell">
    <xdr:from>
      <xdr:col>11</xdr:col>
      <xdr:colOff>236220</xdr:colOff>
      <xdr:row>42</xdr:row>
      <xdr:rowOff>180376</xdr:rowOff>
    </xdr:from>
    <xdr:to>
      <xdr:col>18</xdr:col>
      <xdr:colOff>231347</xdr:colOff>
      <xdr:row>57</xdr:row>
      <xdr:rowOff>76721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C39813-C285-DDC6-F2E6-72B3B3C7E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0" y="7861336"/>
          <a:ext cx="4262327" cy="2639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3</xdr:row>
      <xdr:rowOff>68580</xdr:rowOff>
    </xdr:from>
    <xdr:to>
      <xdr:col>5</xdr:col>
      <xdr:colOff>373726</xdr:colOff>
      <xdr:row>24</xdr:row>
      <xdr:rowOff>124369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50FD5-96D7-446B-A04F-321FC2F31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" y="617220"/>
          <a:ext cx="2476846" cy="3896269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4</xdr:row>
      <xdr:rowOff>160020</xdr:rowOff>
    </xdr:from>
    <xdr:to>
      <xdr:col>25</xdr:col>
      <xdr:colOff>247374</xdr:colOff>
      <xdr:row>45</xdr:row>
      <xdr:rowOff>140109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89F4FC-1306-D658-FB47-AD997F9A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7620" y="891540"/>
          <a:ext cx="11669754" cy="74781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 Weymer" id="{9EB3C6ED-B2BC-49DB-881A-E976ADA5DF27}" userId="S::weymerp@intentry.com::97fd7355-89d2-4ec5-85a6-9ebeecf6de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3-27T16:21:42.49" personId="{9EB3C6ED-B2BC-49DB-881A-E976ADA5DF27}" id="{0B9B05E3-EC73-470C-A4CF-FA52E883922D}">
    <text>ITEMS IN RED ARE MOST USED</text>
  </threadedComment>
  <threadedComment ref="E16" dT="2026-03-27T16:31:10.42" personId="{9EB3C6ED-B2BC-49DB-881A-E976ADA5DF27}" id="{85ECDE37-1B38-43E7-9BA3-0B6B411A055A}">
    <text>CYLINDRICAL LOCKS CAN BE MECHANICAL OR ELECTRICAL (LESS OFTEN USED)
ELECTRICAL LOCKS NEED AN ELECTRICAL HINGE IN DOOR AND FRAME</text>
  </threadedComment>
  <threadedComment ref="E31" dT="2026-03-27T16:31:10.42" personId="{9EB3C6ED-B2BC-49DB-881A-E976ADA5DF27}" id="{ECB2DF65-01A3-4C17-BA57-23D9BB2FCC78}">
    <text>CYLINDRICAL LOCKS CAN BE MECHANICAL OR ELECTRICAL (LESS OFTEN USED)
ELECTRICAL LOCKS NEED AN ELECTRICAL HINGE IN DOOR AND FRAME</text>
  </threadedComment>
  <threadedComment ref="E45" dT="2026-03-27T16:33:37.18" personId="{9EB3C6ED-B2BC-49DB-881A-E976ADA5DF27}" id="{9F7FA8E6-2D26-477F-82DB-677571017920}">
    <text xml:space="preserve">MOST OFTEN USED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6-03-02T20:13:39.60" personId="{9EB3C6ED-B2BC-49DB-881A-E976ADA5DF27}" id="{87808E5D-C342-4B17-90E3-A945A1B5A4FE}">
    <text>LP:  STYRENE HANDED
UP: STYRENE NOT HANDED
MS: STEEL RIBBED HANDED</text>
  </threadedComment>
  <threadedComment ref="F4" dT="2026-03-02T20:14:36.72" personId="{9EB3C6ED-B2BC-49DB-881A-E976ADA5DF27}" id="{45CE1B68-B562-49C8-9D89-22A0DFA4526A}">
    <text>GL4:  A40
GL9:  A90
CRS:  COLD ROLLED STEEL</text>
  </threadedComment>
  <threadedComment ref="K4" dT="2026-02-27T22:26:25.90" personId="{9EB3C6ED-B2BC-49DB-881A-E976ADA5DF27}" id="{3EE361F4-3D9E-4487-9838-C4AFB3134C9A}">
    <text xml:space="preserve">UC12 = ¾" UNDERCUT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" dT="2026-02-27T22:01:40.92" personId="{9EB3C6ED-B2BC-49DB-881A-E976ADA5DF27}" id="{715628C2-37E2-4396-8B37-DF4F872DF2C6}">
    <text>A40</text>
  </threadedComment>
  <threadedComment ref="G2" dT="2026-02-27T22:01:21.58" personId="{9EB3C6ED-B2BC-49DB-881A-E976ADA5DF27}" id="{3FC309A9-D5DE-451D-9FB4-252387AC97A3}">
    <text>BETWEEN RETURNS</text>
  </threadedComment>
  <threadedComment ref="K2" dT="2026-02-27T22:02:24.88" personId="{9EB3C6ED-B2BC-49DB-881A-E976ADA5DF27}" id="{03DBD3CE-D56A-4E22-89A1-501FEE767606}">
    <text>STRIKE (ASA)
R (RIM)</text>
  </threadedComment>
  <threadedComment ref="L2" dT="2026-02-27T22:00:11.75" personId="{9EB3C6ED-B2BC-49DB-881A-E976ADA5DF27}" id="{60508563-5A47-4117-BA2F-763052DB13C2}">
    <text>KNOCKED DOWN</text>
  </threadedComment>
  <threadedComment ref="M2" dT="2026-02-27T22:00:38.97" personId="{9EB3C6ED-B2BC-49DB-881A-E976ADA5DF27}" id="{A180A70A-116D-4C18-8EC6-8D28434BB532}">
    <text>TAB &amp; BUNDLE</text>
  </threadedComment>
  <threadedComment ref="N2" dT="2026-02-27T22:01:04.30" personId="{9EB3C6ED-B2BC-49DB-881A-E976ADA5DF27}" id="{2B80BF7C-22E2-4CB4-A13C-07568A18773B}">
    <text>CLOSER REINF_PAC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" dT="2026-03-11T15:01:41.67" personId="{9EB3C6ED-B2BC-49DB-881A-E976ADA5DF27}" id="{40728FC1-D451-4EDE-BFF0-DAA285129ADE}">
    <text>ALWAYS “F” OTHERS EMBOSSED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C5E8-7049-49C6-AEB1-B8580CB83FB7}">
  <dimension ref="A1:H72"/>
  <sheetViews>
    <sheetView tabSelected="1" workbookViewId="0">
      <selection activeCell="D38" sqref="C38:D40"/>
    </sheetView>
  </sheetViews>
  <sheetFormatPr defaultRowHeight="14.4" x14ac:dyDescent="0.3"/>
  <cols>
    <col min="3" max="3" width="38.44140625" customWidth="1"/>
    <col min="4" max="4" width="45.5546875" customWidth="1"/>
    <col min="5" max="5" width="47.109375" customWidth="1"/>
    <col min="6" max="6" width="53.6640625" customWidth="1"/>
    <col min="7" max="7" width="30" customWidth="1"/>
  </cols>
  <sheetData>
    <row r="1" spans="1:8" s="12" customFormat="1" x14ac:dyDescent="0.3">
      <c r="A1" s="12" t="s">
        <v>160</v>
      </c>
      <c r="C1" s="12">
        <v>1.8</v>
      </c>
      <c r="D1" s="12">
        <v>1.5</v>
      </c>
      <c r="E1" s="12">
        <v>1.4</v>
      </c>
      <c r="G1" s="12">
        <v>2</v>
      </c>
      <c r="H1" s="12">
        <v>1.75</v>
      </c>
    </row>
    <row r="2" spans="1:8" x14ac:dyDescent="0.3">
      <c r="C2" s="7" t="s">
        <v>83</v>
      </c>
      <c r="D2" s="7" t="s">
        <v>84</v>
      </c>
      <c r="E2" s="7" t="s">
        <v>124</v>
      </c>
      <c r="F2" s="7"/>
      <c r="G2" s="7" t="s">
        <v>132</v>
      </c>
      <c r="H2" s="7" t="s">
        <v>147</v>
      </c>
    </row>
    <row r="3" spans="1:8" x14ac:dyDescent="0.3">
      <c r="A3" t="s">
        <v>85</v>
      </c>
      <c r="C3" s="7" t="s">
        <v>86</v>
      </c>
      <c r="D3" s="16" t="s">
        <v>102</v>
      </c>
      <c r="E3" s="16" t="s">
        <v>121</v>
      </c>
      <c r="G3" t="s">
        <v>133</v>
      </c>
      <c r="H3" t="s">
        <v>148</v>
      </c>
    </row>
    <row r="4" spans="1:8" x14ac:dyDescent="0.3">
      <c r="C4" s="5" t="s">
        <v>94</v>
      </c>
      <c r="D4" s="67" t="s">
        <v>207</v>
      </c>
      <c r="E4" s="69" t="s">
        <v>219</v>
      </c>
      <c r="G4" t="s">
        <v>136</v>
      </c>
      <c r="H4" s="5" t="s">
        <v>116</v>
      </c>
    </row>
    <row r="5" spans="1:8" x14ac:dyDescent="0.3">
      <c r="C5" s="6" t="s">
        <v>89</v>
      </c>
      <c r="D5" s="68" t="s">
        <v>208</v>
      </c>
      <c r="E5" s="74" t="s">
        <v>214</v>
      </c>
      <c r="G5" t="s">
        <v>137</v>
      </c>
      <c r="H5" s="5" t="s">
        <v>149</v>
      </c>
    </row>
    <row r="6" spans="1:8" x14ac:dyDescent="0.3">
      <c r="C6" s="73" t="s">
        <v>90</v>
      </c>
      <c r="D6" s="6" t="s">
        <v>109</v>
      </c>
      <c r="E6" s="71" t="s">
        <v>215</v>
      </c>
      <c r="G6" s="5" t="s">
        <v>138</v>
      </c>
      <c r="H6" s="5" t="s">
        <v>150</v>
      </c>
    </row>
    <row r="7" spans="1:8" x14ac:dyDescent="0.3">
      <c r="C7" s="5" t="s">
        <v>95</v>
      </c>
      <c r="D7" s="73" t="s">
        <v>110</v>
      </c>
      <c r="E7" s="71" t="s">
        <v>216</v>
      </c>
      <c r="G7" s="5" t="s">
        <v>139</v>
      </c>
      <c r="H7" s="6" t="s">
        <v>151</v>
      </c>
    </row>
    <row r="8" spans="1:8" x14ac:dyDescent="0.3">
      <c r="C8" s="6" t="s">
        <v>91</v>
      </c>
      <c r="D8" s="68" t="s">
        <v>209</v>
      </c>
      <c r="E8" s="71" t="s">
        <v>217</v>
      </c>
      <c r="G8" s="5" t="s">
        <v>140</v>
      </c>
      <c r="H8" s="6" t="s">
        <v>152</v>
      </c>
    </row>
    <row r="9" spans="1:8" x14ac:dyDescent="0.3">
      <c r="C9" s="6" t="s">
        <v>92</v>
      </c>
      <c r="D9" s="6" t="s">
        <v>111</v>
      </c>
      <c r="E9" s="70" t="s">
        <v>218</v>
      </c>
      <c r="G9" s="9" t="s">
        <v>141</v>
      </c>
      <c r="H9" s="6" t="s">
        <v>158</v>
      </c>
    </row>
    <row r="10" spans="1:8" x14ac:dyDescent="0.3">
      <c r="C10" s="5" t="s">
        <v>87</v>
      </c>
      <c r="D10" s="6" t="s">
        <v>112</v>
      </c>
      <c r="E10" s="74" t="s">
        <v>220</v>
      </c>
      <c r="G10" s="11" t="s">
        <v>142</v>
      </c>
      <c r="H10" s="6" t="s">
        <v>153</v>
      </c>
    </row>
    <row r="11" spans="1:8" x14ac:dyDescent="0.3">
      <c r="C11" s="6" t="s">
        <v>93</v>
      </c>
      <c r="D11" s="6" t="s">
        <v>113</v>
      </c>
      <c r="E11" s="71" t="s">
        <v>221</v>
      </c>
      <c r="H11" s="6" t="s">
        <v>154</v>
      </c>
    </row>
    <row r="12" spans="1:8" x14ac:dyDescent="0.3">
      <c r="D12" s="6" t="s">
        <v>114</v>
      </c>
      <c r="E12" s="72" t="s">
        <v>118</v>
      </c>
      <c r="F12" s="10"/>
      <c r="G12" t="s">
        <v>134</v>
      </c>
      <c r="H12" s="6" t="s">
        <v>155</v>
      </c>
    </row>
    <row r="13" spans="1:8" x14ac:dyDescent="0.3">
      <c r="C13" t="s">
        <v>88</v>
      </c>
      <c r="D13" s="73" t="s">
        <v>115</v>
      </c>
      <c r="E13" s="73" t="s">
        <v>212</v>
      </c>
      <c r="F13" s="10"/>
      <c r="G13" t="s">
        <v>143</v>
      </c>
      <c r="H13" s="6" t="s">
        <v>157</v>
      </c>
    </row>
    <row r="14" spans="1:8" x14ac:dyDescent="0.3">
      <c r="C14" s="5" t="s">
        <v>100</v>
      </c>
      <c r="D14" s="68" t="s">
        <v>20</v>
      </c>
      <c r="E14" s="6" t="s">
        <v>213</v>
      </c>
      <c r="F14" s="10"/>
      <c r="G14" t="s">
        <v>144</v>
      </c>
      <c r="H14" s="5" t="s">
        <v>156</v>
      </c>
    </row>
    <row r="15" spans="1:8" x14ac:dyDescent="0.3">
      <c r="C15" s="75" t="s">
        <v>101</v>
      </c>
      <c r="D15" s="6" t="s">
        <v>210</v>
      </c>
      <c r="E15" s="78" t="s">
        <v>227</v>
      </c>
      <c r="F15" s="10"/>
      <c r="G15" t="s">
        <v>145</v>
      </c>
    </row>
    <row r="16" spans="1:8" x14ac:dyDescent="0.3">
      <c r="D16" s="73" t="s">
        <v>142</v>
      </c>
      <c r="E16" s="7" t="s">
        <v>232</v>
      </c>
    </row>
    <row r="17" spans="3:7" x14ac:dyDescent="0.3">
      <c r="C17" s="16" t="s">
        <v>129</v>
      </c>
      <c r="D17" s="9"/>
      <c r="E17" s="5" t="s">
        <v>222</v>
      </c>
      <c r="G17" t="s">
        <v>135</v>
      </c>
    </row>
    <row r="18" spans="3:7" x14ac:dyDescent="0.3">
      <c r="C18" t="s">
        <v>97</v>
      </c>
      <c r="E18" s="81" t="s">
        <v>122</v>
      </c>
      <c r="G18" t="s">
        <v>146</v>
      </c>
    </row>
    <row r="19" spans="3:7" x14ac:dyDescent="0.3">
      <c r="C19" t="s">
        <v>98</v>
      </c>
      <c r="D19" s="9"/>
      <c r="E19" s="11" t="s">
        <v>223</v>
      </c>
    </row>
    <row r="20" spans="3:7" ht="28.8" x14ac:dyDescent="0.3">
      <c r="C20" s="16" t="s">
        <v>99</v>
      </c>
      <c r="D20" s="79" t="s">
        <v>228</v>
      </c>
      <c r="E20" s="80" t="s">
        <v>231</v>
      </c>
    </row>
    <row r="21" spans="3:7" x14ac:dyDescent="0.3">
      <c r="D21" s="10" t="s">
        <v>211</v>
      </c>
      <c r="E21" s="9" t="s">
        <v>224</v>
      </c>
    </row>
    <row r="22" spans="3:7" x14ac:dyDescent="0.3">
      <c r="C22" t="s">
        <v>96</v>
      </c>
      <c r="E22" s="76" t="s">
        <v>217</v>
      </c>
    </row>
    <row r="23" spans="3:7" x14ac:dyDescent="0.3">
      <c r="C23" t="s">
        <v>97</v>
      </c>
      <c r="E23" s="77" t="s">
        <v>218</v>
      </c>
    </row>
    <row r="24" spans="3:7" x14ac:dyDescent="0.3">
      <c r="C24" t="s">
        <v>98</v>
      </c>
      <c r="E24" s="76" t="s">
        <v>220</v>
      </c>
    </row>
    <row r="25" spans="3:7" x14ac:dyDescent="0.3">
      <c r="C25" t="s">
        <v>99</v>
      </c>
      <c r="E25" s="74" t="s">
        <v>221</v>
      </c>
    </row>
    <row r="26" spans="3:7" x14ac:dyDescent="0.3">
      <c r="E26" s="74" t="s">
        <v>225</v>
      </c>
    </row>
    <row r="27" spans="3:7" x14ac:dyDescent="0.3">
      <c r="E27" s="76" t="s">
        <v>226</v>
      </c>
    </row>
    <row r="28" spans="3:7" x14ac:dyDescent="0.3">
      <c r="E28" s="77" t="s">
        <v>229</v>
      </c>
    </row>
    <row r="29" spans="3:7" x14ac:dyDescent="0.3">
      <c r="E29" s="74" t="s">
        <v>230</v>
      </c>
    </row>
    <row r="30" spans="3:7" x14ac:dyDescent="0.3">
      <c r="E30" s="71"/>
    </row>
    <row r="31" spans="3:7" x14ac:dyDescent="0.3">
      <c r="E31" s="7" t="s">
        <v>232</v>
      </c>
    </row>
    <row r="32" spans="3:7" x14ac:dyDescent="0.3">
      <c r="E32" s="5" t="s">
        <v>222</v>
      </c>
    </row>
    <row r="33" spans="4:5" x14ac:dyDescent="0.3">
      <c r="E33" s="81" t="s">
        <v>123</v>
      </c>
    </row>
    <row r="34" spans="4:5" x14ac:dyDescent="0.3">
      <c r="E34" s="11" t="s">
        <v>223</v>
      </c>
    </row>
    <row r="35" spans="4:5" ht="28.8" x14ac:dyDescent="0.3">
      <c r="E35" s="80" t="s">
        <v>231</v>
      </c>
    </row>
    <row r="36" spans="4:5" x14ac:dyDescent="0.3">
      <c r="E36" s="9" t="s">
        <v>224</v>
      </c>
    </row>
    <row r="37" spans="4:5" x14ac:dyDescent="0.3">
      <c r="E37" s="76" t="s">
        <v>217</v>
      </c>
    </row>
    <row r="38" spans="4:5" x14ac:dyDescent="0.3">
      <c r="D38" t="s">
        <v>234</v>
      </c>
      <c r="E38" s="77" t="s">
        <v>218</v>
      </c>
    </row>
    <row r="39" spans="4:5" x14ac:dyDescent="0.3">
      <c r="E39" s="76" t="s">
        <v>220</v>
      </c>
    </row>
    <row r="40" spans="4:5" x14ac:dyDescent="0.3">
      <c r="E40" s="74" t="s">
        <v>221</v>
      </c>
    </row>
    <row r="41" spans="4:5" x14ac:dyDescent="0.3">
      <c r="E41" s="74" t="s">
        <v>225</v>
      </c>
    </row>
    <row r="42" spans="4:5" x14ac:dyDescent="0.3">
      <c r="E42" s="76" t="s">
        <v>226</v>
      </c>
    </row>
    <row r="43" spans="4:5" x14ac:dyDescent="0.3">
      <c r="E43" s="77" t="s">
        <v>229</v>
      </c>
    </row>
    <row r="44" spans="4:5" x14ac:dyDescent="0.3">
      <c r="E44" s="71" t="s">
        <v>230</v>
      </c>
    </row>
    <row r="45" spans="4:5" x14ac:dyDescent="0.3">
      <c r="E45" s="74" t="s">
        <v>233</v>
      </c>
    </row>
    <row r="47" spans="4:5" x14ac:dyDescent="0.3">
      <c r="E47" t="s">
        <v>123</v>
      </c>
    </row>
    <row r="48" spans="4:5" x14ac:dyDescent="0.3">
      <c r="E48" s="10" t="s">
        <v>118</v>
      </c>
    </row>
    <row r="49" spans="5:5" x14ac:dyDescent="0.3">
      <c r="E49" s="10" t="s">
        <v>130</v>
      </c>
    </row>
    <row r="50" spans="5:5" x14ac:dyDescent="0.3">
      <c r="E50" s="10" t="s">
        <v>131</v>
      </c>
    </row>
    <row r="51" spans="5:5" x14ac:dyDescent="0.3">
      <c r="E51" s="10" t="s">
        <v>120</v>
      </c>
    </row>
    <row r="55" spans="5:5" x14ac:dyDescent="0.3">
      <c r="E55" t="s">
        <v>103</v>
      </c>
    </row>
    <row r="56" spans="5:5" x14ac:dyDescent="0.3">
      <c r="E56" t="s">
        <v>116</v>
      </c>
    </row>
    <row r="57" spans="5:5" x14ac:dyDescent="0.3">
      <c r="E57" t="s">
        <v>117</v>
      </c>
    </row>
    <row r="58" spans="5:5" x14ac:dyDescent="0.3">
      <c r="E58" t="s">
        <v>118</v>
      </c>
    </row>
    <row r="59" spans="5:5" x14ac:dyDescent="0.3">
      <c r="E59" t="s">
        <v>119</v>
      </c>
    </row>
    <row r="60" spans="5:5" x14ac:dyDescent="0.3">
      <c r="E60" t="s">
        <v>120</v>
      </c>
    </row>
    <row r="63" spans="5:5" x14ac:dyDescent="0.3">
      <c r="E63" t="s">
        <v>104</v>
      </c>
    </row>
    <row r="64" spans="5:5" x14ac:dyDescent="0.3">
      <c r="E64" t="s">
        <v>105</v>
      </c>
    </row>
    <row r="65" spans="5:5" x14ac:dyDescent="0.3">
      <c r="E65" t="s">
        <v>106</v>
      </c>
    </row>
    <row r="66" spans="5:5" x14ac:dyDescent="0.3">
      <c r="E66" t="s">
        <v>107</v>
      </c>
    </row>
    <row r="69" spans="5:5" x14ac:dyDescent="0.3">
      <c r="E69" t="s">
        <v>125</v>
      </c>
    </row>
    <row r="70" spans="5:5" x14ac:dyDescent="0.3">
      <c r="E70" t="s">
        <v>126</v>
      </c>
    </row>
    <row r="71" spans="5:5" x14ac:dyDescent="0.3">
      <c r="E71" t="s">
        <v>127</v>
      </c>
    </row>
    <row r="72" spans="5:5" x14ac:dyDescent="0.3">
      <c r="E72" t="s">
        <v>128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7D3E-C3B2-4D36-B6B5-99F9B31991E2}">
  <dimension ref="A2:P77"/>
  <sheetViews>
    <sheetView workbookViewId="0">
      <selection activeCell="D26" sqref="D26"/>
    </sheetView>
  </sheetViews>
  <sheetFormatPr defaultRowHeight="14.4" x14ac:dyDescent="0.3"/>
  <cols>
    <col min="3" max="3" width="31.44140625" customWidth="1"/>
    <col min="7" max="7" width="12.33203125" customWidth="1"/>
    <col min="9" max="9" width="11.5546875" customWidth="1"/>
    <col min="10" max="10" width="11.88671875" customWidth="1"/>
  </cols>
  <sheetData>
    <row r="2" spans="1:16" x14ac:dyDescent="0.3">
      <c r="C2" t="s">
        <v>0</v>
      </c>
    </row>
    <row r="3" spans="1:16" x14ac:dyDescent="0.3">
      <c r="A3" t="s">
        <v>76</v>
      </c>
      <c r="G3" t="s">
        <v>12</v>
      </c>
    </row>
    <row r="4" spans="1:16" x14ac:dyDescent="0.3">
      <c r="C4" t="s">
        <v>1</v>
      </c>
      <c r="D4" t="s">
        <v>2</v>
      </c>
      <c r="E4" t="s">
        <v>3</v>
      </c>
      <c r="F4" t="s">
        <v>4</v>
      </c>
      <c r="G4" t="s">
        <v>6</v>
      </c>
      <c r="H4" t="s">
        <v>7</v>
      </c>
      <c r="I4" t="s">
        <v>9</v>
      </c>
      <c r="J4" t="s">
        <v>5</v>
      </c>
      <c r="K4" t="s">
        <v>8</v>
      </c>
      <c r="L4" t="s">
        <v>80</v>
      </c>
      <c r="M4" t="s">
        <v>161</v>
      </c>
      <c r="N4" t="s">
        <v>81</v>
      </c>
      <c r="O4" t="s">
        <v>82</v>
      </c>
    </row>
    <row r="5" spans="1:16" x14ac:dyDescent="0.3">
      <c r="C5" t="s">
        <v>14</v>
      </c>
      <c r="D5" t="s">
        <v>10</v>
      </c>
      <c r="E5">
        <v>16</v>
      </c>
      <c r="F5" t="s">
        <v>11</v>
      </c>
      <c r="G5">
        <v>40</v>
      </c>
      <c r="H5">
        <v>80</v>
      </c>
      <c r="J5" t="s">
        <v>13</v>
      </c>
      <c r="K5" s="1" t="s">
        <v>15</v>
      </c>
      <c r="L5" s="4">
        <v>36</v>
      </c>
      <c r="M5" s="4">
        <v>84</v>
      </c>
      <c r="N5" s="4">
        <v>27</v>
      </c>
      <c r="O5" s="4">
        <v>100</v>
      </c>
      <c r="P5" s="4"/>
    </row>
    <row r="6" spans="1:16" x14ac:dyDescent="0.3">
      <c r="L6" s="4">
        <v>72</v>
      </c>
    </row>
    <row r="8" spans="1:16" x14ac:dyDescent="0.3">
      <c r="C8" t="s">
        <v>38</v>
      </c>
    </row>
    <row r="10" spans="1:16" x14ac:dyDescent="0.3">
      <c r="N10" t="s">
        <v>159</v>
      </c>
    </row>
    <row r="12" spans="1:16" x14ac:dyDescent="0.3">
      <c r="C12" t="s">
        <v>39</v>
      </c>
    </row>
    <row r="15" spans="1:16" x14ac:dyDescent="0.3">
      <c r="A15" s="33" t="s">
        <v>64</v>
      </c>
      <c r="B15" t="s">
        <v>40</v>
      </c>
      <c r="C15" t="s">
        <v>77</v>
      </c>
      <c r="G15" t="s">
        <v>13</v>
      </c>
    </row>
    <row r="16" spans="1:16" x14ac:dyDescent="0.3">
      <c r="A16" s="33"/>
      <c r="B16" t="s">
        <v>41</v>
      </c>
      <c r="C16" t="s">
        <v>78</v>
      </c>
      <c r="G16" t="s">
        <v>79</v>
      </c>
    </row>
    <row r="17" spans="1:5" x14ac:dyDescent="0.3">
      <c r="A17" s="33"/>
      <c r="B17" t="s">
        <v>42</v>
      </c>
    </row>
    <row r="18" spans="1:5" x14ac:dyDescent="0.3">
      <c r="A18" s="33"/>
      <c r="B18" t="s">
        <v>43</v>
      </c>
    </row>
    <row r="20" spans="1:5" x14ac:dyDescent="0.3">
      <c r="A20" s="33" t="s">
        <v>65</v>
      </c>
      <c r="B20" t="s">
        <v>40</v>
      </c>
    </row>
    <row r="21" spans="1:5" x14ac:dyDescent="0.3">
      <c r="A21" s="33"/>
      <c r="B21" t="s">
        <v>41</v>
      </c>
    </row>
    <row r="22" spans="1:5" x14ac:dyDescent="0.3">
      <c r="A22" s="33"/>
      <c r="B22" t="s">
        <v>42</v>
      </c>
    </row>
    <row r="23" spans="1:5" x14ac:dyDescent="0.3">
      <c r="A23" s="33"/>
      <c r="B23" t="s">
        <v>43</v>
      </c>
    </row>
    <row r="25" spans="1:5" x14ac:dyDescent="0.3">
      <c r="A25" s="33" t="s">
        <v>66</v>
      </c>
      <c r="B25" t="s">
        <v>44</v>
      </c>
    </row>
    <row r="26" spans="1:5" x14ac:dyDescent="0.3">
      <c r="A26" s="33"/>
      <c r="B26" t="s">
        <v>45</v>
      </c>
    </row>
    <row r="27" spans="1:5" x14ac:dyDescent="0.3">
      <c r="A27" s="33"/>
      <c r="B27" t="s">
        <v>46</v>
      </c>
    </row>
    <row r="28" spans="1:5" x14ac:dyDescent="0.3">
      <c r="A28" s="33"/>
      <c r="B28" t="s">
        <v>47</v>
      </c>
      <c r="E28" s="8" t="s">
        <v>108</v>
      </c>
    </row>
    <row r="30" spans="1:5" x14ac:dyDescent="0.3">
      <c r="A30" s="33" t="s">
        <v>64</v>
      </c>
      <c r="B30" t="s">
        <v>48</v>
      </c>
    </row>
    <row r="31" spans="1:5" x14ac:dyDescent="0.3">
      <c r="A31" s="33"/>
      <c r="B31" t="s">
        <v>49</v>
      </c>
    </row>
    <row r="32" spans="1:5" x14ac:dyDescent="0.3">
      <c r="A32" s="33"/>
      <c r="B32" t="s">
        <v>50</v>
      </c>
    </row>
    <row r="33" spans="1:4" x14ac:dyDescent="0.3">
      <c r="A33" s="33"/>
      <c r="B33" t="s">
        <v>51</v>
      </c>
    </row>
    <row r="35" spans="1:4" x14ac:dyDescent="0.3">
      <c r="A35" s="33" t="s">
        <v>65</v>
      </c>
      <c r="B35" t="s">
        <v>48</v>
      </c>
    </row>
    <row r="36" spans="1:4" x14ac:dyDescent="0.3">
      <c r="A36" s="33"/>
      <c r="B36" t="s">
        <v>49</v>
      </c>
    </row>
    <row r="37" spans="1:4" x14ac:dyDescent="0.3">
      <c r="A37" s="33"/>
      <c r="B37" t="s">
        <v>50</v>
      </c>
    </row>
    <row r="38" spans="1:4" x14ac:dyDescent="0.3">
      <c r="A38" s="33"/>
      <c r="B38" t="s">
        <v>51</v>
      </c>
    </row>
    <row r="40" spans="1:4" x14ac:dyDescent="0.3">
      <c r="A40" s="33" t="s">
        <v>66</v>
      </c>
      <c r="B40" t="s">
        <v>52</v>
      </c>
    </row>
    <row r="41" spans="1:4" x14ac:dyDescent="0.3">
      <c r="A41" s="33"/>
      <c r="B41" t="s">
        <v>53</v>
      </c>
    </row>
    <row r="42" spans="1:4" x14ac:dyDescent="0.3">
      <c r="A42" s="33"/>
      <c r="B42" t="s">
        <v>54</v>
      </c>
    </row>
    <row r="43" spans="1:4" x14ac:dyDescent="0.3">
      <c r="A43" s="33"/>
      <c r="B43" t="s">
        <v>55</v>
      </c>
    </row>
    <row r="46" spans="1:4" s="3" customFormat="1" x14ac:dyDescent="0.3">
      <c r="D46"/>
    </row>
    <row r="47" spans="1:4" x14ac:dyDescent="0.3">
      <c r="A47" s="33" t="s">
        <v>64</v>
      </c>
      <c r="B47" t="s">
        <v>56</v>
      </c>
      <c r="D47" s="3"/>
    </row>
    <row r="48" spans="1:4" x14ac:dyDescent="0.3">
      <c r="A48" s="33"/>
      <c r="B48" t="s">
        <v>57</v>
      </c>
    </row>
    <row r="49" spans="1:4" x14ac:dyDescent="0.3">
      <c r="A49" s="33"/>
      <c r="B49" t="s">
        <v>58</v>
      </c>
    </row>
    <row r="50" spans="1:4" x14ac:dyDescent="0.3">
      <c r="A50" s="33"/>
      <c r="B50" t="s">
        <v>59</v>
      </c>
    </row>
    <row r="52" spans="1:4" x14ac:dyDescent="0.3">
      <c r="A52" s="33" t="s">
        <v>65</v>
      </c>
      <c r="B52" t="s">
        <v>56</v>
      </c>
    </row>
    <row r="53" spans="1:4" x14ac:dyDescent="0.3">
      <c r="A53" s="33"/>
      <c r="B53" t="s">
        <v>57</v>
      </c>
    </row>
    <row r="54" spans="1:4" x14ac:dyDescent="0.3">
      <c r="A54" s="33"/>
      <c r="B54" t="s">
        <v>58</v>
      </c>
    </row>
    <row r="55" spans="1:4" x14ac:dyDescent="0.3">
      <c r="A55" s="33"/>
      <c r="B55" t="s">
        <v>59</v>
      </c>
    </row>
    <row r="57" spans="1:4" x14ac:dyDescent="0.3">
      <c r="A57" s="33" t="s">
        <v>66</v>
      </c>
      <c r="B57" t="s">
        <v>60</v>
      </c>
    </row>
    <row r="58" spans="1:4" x14ac:dyDescent="0.3">
      <c r="A58" s="33"/>
      <c r="B58" t="s">
        <v>61</v>
      </c>
    </row>
    <row r="59" spans="1:4" x14ac:dyDescent="0.3">
      <c r="A59" s="33"/>
      <c r="B59" t="s">
        <v>62</v>
      </c>
    </row>
    <row r="60" spans="1:4" x14ac:dyDescent="0.3">
      <c r="A60" s="33"/>
      <c r="B60" t="s">
        <v>63</v>
      </c>
    </row>
    <row r="61" spans="1:4" s="3" customFormat="1" x14ac:dyDescent="0.3">
      <c r="D61"/>
    </row>
    <row r="62" spans="1:4" x14ac:dyDescent="0.3">
      <c r="D62" s="3"/>
    </row>
    <row r="64" spans="1:4" x14ac:dyDescent="0.3">
      <c r="A64" s="33" t="s">
        <v>64</v>
      </c>
      <c r="B64" t="s">
        <v>67</v>
      </c>
    </row>
    <row r="65" spans="1:2" x14ac:dyDescent="0.3">
      <c r="A65" s="33"/>
      <c r="B65" t="s">
        <v>68</v>
      </c>
    </row>
    <row r="66" spans="1:2" x14ac:dyDescent="0.3">
      <c r="A66" s="33"/>
      <c r="B66" t="s">
        <v>69</v>
      </c>
    </row>
    <row r="67" spans="1:2" x14ac:dyDescent="0.3">
      <c r="A67" s="33"/>
      <c r="B67" t="s">
        <v>70</v>
      </c>
    </row>
    <row r="69" spans="1:2" x14ac:dyDescent="0.3">
      <c r="A69" s="33" t="s">
        <v>65</v>
      </c>
      <c r="B69" t="s">
        <v>67</v>
      </c>
    </row>
    <row r="70" spans="1:2" x14ac:dyDescent="0.3">
      <c r="A70" s="33"/>
      <c r="B70" t="s">
        <v>68</v>
      </c>
    </row>
    <row r="71" spans="1:2" x14ac:dyDescent="0.3">
      <c r="A71" s="33"/>
      <c r="B71" t="s">
        <v>69</v>
      </c>
    </row>
    <row r="72" spans="1:2" x14ac:dyDescent="0.3">
      <c r="A72" s="33"/>
      <c r="B72" t="s">
        <v>70</v>
      </c>
    </row>
    <row r="74" spans="1:2" x14ac:dyDescent="0.3">
      <c r="A74" s="33" t="s">
        <v>66</v>
      </c>
      <c r="B74" t="s">
        <v>71</v>
      </c>
    </row>
    <row r="75" spans="1:2" x14ac:dyDescent="0.3">
      <c r="A75" s="33"/>
      <c r="B75" t="s">
        <v>72</v>
      </c>
    </row>
    <row r="76" spans="1:2" x14ac:dyDescent="0.3">
      <c r="A76" s="33"/>
      <c r="B76" t="s">
        <v>73</v>
      </c>
    </row>
    <row r="77" spans="1:2" x14ac:dyDescent="0.3">
      <c r="A77" s="33"/>
      <c r="B77" t="s">
        <v>74</v>
      </c>
    </row>
  </sheetData>
  <mergeCells count="12">
    <mergeCell ref="A74:A77"/>
    <mergeCell ref="A20:A23"/>
    <mergeCell ref="A15:A18"/>
    <mergeCell ref="A25:A28"/>
    <mergeCell ref="A30:A33"/>
    <mergeCell ref="A35:A38"/>
    <mergeCell ref="A40:A43"/>
    <mergeCell ref="A47:A50"/>
    <mergeCell ref="A52:A55"/>
    <mergeCell ref="A57:A60"/>
    <mergeCell ref="A64:A67"/>
    <mergeCell ref="A69:A7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8023-573F-4151-938E-EE9D095718D2}">
  <dimension ref="B1:H3"/>
  <sheetViews>
    <sheetView topLeftCell="A7" workbookViewId="0">
      <selection activeCell="A14" sqref="A14"/>
    </sheetView>
  </sheetViews>
  <sheetFormatPr defaultRowHeight="14.4" x14ac:dyDescent="0.3"/>
  <sheetData>
    <row r="1" spans="2:8" x14ac:dyDescent="0.3">
      <c r="H1" t="s">
        <v>163</v>
      </c>
    </row>
    <row r="2" spans="2:8" x14ac:dyDescent="0.3">
      <c r="B2" t="s">
        <v>75</v>
      </c>
      <c r="E2" t="s">
        <v>162</v>
      </c>
      <c r="H2" t="s">
        <v>164</v>
      </c>
    </row>
    <row r="3" spans="2:8" x14ac:dyDescent="0.3">
      <c r="H3" t="s">
        <v>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4FF9-A706-4931-A7CC-77CAD6DF39B0}">
  <dimension ref="A1:N5"/>
  <sheetViews>
    <sheetView workbookViewId="0">
      <selection activeCell="A11" sqref="A11"/>
    </sheetView>
  </sheetViews>
  <sheetFormatPr defaultRowHeight="14.4" x14ac:dyDescent="0.3"/>
  <cols>
    <col min="1" max="1" width="39.21875" customWidth="1"/>
    <col min="2" max="2" width="25.88671875" customWidth="1"/>
  </cols>
  <sheetData>
    <row r="1" spans="1:14" x14ac:dyDescent="0.3">
      <c r="K1" t="s">
        <v>36</v>
      </c>
      <c r="L1" t="s">
        <v>33</v>
      </c>
      <c r="M1" t="s">
        <v>34</v>
      </c>
      <c r="N1" t="s">
        <v>35</v>
      </c>
    </row>
    <row r="2" spans="1:14" s="2" customFormat="1" x14ac:dyDescent="0.3">
      <c r="C2" s="2" t="s">
        <v>16</v>
      </c>
      <c r="D2" s="2" t="s">
        <v>19</v>
      </c>
      <c r="E2" s="2" t="s">
        <v>20</v>
      </c>
      <c r="F2" s="2" t="s">
        <v>16</v>
      </c>
      <c r="G2" s="2" t="s">
        <v>17</v>
      </c>
      <c r="H2" s="2" t="s">
        <v>25</v>
      </c>
      <c r="I2" s="2" t="s">
        <v>26</v>
      </c>
      <c r="J2" s="2" t="s">
        <v>31</v>
      </c>
      <c r="K2" s="2" t="s">
        <v>27</v>
      </c>
      <c r="L2" s="2" t="s">
        <v>28</v>
      </c>
      <c r="M2" s="2" t="s">
        <v>29</v>
      </c>
      <c r="N2" s="2" t="s">
        <v>30</v>
      </c>
    </row>
    <row r="3" spans="1:14" s="2" customFormat="1" x14ac:dyDescent="0.3">
      <c r="A3" s="2" t="s">
        <v>37</v>
      </c>
      <c r="B3" s="2" t="s">
        <v>22</v>
      </c>
      <c r="C3" t="s">
        <v>21</v>
      </c>
      <c r="D3" s="2">
        <v>16</v>
      </c>
      <c r="E3" s="2" t="s">
        <v>11</v>
      </c>
      <c r="F3" s="2">
        <v>400</v>
      </c>
      <c r="G3" s="2">
        <v>300</v>
      </c>
      <c r="H3" s="2">
        <v>40</v>
      </c>
      <c r="I3" s="2">
        <v>80</v>
      </c>
      <c r="J3" s="2" t="s">
        <v>32</v>
      </c>
    </row>
    <row r="4" spans="1:14" s="2" customFormat="1" x14ac:dyDescent="0.3">
      <c r="A4" s="2" t="s">
        <v>24</v>
      </c>
      <c r="B4" s="2" t="s">
        <v>23</v>
      </c>
      <c r="C4" t="s">
        <v>18</v>
      </c>
      <c r="D4" s="2">
        <v>16</v>
      </c>
      <c r="E4" s="2" t="s">
        <v>11</v>
      </c>
      <c r="F4" s="2">
        <v>400</v>
      </c>
      <c r="G4" s="2">
        <v>300</v>
      </c>
      <c r="H4" s="2">
        <v>40</v>
      </c>
      <c r="I4" s="2">
        <v>80</v>
      </c>
      <c r="J4" s="2" t="s">
        <v>32</v>
      </c>
    </row>
    <row r="5" spans="1:14" s="2" customFormat="1" x14ac:dyDescent="0.3"/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732C-71E8-405D-9CE5-BD114ECA97BA}">
  <dimension ref="A2:W64"/>
  <sheetViews>
    <sheetView topLeftCell="A38" workbookViewId="0">
      <selection activeCell="L46" sqref="L46"/>
    </sheetView>
  </sheetViews>
  <sheetFormatPr defaultRowHeight="14.4" x14ac:dyDescent="0.3"/>
  <cols>
    <col min="1" max="1" width="10.33203125" customWidth="1"/>
    <col min="2" max="2" width="7.5546875" customWidth="1"/>
    <col min="7" max="7" width="10.44140625" style="2" customWidth="1"/>
    <col min="8" max="11" width="8.88671875" style="2"/>
  </cols>
  <sheetData>
    <row r="2" spans="1:23" ht="28.8" x14ac:dyDescent="0.3">
      <c r="C2" t="s">
        <v>2</v>
      </c>
      <c r="D2" t="s">
        <v>177</v>
      </c>
      <c r="E2" t="s">
        <v>4</v>
      </c>
      <c r="F2" t="s">
        <v>116</v>
      </c>
      <c r="G2" s="2" t="s">
        <v>5</v>
      </c>
      <c r="I2" s="2" t="s">
        <v>80</v>
      </c>
      <c r="J2" s="13" t="s">
        <v>176</v>
      </c>
      <c r="Q2" t="s">
        <v>184</v>
      </c>
      <c r="S2" t="s">
        <v>185</v>
      </c>
      <c r="T2" t="s">
        <v>186</v>
      </c>
      <c r="U2" t="s">
        <v>187</v>
      </c>
      <c r="W2" t="s">
        <v>188</v>
      </c>
    </row>
    <row r="3" spans="1:23" x14ac:dyDescent="0.3">
      <c r="A3" s="22"/>
    </row>
    <row r="4" spans="1:23" x14ac:dyDescent="0.3">
      <c r="A4" s="34" t="s">
        <v>166</v>
      </c>
      <c r="B4" s="34" t="s">
        <v>168</v>
      </c>
      <c r="C4" s="17" t="s">
        <v>174</v>
      </c>
      <c r="D4">
        <v>18</v>
      </c>
      <c r="E4" t="s">
        <v>173</v>
      </c>
      <c r="F4" s="16">
        <v>4068</v>
      </c>
      <c r="G4" s="2" t="s">
        <v>13</v>
      </c>
      <c r="H4" s="2" t="s">
        <v>172</v>
      </c>
      <c r="I4" s="2" t="s">
        <v>170</v>
      </c>
      <c r="J4" s="2" t="s">
        <v>175</v>
      </c>
    </row>
    <row r="5" spans="1:23" x14ac:dyDescent="0.3">
      <c r="A5" s="34"/>
      <c r="B5" s="34"/>
      <c r="C5" s="17" t="s">
        <v>174</v>
      </c>
      <c r="D5">
        <v>18</v>
      </c>
      <c r="E5" t="s">
        <v>173</v>
      </c>
      <c r="F5" s="16">
        <v>3068</v>
      </c>
      <c r="G5" s="2" t="s">
        <v>13</v>
      </c>
      <c r="H5" s="2" t="s">
        <v>172</v>
      </c>
      <c r="I5" s="2" t="s">
        <v>170</v>
      </c>
      <c r="J5" s="2" t="s">
        <v>175</v>
      </c>
    </row>
    <row r="6" spans="1:23" x14ac:dyDescent="0.3">
      <c r="A6" s="34"/>
      <c r="B6" s="34"/>
      <c r="C6" s="17" t="s">
        <v>174</v>
      </c>
      <c r="D6">
        <v>18</v>
      </c>
      <c r="E6" t="s">
        <v>173</v>
      </c>
      <c r="F6" s="16">
        <v>2868</v>
      </c>
      <c r="G6" s="2" t="s">
        <v>13</v>
      </c>
      <c r="H6" s="2" t="s">
        <v>172</v>
      </c>
      <c r="I6" s="2" t="s">
        <v>170</v>
      </c>
      <c r="J6" s="2" t="s">
        <v>175</v>
      </c>
    </row>
    <row r="7" spans="1:23" x14ac:dyDescent="0.3">
      <c r="A7" s="34"/>
      <c r="B7" s="34"/>
      <c r="C7" s="20" t="s">
        <v>174</v>
      </c>
      <c r="D7" s="14">
        <v>18</v>
      </c>
      <c r="E7" s="14" t="s">
        <v>173</v>
      </c>
      <c r="F7" s="19">
        <v>2870</v>
      </c>
      <c r="G7" s="15" t="s">
        <v>13</v>
      </c>
      <c r="H7" s="15" t="s">
        <v>172</v>
      </c>
      <c r="I7" s="15" t="s">
        <v>170</v>
      </c>
      <c r="J7" s="15" t="s">
        <v>175</v>
      </c>
    </row>
    <row r="8" spans="1:23" x14ac:dyDescent="0.3">
      <c r="A8" s="34"/>
      <c r="B8" s="34"/>
      <c r="C8" s="20" t="s">
        <v>174</v>
      </c>
      <c r="D8" s="14">
        <v>18</v>
      </c>
      <c r="E8" s="14" t="s">
        <v>173</v>
      </c>
      <c r="F8" s="19">
        <v>3070</v>
      </c>
      <c r="G8" s="15" t="s">
        <v>13</v>
      </c>
      <c r="H8" s="15" t="s">
        <v>172</v>
      </c>
      <c r="I8" s="15" t="s">
        <v>170</v>
      </c>
      <c r="J8" s="15" t="s">
        <v>175</v>
      </c>
    </row>
    <row r="9" spans="1:23" x14ac:dyDescent="0.3">
      <c r="A9" s="34"/>
      <c r="B9" s="34"/>
      <c r="C9" s="20" t="s">
        <v>174</v>
      </c>
      <c r="D9" s="14">
        <v>18</v>
      </c>
      <c r="E9" s="14" t="s">
        <v>173</v>
      </c>
      <c r="F9" s="19">
        <v>4070</v>
      </c>
      <c r="G9" s="15" t="s">
        <v>13</v>
      </c>
      <c r="H9" s="15" t="s">
        <v>172</v>
      </c>
      <c r="I9" s="15" t="s">
        <v>170</v>
      </c>
      <c r="J9" s="15" t="s">
        <v>175</v>
      </c>
    </row>
    <row r="10" spans="1:23" x14ac:dyDescent="0.3">
      <c r="A10" s="34"/>
      <c r="B10" s="34" t="s">
        <v>167</v>
      </c>
      <c r="C10" s="17" t="s">
        <v>174</v>
      </c>
      <c r="D10">
        <v>18</v>
      </c>
      <c r="E10" t="s">
        <v>173</v>
      </c>
      <c r="F10" s="16">
        <v>4070</v>
      </c>
      <c r="G10" s="2" t="s">
        <v>13</v>
      </c>
      <c r="H10" s="2" t="s">
        <v>172</v>
      </c>
      <c r="I10" s="2" t="s">
        <v>170</v>
      </c>
      <c r="J10" s="2" t="s">
        <v>169</v>
      </c>
    </row>
    <row r="11" spans="1:23" x14ac:dyDescent="0.3">
      <c r="A11" s="34"/>
      <c r="B11" s="34"/>
      <c r="C11" s="17" t="s">
        <v>174</v>
      </c>
      <c r="D11">
        <v>18</v>
      </c>
      <c r="E11" t="s">
        <v>173</v>
      </c>
      <c r="F11" s="16">
        <v>3070</v>
      </c>
      <c r="G11" s="2" t="s">
        <v>13</v>
      </c>
      <c r="H11" s="2" t="s">
        <v>172</v>
      </c>
      <c r="I11" s="2" t="s">
        <v>170</v>
      </c>
      <c r="J11" s="2" t="s">
        <v>169</v>
      </c>
    </row>
    <row r="12" spans="1:23" x14ac:dyDescent="0.3">
      <c r="A12" s="34"/>
      <c r="B12" s="34"/>
      <c r="C12" s="17" t="s">
        <v>174</v>
      </c>
      <c r="D12">
        <v>18</v>
      </c>
      <c r="E12" t="s">
        <v>173</v>
      </c>
      <c r="F12" s="16">
        <v>2870</v>
      </c>
      <c r="G12" s="2" t="s">
        <v>13</v>
      </c>
      <c r="H12" s="2" t="s">
        <v>172</v>
      </c>
      <c r="I12" s="2" t="s">
        <v>171</v>
      </c>
      <c r="J12" s="2" t="s">
        <v>169</v>
      </c>
    </row>
    <row r="13" spans="1:23" x14ac:dyDescent="0.3">
      <c r="A13" s="34"/>
      <c r="B13" s="34"/>
      <c r="C13" s="20" t="s">
        <v>174</v>
      </c>
      <c r="D13" s="14">
        <v>18</v>
      </c>
      <c r="E13" s="14" t="s">
        <v>173</v>
      </c>
      <c r="F13" s="19">
        <v>2868</v>
      </c>
      <c r="G13" s="15" t="s">
        <v>13</v>
      </c>
      <c r="H13" s="15" t="s">
        <v>172</v>
      </c>
      <c r="I13" s="15" t="s">
        <v>171</v>
      </c>
      <c r="J13" s="15" t="s">
        <v>169</v>
      </c>
    </row>
    <row r="14" spans="1:23" x14ac:dyDescent="0.3">
      <c r="A14" s="34"/>
      <c r="B14" s="34"/>
      <c r="C14" s="20" t="s">
        <v>174</v>
      </c>
      <c r="D14" s="14">
        <v>18</v>
      </c>
      <c r="E14" s="14" t="s">
        <v>173</v>
      </c>
      <c r="F14" s="19">
        <v>3068</v>
      </c>
      <c r="G14" s="15" t="s">
        <v>13</v>
      </c>
      <c r="H14" s="15" t="s">
        <v>172</v>
      </c>
      <c r="I14" s="15" t="s">
        <v>170</v>
      </c>
      <c r="J14" s="15" t="s">
        <v>169</v>
      </c>
    </row>
    <row r="15" spans="1:23" ht="15" thickBot="1" x14ac:dyDescent="0.35">
      <c r="A15" s="34"/>
      <c r="B15" s="35"/>
      <c r="C15" s="28" t="s">
        <v>174</v>
      </c>
      <c r="D15" s="24">
        <v>18</v>
      </c>
      <c r="E15" s="24" t="s">
        <v>173</v>
      </c>
      <c r="F15" s="23">
        <v>4068</v>
      </c>
      <c r="G15" s="25" t="s">
        <v>13</v>
      </c>
      <c r="H15" s="25" t="s">
        <v>172</v>
      </c>
      <c r="I15" s="25" t="s">
        <v>170</v>
      </c>
      <c r="J15" s="25" t="s">
        <v>169</v>
      </c>
    </row>
    <row r="16" spans="1:23" ht="14.4" customHeight="1" x14ac:dyDescent="0.3">
      <c r="B16" s="33" t="s">
        <v>179</v>
      </c>
      <c r="C16" s="29" t="s">
        <v>174</v>
      </c>
      <c r="D16">
        <v>18</v>
      </c>
      <c r="E16" t="s">
        <v>173</v>
      </c>
      <c r="F16" s="7">
        <v>4070</v>
      </c>
      <c r="G16" s="2" t="s">
        <v>13</v>
      </c>
      <c r="H16" s="2" t="s">
        <v>172</v>
      </c>
      <c r="I16" s="2" t="s">
        <v>170</v>
      </c>
      <c r="J16" s="31" t="s">
        <v>181</v>
      </c>
      <c r="K16" s="27" t="s">
        <v>180</v>
      </c>
    </row>
    <row r="17" spans="2:11" x14ac:dyDescent="0.3">
      <c r="B17" s="33"/>
      <c r="C17" s="29" t="s">
        <v>174</v>
      </c>
      <c r="D17">
        <v>18</v>
      </c>
      <c r="E17" t="s">
        <v>173</v>
      </c>
      <c r="F17">
        <v>3070</v>
      </c>
      <c r="G17" s="2" t="s">
        <v>13</v>
      </c>
      <c r="H17" s="2" t="s">
        <v>172</v>
      </c>
      <c r="I17" s="2" t="s">
        <v>170</v>
      </c>
      <c r="J17" s="31" t="s">
        <v>181</v>
      </c>
    </row>
    <row r="18" spans="2:11" x14ac:dyDescent="0.3">
      <c r="B18" s="33"/>
      <c r="C18" s="29" t="s">
        <v>174</v>
      </c>
      <c r="D18">
        <v>18</v>
      </c>
      <c r="E18" t="s">
        <v>173</v>
      </c>
      <c r="F18">
        <v>2870</v>
      </c>
      <c r="G18" s="2" t="s">
        <v>13</v>
      </c>
      <c r="H18" s="2" t="s">
        <v>172</v>
      </c>
      <c r="I18" s="2" t="s">
        <v>171</v>
      </c>
      <c r="J18" s="31" t="s">
        <v>181</v>
      </c>
    </row>
    <row r="19" spans="2:11" x14ac:dyDescent="0.3">
      <c r="B19" s="33"/>
      <c r="C19" s="30" t="s">
        <v>174</v>
      </c>
      <c r="D19" s="14">
        <v>18</v>
      </c>
      <c r="E19" s="14" t="s">
        <v>173</v>
      </c>
      <c r="F19" s="19">
        <v>2868</v>
      </c>
      <c r="G19" s="15" t="s">
        <v>13</v>
      </c>
      <c r="H19" s="15" t="s">
        <v>172</v>
      </c>
      <c r="I19" s="15" t="s">
        <v>171</v>
      </c>
      <c r="J19" s="32" t="s">
        <v>181</v>
      </c>
    </row>
    <row r="20" spans="2:11" x14ac:dyDescent="0.3">
      <c r="B20" s="33"/>
      <c r="C20" s="30" t="s">
        <v>174</v>
      </c>
      <c r="D20" s="14">
        <v>18</v>
      </c>
      <c r="E20" s="14" t="s">
        <v>173</v>
      </c>
      <c r="F20" s="19">
        <v>3068</v>
      </c>
      <c r="G20" s="15" t="s">
        <v>13</v>
      </c>
      <c r="H20" s="15" t="s">
        <v>172</v>
      </c>
      <c r="I20" s="15" t="s">
        <v>170</v>
      </c>
      <c r="J20" s="32" t="s">
        <v>181</v>
      </c>
    </row>
    <row r="21" spans="2:11" ht="15" thickBot="1" x14ac:dyDescent="0.35">
      <c r="B21" s="33"/>
      <c r="C21" s="30" t="s">
        <v>174</v>
      </c>
      <c r="D21" s="14">
        <v>18</v>
      </c>
      <c r="E21" s="14" t="s">
        <v>173</v>
      </c>
      <c r="F21" s="14">
        <v>4068</v>
      </c>
      <c r="G21" s="15" t="s">
        <v>13</v>
      </c>
      <c r="H21" s="15" t="s">
        <v>172</v>
      </c>
      <c r="I21" s="15" t="s">
        <v>170</v>
      </c>
      <c r="J21" s="32" t="s">
        <v>181</v>
      </c>
    </row>
    <row r="22" spans="2:11" ht="14.4" customHeight="1" x14ac:dyDescent="0.3">
      <c r="B22" s="36" t="s">
        <v>182</v>
      </c>
      <c r="C22" s="29" t="s">
        <v>174</v>
      </c>
      <c r="D22">
        <v>18</v>
      </c>
      <c r="E22" t="s">
        <v>173</v>
      </c>
      <c r="F22" s="7">
        <v>4070</v>
      </c>
      <c r="G22" s="2" t="s">
        <v>13</v>
      </c>
      <c r="H22" s="2" t="s">
        <v>172</v>
      </c>
      <c r="I22" s="2" t="s">
        <v>170</v>
      </c>
      <c r="J22" s="31" t="s">
        <v>181</v>
      </c>
      <c r="K22" s="27" t="s">
        <v>180</v>
      </c>
    </row>
    <row r="23" spans="2:11" x14ac:dyDescent="0.3">
      <c r="B23" s="37"/>
      <c r="C23" s="29" t="s">
        <v>174</v>
      </c>
      <c r="D23">
        <v>18</v>
      </c>
      <c r="E23" t="s">
        <v>173</v>
      </c>
      <c r="F23">
        <v>3070</v>
      </c>
      <c r="G23" s="2" t="s">
        <v>13</v>
      </c>
      <c r="H23" s="2" t="s">
        <v>172</v>
      </c>
      <c r="I23" s="2" t="s">
        <v>170</v>
      </c>
      <c r="J23" s="31" t="s">
        <v>181</v>
      </c>
    </row>
    <row r="24" spans="2:11" x14ac:dyDescent="0.3">
      <c r="B24" s="37"/>
      <c r="C24" s="29" t="s">
        <v>174</v>
      </c>
      <c r="D24">
        <v>18</v>
      </c>
      <c r="E24" t="s">
        <v>173</v>
      </c>
      <c r="F24">
        <v>2870</v>
      </c>
      <c r="G24" s="2" t="s">
        <v>13</v>
      </c>
      <c r="H24" s="2" t="s">
        <v>172</v>
      </c>
      <c r="I24" s="2" t="s">
        <v>171</v>
      </c>
      <c r="J24" s="31" t="s">
        <v>181</v>
      </c>
    </row>
    <row r="25" spans="2:11" x14ac:dyDescent="0.3">
      <c r="B25" s="37"/>
      <c r="C25" s="30" t="s">
        <v>174</v>
      </c>
      <c r="D25" s="14">
        <v>18</v>
      </c>
      <c r="E25" s="14" t="s">
        <v>173</v>
      </c>
      <c r="F25" s="19">
        <v>2868</v>
      </c>
      <c r="G25" s="15" t="s">
        <v>13</v>
      </c>
      <c r="H25" s="15" t="s">
        <v>172</v>
      </c>
      <c r="I25" s="15" t="s">
        <v>171</v>
      </c>
      <c r="J25" s="31" t="s">
        <v>181</v>
      </c>
    </row>
    <row r="26" spans="2:11" x14ac:dyDescent="0.3">
      <c r="B26" s="37"/>
      <c r="C26" s="30" t="s">
        <v>174</v>
      </c>
      <c r="D26" s="14">
        <v>18</v>
      </c>
      <c r="E26" s="14" t="s">
        <v>173</v>
      </c>
      <c r="F26" s="19">
        <v>3068</v>
      </c>
      <c r="G26" s="15" t="s">
        <v>13</v>
      </c>
      <c r="H26" s="15" t="s">
        <v>172</v>
      </c>
      <c r="I26" s="15" t="s">
        <v>170</v>
      </c>
      <c r="J26" s="31" t="s">
        <v>181</v>
      </c>
    </row>
    <row r="27" spans="2:11" ht="15" thickBot="1" x14ac:dyDescent="0.35">
      <c r="B27" s="38"/>
      <c r="C27" s="30" t="s">
        <v>174</v>
      </c>
      <c r="D27" s="14">
        <v>18</v>
      </c>
      <c r="E27" s="14" t="s">
        <v>173</v>
      </c>
      <c r="F27" s="14">
        <v>4068</v>
      </c>
      <c r="G27" s="15" t="s">
        <v>13</v>
      </c>
      <c r="H27" s="15" t="s">
        <v>172</v>
      </c>
      <c r="I27" s="15" t="s">
        <v>170</v>
      </c>
      <c r="J27" s="31" t="s">
        <v>181</v>
      </c>
    </row>
    <row r="28" spans="2:11" ht="14.4" customHeight="1" x14ac:dyDescent="0.3">
      <c r="B28" s="36" t="s">
        <v>183</v>
      </c>
      <c r="C28" s="29" t="s">
        <v>174</v>
      </c>
      <c r="D28">
        <v>18</v>
      </c>
      <c r="E28" t="s">
        <v>173</v>
      </c>
      <c r="F28" s="7">
        <v>4070</v>
      </c>
      <c r="G28" s="2" t="s">
        <v>13</v>
      </c>
      <c r="H28" s="2" t="s">
        <v>172</v>
      </c>
      <c r="I28" s="2" t="s">
        <v>170</v>
      </c>
      <c r="J28" s="31" t="s">
        <v>181</v>
      </c>
      <c r="K28" s="27" t="s">
        <v>180</v>
      </c>
    </row>
    <row r="29" spans="2:11" x14ac:dyDescent="0.3">
      <c r="B29" s="37"/>
      <c r="C29" s="29" t="s">
        <v>174</v>
      </c>
      <c r="D29">
        <v>18</v>
      </c>
      <c r="E29" t="s">
        <v>173</v>
      </c>
      <c r="F29">
        <v>3070</v>
      </c>
      <c r="G29" s="2" t="s">
        <v>13</v>
      </c>
      <c r="H29" s="2" t="s">
        <v>172</v>
      </c>
      <c r="I29" s="2" t="s">
        <v>170</v>
      </c>
      <c r="J29" s="31" t="s">
        <v>181</v>
      </c>
    </row>
    <row r="30" spans="2:11" x14ac:dyDescent="0.3">
      <c r="B30" s="37"/>
      <c r="C30" s="29" t="s">
        <v>174</v>
      </c>
      <c r="D30">
        <v>18</v>
      </c>
      <c r="E30" t="s">
        <v>173</v>
      </c>
      <c r="F30">
        <v>2870</v>
      </c>
      <c r="G30" s="2" t="s">
        <v>13</v>
      </c>
      <c r="H30" s="2" t="s">
        <v>172</v>
      </c>
      <c r="I30" s="2" t="s">
        <v>171</v>
      </c>
      <c r="J30" s="31" t="s">
        <v>181</v>
      </c>
    </row>
    <row r="31" spans="2:11" x14ac:dyDescent="0.3">
      <c r="B31" s="37"/>
      <c r="C31" s="30" t="s">
        <v>174</v>
      </c>
      <c r="D31" s="14">
        <v>18</v>
      </c>
      <c r="E31" s="14" t="s">
        <v>173</v>
      </c>
      <c r="F31" s="19">
        <v>2868</v>
      </c>
      <c r="G31" s="15" t="s">
        <v>13</v>
      </c>
      <c r="H31" s="15" t="s">
        <v>172</v>
      </c>
      <c r="I31" s="15" t="s">
        <v>171</v>
      </c>
      <c r="J31" s="31" t="s">
        <v>181</v>
      </c>
    </row>
    <row r="32" spans="2:11" x14ac:dyDescent="0.3">
      <c r="B32" s="37"/>
      <c r="C32" s="30" t="s">
        <v>174</v>
      </c>
      <c r="D32" s="14">
        <v>18</v>
      </c>
      <c r="E32" s="14" t="s">
        <v>173</v>
      </c>
      <c r="F32" s="19">
        <v>3068</v>
      </c>
      <c r="G32" s="15" t="s">
        <v>13</v>
      </c>
      <c r="H32" s="15" t="s">
        <v>172</v>
      </c>
      <c r="I32" s="15" t="s">
        <v>170</v>
      </c>
      <c r="J32" s="31" t="s">
        <v>181</v>
      </c>
    </row>
    <row r="33" spans="1:10" ht="15" thickBot="1" x14ac:dyDescent="0.35">
      <c r="B33" s="38"/>
      <c r="C33" s="30" t="s">
        <v>174</v>
      </c>
      <c r="D33" s="14">
        <v>18</v>
      </c>
      <c r="E33" s="14" t="s">
        <v>173</v>
      </c>
      <c r="F33" s="14">
        <v>4068</v>
      </c>
      <c r="G33" s="15" t="s">
        <v>13</v>
      </c>
      <c r="H33" s="15" t="s">
        <v>172</v>
      </c>
      <c r="I33" s="15" t="s">
        <v>170</v>
      </c>
      <c r="J33" s="31" t="s">
        <v>181</v>
      </c>
    </row>
    <row r="34" spans="1:10" x14ac:dyDescent="0.3">
      <c r="B34" s="26"/>
      <c r="C34" s="30"/>
      <c r="D34" s="14"/>
      <c r="E34" s="14"/>
      <c r="F34" s="14"/>
      <c r="G34" s="15"/>
      <c r="H34" s="15"/>
      <c r="I34" s="15"/>
      <c r="J34" s="31"/>
    </row>
    <row r="35" spans="1:10" x14ac:dyDescent="0.3">
      <c r="B35" s="26"/>
      <c r="C35" s="30"/>
      <c r="D35" s="14"/>
      <c r="E35" s="14"/>
      <c r="F35" s="14"/>
      <c r="G35" s="15"/>
      <c r="H35" s="15"/>
      <c r="I35" s="15"/>
      <c r="J35" s="31"/>
    </row>
    <row r="36" spans="1:10" x14ac:dyDescent="0.3">
      <c r="B36" s="26"/>
      <c r="C36" s="30"/>
      <c r="D36" s="14"/>
      <c r="E36" s="14"/>
      <c r="F36" s="14"/>
      <c r="G36" s="15"/>
      <c r="H36" s="15"/>
      <c r="I36" s="15"/>
      <c r="J36" s="31"/>
    </row>
    <row r="37" spans="1:10" x14ac:dyDescent="0.3">
      <c r="B37" s="26"/>
      <c r="C37" s="30"/>
      <c r="D37" s="14"/>
      <c r="E37" s="14"/>
      <c r="F37" s="14"/>
      <c r="G37" s="15"/>
      <c r="H37" s="15"/>
      <c r="I37" s="15"/>
      <c r="J37" s="31"/>
    </row>
    <row r="38" spans="1:10" x14ac:dyDescent="0.3">
      <c r="B38" s="26"/>
      <c r="C38" s="30"/>
      <c r="D38" s="14"/>
      <c r="E38" s="14"/>
      <c r="F38" s="14"/>
      <c r="G38" s="15"/>
      <c r="H38" s="15"/>
      <c r="I38" s="15"/>
      <c r="J38" s="31"/>
    </row>
    <row r="39" spans="1:10" x14ac:dyDescent="0.3">
      <c r="B39" s="26"/>
      <c r="C39" s="30"/>
      <c r="D39" s="14"/>
      <c r="E39" s="14"/>
      <c r="F39" s="14"/>
      <c r="G39" s="15"/>
      <c r="H39" s="15"/>
      <c r="I39" s="15"/>
      <c r="J39" s="31"/>
    </row>
    <row r="40" spans="1:10" x14ac:dyDescent="0.3">
      <c r="B40" s="26"/>
      <c r="C40" s="30"/>
      <c r="D40" s="14"/>
      <c r="E40" s="14"/>
      <c r="F40" s="14"/>
      <c r="G40" s="15"/>
      <c r="H40" s="15"/>
      <c r="I40" s="15"/>
      <c r="J40" s="31"/>
    </row>
    <row r="41" spans="1:10" x14ac:dyDescent="0.3">
      <c r="B41" s="26"/>
      <c r="C41" s="30"/>
      <c r="D41" s="14"/>
      <c r="E41" s="14"/>
      <c r="F41" s="14"/>
      <c r="G41" s="15"/>
      <c r="H41" s="15"/>
      <c r="I41" s="15"/>
      <c r="J41" s="31"/>
    </row>
    <row r="42" spans="1:10" x14ac:dyDescent="0.3">
      <c r="F42" s="16"/>
    </row>
    <row r="47" spans="1:10" x14ac:dyDescent="0.3">
      <c r="A47" s="34" t="s">
        <v>178</v>
      </c>
      <c r="B47" s="34" t="s">
        <v>168</v>
      </c>
      <c r="C47" s="17" t="s">
        <v>174</v>
      </c>
      <c r="D47">
        <v>16</v>
      </c>
      <c r="E47" t="s">
        <v>173</v>
      </c>
      <c r="F47" s="16">
        <v>4068</v>
      </c>
      <c r="G47" s="2" t="s">
        <v>13</v>
      </c>
      <c r="H47" s="2" t="s">
        <v>172</v>
      </c>
      <c r="I47" s="2" t="s">
        <v>170</v>
      </c>
      <c r="J47" s="2" t="s">
        <v>175</v>
      </c>
    </row>
    <row r="48" spans="1:10" x14ac:dyDescent="0.3">
      <c r="A48" s="34"/>
      <c r="B48" s="34"/>
      <c r="C48" s="17" t="s">
        <v>174</v>
      </c>
      <c r="D48">
        <v>16</v>
      </c>
      <c r="E48" t="s">
        <v>173</v>
      </c>
      <c r="F48" s="16">
        <v>3068</v>
      </c>
      <c r="G48" s="2" t="s">
        <v>13</v>
      </c>
      <c r="H48" s="2" t="s">
        <v>172</v>
      </c>
      <c r="I48" s="2" t="s">
        <v>170</v>
      </c>
      <c r="J48" s="2" t="s">
        <v>175</v>
      </c>
    </row>
    <row r="49" spans="1:11" x14ac:dyDescent="0.3">
      <c r="A49" s="34"/>
      <c r="B49" s="34"/>
      <c r="C49" s="17" t="s">
        <v>174</v>
      </c>
      <c r="D49">
        <v>16</v>
      </c>
      <c r="E49" t="s">
        <v>173</v>
      </c>
      <c r="F49" s="16">
        <v>2868</v>
      </c>
      <c r="G49" s="2" t="s">
        <v>13</v>
      </c>
      <c r="H49" s="2" t="s">
        <v>172</v>
      </c>
      <c r="I49" s="2" t="s">
        <v>170</v>
      </c>
      <c r="J49" s="2" t="s">
        <v>175</v>
      </c>
    </row>
    <row r="50" spans="1:11" x14ac:dyDescent="0.3">
      <c r="A50" s="34"/>
      <c r="B50" s="34"/>
      <c r="C50" s="20" t="s">
        <v>174</v>
      </c>
      <c r="D50" s="20">
        <v>16</v>
      </c>
      <c r="E50" s="20" t="s">
        <v>173</v>
      </c>
      <c r="F50" s="19">
        <v>2870</v>
      </c>
      <c r="G50" s="21" t="s">
        <v>13</v>
      </c>
      <c r="H50" s="21" t="s">
        <v>172</v>
      </c>
      <c r="I50" s="21" t="s">
        <v>170</v>
      </c>
      <c r="J50" s="15" t="s">
        <v>175</v>
      </c>
    </row>
    <row r="51" spans="1:11" x14ac:dyDescent="0.3">
      <c r="A51" s="34"/>
      <c r="B51" s="34"/>
      <c r="C51" s="20" t="s">
        <v>174</v>
      </c>
      <c r="D51" s="20">
        <v>16</v>
      </c>
      <c r="E51" s="20" t="s">
        <v>173</v>
      </c>
      <c r="F51" s="19">
        <v>3070</v>
      </c>
      <c r="G51" s="21" t="s">
        <v>13</v>
      </c>
      <c r="H51" s="21" t="s">
        <v>172</v>
      </c>
      <c r="I51" s="21" t="s">
        <v>170</v>
      </c>
      <c r="J51" s="15" t="s">
        <v>175</v>
      </c>
    </row>
    <row r="52" spans="1:11" x14ac:dyDescent="0.3">
      <c r="A52" s="34"/>
      <c r="B52" s="34"/>
      <c r="C52" s="20" t="s">
        <v>174</v>
      </c>
      <c r="D52" s="14">
        <v>16</v>
      </c>
      <c r="E52" s="14" t="s">
        <v>173</v>
      </c>
      <c r="F52" s="19">
        <v>4070</v>
      </c>
      <c r="G52" s="15" t="s">
        <v>13</v>
      </c>
      <c r="H52" s="15" t="s">
        <v>172</v>
      </c>
      <c r="I52" s="15" t="s">
        <v>170</v>
      </c>
      <c r="J52" s="15" t="s">
        <v>175</v>
      </c>
    </row>
    <row r="53" spans="1:11" x14ac:dyDescent="0.3">
      <c r="A53" s="34"/>
      <c r="B53" s="34" t="s">
        <v>167</v>
      </c>
      <c r="C53" s="17" t="s">
        <v>174</v>
      </c>
      <c r="D53" s="17">
        <v>16</v>
      </c>
      <c r="E53" s="17" t="s">
        <v>173</v>
      </c>
      <c r="F53" s="16">
        <v>4070</v>
      </c>
      <c r="G53" s="18" t="s">
        <v>13</v>
      </c>
      <c r="H53" s="18" t="s">
        <v>172</v>
      </c>
      <c r="I53" s="18" t="s">
        <v>170</v>
      </c>
      <c r="J53" s="18" t="s">
        <v>169</v>
      </c>
    </row>
    <row r="54" spans="1:11" x14ac:dyDescent="0.3">
      <c r="A54" s="34"/>
      <c r="B54" s="34"/>
      <c r="C54" s="17" t="s">
        <v>174</v>
      </c>
      <c r="D54" s="17">
        <v>16</v>
      </c>
      <c r="E54" s="17" t="s">
        <v>173</v>
      </c>
      <c r="F54" s="16">
        <v>3070</v>
      </c>
      <c r="G54" s="18" t="s">
        <v>13</v>
      </c>
      <c r="H54" s="18" t="s">
        <v>172</v>
      </c>
      <c r="I54" s="18" t="s">
        <v>170</v>
      </c>
      <c r="J54" s="18" t="s">
        <v>169</v>
      </c>
    </row>
    <row r="55" spans="1:11" x14ac:dyDescent="0.3">
      <c r="A55" s="34"/>
      <c r="B55" s="34"/>
      <c r="C55" s="17" t="s">
        <v>174</v>
      </c>
      <c r="D55" s="17">
        <v>16</v>
      </c>
      <c r="E55" s="17" t="s">
        <v>173</v>
      </c>
      <c r="F55" s="16">
        <v>2870</v>
      </c>
      <c r="G55" s="18" t="s">
        <v>13</v>
      </c>
      <c r="H55" s="18" t="s">
        <v>172</v>
      </c>
      <c r="I55" s="18" t="s">
        <v>170</v>
      </c>
      <c r="J55" s="18" t="s">
        <v>169</v>
      </c>
    </row>
    <row r="56" spans="1:11" x14ac:dyDescent="0.3">
      <c r="A56" s="34"/>
      <c r="B56" s="34"/>
      <c r="C56" s="20" t="s">
        <v>174</v>
      </c>
      <c r="D56" s="20">
        <v>16</v>
      </c>
      <c r="E56" s="20" t="s">
        <v>173</v>
      </c>
      <c r="F56" s="19">
        <v>3068</v>
      </c>
      <c r="G56" s="21" t="s">
        <v>13</v>
      </c>
      <c r="H56" s="21" t="s">
        <v>172</v>
      </c>
      <c r="I56" s="21" t="s">
        <v>170</v>
      </c>
      <c r="J56" s="32" t="s">
        <v>169</v>
      </c>
    </row>
    <row r="57" spans="1:11" x14ac:dyDescent="0.3">
      <c r="A57" s="34"/>
      <c r="B57" s="34"/>
      <c r="C57" s="20" t="s">
        <v>174</v>
      </c>
      <c r="D57" s="20">
        <v>16</v>
      </c>
      <c r="E57" s="20" t="s">
        <v>173</v>
      </c>
      <c r="F57" s="19">
        <v>4068</v>
      </c>
      <c r="G57" s="21" t="s">
        <v>13</v>
      </c>
      <c r="H57" s="21" t="s">
        <v>172</v>
      </c>
      <c r="I57" s="21" t="s">
        <v>170</v>
      </c>
      <c r="J57" s="21" t="s">
        <v>169</v>
      </c>
    </row>
    <row r="58" spans="1:11" x14ac:dyDescent="0.3">
      <c r="A58" s="34"/>
      <c r="B58" s="34"/>
      <c r="C58" s="20" t="s">
        <v>174</v>
      </c>
      <c r="D58" s="20">
        <v>16</v>
      </c>
      <c r="E58" s="20" t="s">
        <v>173</v>
      </c>
      <c r="F58" s="19">
        <v>2868</v>
      </c>
      <c r="G58" s="21" t="s">
        <v>13</v>
      </c>
      <c r="H58" s="21" t="s">
        <v>172</v>
      </c>
      <c r="I58" s="21" t="s">
        <v>170</v>
      </c>
      <c r="J58" s="21" t="s">
        <v>169</v>
      </c>
    </row>
    <row r="59" spans="1:11" ht="14.4" customHeight="1" x14ac:dyDescent="0.3">
      <c r="B59" s="33" t="s">
        <v>179</v>
      </c>
      <c r="C59" s="17" t="s">
        <v>174</v>
      </c>
      <c r="D59">
        <v>16</v>
      </c>
      <c r="E59" t="s">
        <v>173</v>
      </c>
      <c r="F59" s="29">
        <v>4070</v>
      </c>
      <c r="G59" s="2" t="s">
        <v>13</v>
      </c>
      <c r="H59" s="2" t="s">
        <v>172</v>
      </c>
      <c r="I59" s="2" t="s">
        <v>170</v>
      </c>
      <c r="J59" s="31" t="s">
        <v>181</v>
      </c>
      <c r="K59" s="27" t="s">
        <v>180</v>
      </c>
    </row>
    <row r="60" spans="1:11" x14ac:dyDescent="0.3">
      <c r="B60" s="33"/>
      <c r="C60" s="17" t="s">
        <v>174</v>
      </c>
      <c r="D60">
        <v>16</v>
      </c>
      <c r="E60" t="s">
        <v>173</v>
      </c>
      <c r="F60" s="16">
        <v>3070</v>
      </c>
      <c r="G60" s="2" t="s">
        <v>13</v>
      </c>
      <c r="H60" s="2" t="s">
        <v>172</v>
      </c>
      <c r="I60" s="2" t="s">
        <v>170</v>
      </c>
      <c r="J60" s="31" t="s">
        <v>181</v>
      </c>
    </row>
    <row r="61" spans="1:11" x14ac:dyDescent="0.3">
      <c r="B61" s="33"/>
      <c r="C61" s="17" t="s">
        <v>174</v>
      </c>
      <c r="D61">
        <v>16</v>
      </c>
      <c r="E61" t="s">
        <v>173</v>
      </c>
      <c r="F61" s="16">
        <v>2870</v>
      </c>
      <c r="G61" s="2" t="s">
        <v>13</v>
      </c>
      <c r="H61" s="2" t="s">
        <v>172</v>
      </c>
      <c r="I61" s="2" t="s">
        <v>171</v>
      </c>
      <c r="J61" s="31" t="s">
        <v>181</v>
      </c>
    </row>
    <row r="62" spans="1:11" x14ac:dyDescent="0.3">
      <c r="B62" s="33"/>
      <c r="C62" s="20" t="s">
        <v>174</v>
      </c>
      <c r="D62" s="14">
        <v>16</v>
      </c>
      <c r="E62" s="14" t="s">
        <v>173</v>
      </c>
      <c r="F62" s="19">
        <v>2868</v>
      </c>
      <c r="G62" s="15" t="s">
        <v>13</v>
      </c>
      <c r="H62" s="15" t="s">
        <v>172</v>
      </c>
      <c r="I62" s="15" t="s">
        <v>171</v>
      </c>
      <c r="J62" s="32" t="s">
        <v>181</v>
      </c>
    </row>
    <row r="63" spans="1:11" x14ac:dyDescent="0.3">
      <c r="B63" s="33"/>
      <c r="C63" s="20" t="s">
        <v>174</v>
      </c>
      <c r="D63" s="14">
        <v>16</v>
      </c>
      <c r="E63" s="14" t="s">
        <v>173</v>
      </c>
      <c r="F63" s="19">
        <v>3068</v>
      </c>
      <c r="G63" s="15" t="s">
        <v>13</v>
      </c>
      <c r="H63" s="15" t="s">
        <v>172</v>
      </c>
      <c r="I63" s="15" t="s">
        <v>170</v>
      </c>
      <c r="J63" s="32" t="s">
        <v>181</v>
      </c>
    </row>
    <row r="64" spans="1:11" x14ac:dyDescent="0.3">
      <c r="B64" s="33"/>
      <c r="C64" s="20" t="s">
        <v>174</v>
      </c>
      <c r="D64" s="14">
        <v>16</v>
      </c>
      <c r="E64" s="14" t="s">
        <v>173</v>
      </c>
      <c r="F64" s="19">
        <v>4068</v>
      </c>
      <c r="G64" s="15" t="s">
        <v>13</v>
      </c>
      <c r="H64" s="15" t="s">
        <v>172</v>
      </c>
      <c r="I64" s="15" t="s">
        <v>170</v>
      </c>
      <c r="J64" s="32" t="s">
        <v>181</v>
      </c>
    </row>
  </sheetData>
  <mergeCells count="10">
    <mergeCell ref="B59:B64"/>
    <mergeCell ref="A4:A15"/>
    <mergeCell ref="B10:B15"/>
    <mergeCell ref="B4:B9"/>
    <mergeCell ref="A47:A58"/>
    <mergeCell ref="B47:B52"/>
    <mergeCell ref="B53:B58"/>
    <mergeCell ref="B16:B21"/>
    <mergeCell ref="B22:B27"/>
    <mergeCell ref="B28:B33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C770-9ACB-4A64-B807-301CD54C1573}">
  <dimension ref="A1:AI109"/>
  <sheetViews>
    <sheetView workbookViewId="0">
      <selection activeCell="H25" sqref="H25"/>
    </sheetView>
  </sheetViews>
  <sheetFormatPr defaultRowHeight="14.4" x14ac:dyDescent="0.3"/>
  <cols>
    <col min="9" max="9" width="8.88671875" style="43"/>
    <col min="20" max="21" width="8.88671875" style="43"/>
  </cols>
  <sheetData>
    <row r="1" spans="1:33" s="58" customFormat="1" x14ac:dyDescent="0.3">
      <c r="B1" s="58" t="s">
        <v>196</v>
      </c>
      <c r="D1" s="49">
        <v>2668</v>
      </c>
      <c r="E1" s="49">
        <v>2868</v>
      </c>
      <c r="F1" s="49">
        <v>3068</v>
      </c>
      <c r="G1" s="49">
        <v>3668</v>
      </c>
      <c r="H1" s="49">
        <v>4068</v>
      </c>
      <c r="I1" s="49">
        <v>2070</v>
      </c>
      <c r="J1" s="49">
        <v>2670</v>
      </c>
      <c r="K1" s="49">
        <v>2870</v>
      </c>
      <c r="L1" s="49">
        <v>3070</v>
      </c>
      <c r="M1" s="57">
        <v>3670</v>
      </c>
      <c r="N1" s="49">
        <v>4070</v>
      </c>
      <c r="O1" s="49">
        <v>2680</v>
      </c>
      <c r="P1" s="49">
        <v>2880</v>
      </c>
      <c r="Q1" s="49">
        <v>3080</v>
      </c>
      <c r="R1" s="49">
        <v>3680</v>
      </c>
      <c r="S1" s="49">
        <v>4080</v>
      </c>
      <c r="V1" s="58">
        <v>5068</v>
      </c>
      <c r="W1" s="58">
        <v>6068</v>
      </c>
      <c r="X1" s="58">
        <v>8068</v>
      </c>
      <c r="Y1" s="58">
        <v>5070</v>
      </c>
      <c r="Z1" s="58">
        <v>6070</v>
      </c>
      <c r="AA1" s="58">
        <v>8070</v>
      </c>
      <c r="AB1" s="58">
        <v>5080</v>
      </c>
      <c r="AC1" s="58">
        <v>6080</v>
      </c>
      <c r="AD1" s="58">
        <v>8080</v>
      </c>
      <c r="AE1" s="58">
        <v>5090</v>
      </c>
      <c r="AF1" s="58">
        <v>6090</v>
      </c>
      <c r="AG1" s="58">
        <v>8090</v>
      </c>
    </row>
    <row r="2" spans="1:33" s="63" customFormat="1" x14ac:dyDescent="0.3">
      <c r="A2" s="63" t="s">
        <v>202</v>
      </c>
      <c r="B2" s="63" t="s">
        <v>189</v>
      </c>
      <c r="D2" s="65">
        <v>316</v>
      </c>
      <c r="E2" s="65">
        <v>316</v>
      </c>
      <c r="F2" s="65">
        <v>316</v>
      </c>
      <c r="G2" s="65">
        <v>329</v>
      </c>
      <c r="H2" s="65">
        <v>329</v>
      </c>
      <c r="I2" s="65">
        <v>319</v>
      </c>
      <c r="J2" s="65">
        <v>319</v>
      </c>
      <c r="K2" s="65">
        <v>319</v>
      </c>
      <c r="L2" s="65">
        <v>319</v>
      </c>
      <c r="M2" s="64">
        <v>332</v>
      </c>
      <c r="N2" s="65">
        <v>332</v>
      </c>
      <c r="O2" s="65">
        <v>373</v>
      </c>
      <c r="P2" s="65">
        <v>373</v>
      </c>
      <c r="Q2" s="65">
        <v>373</v>
      </c>
      <c r="R2" s="65">
        <v>386</v>
      </c>
      <c r="S2" s="65">
        <v>386</v>
      </c>
    </row>
    <row r="3" spans="1:33" s="60" customFormat="1" x14ac:dyDescent="0.3">
      <c r="B3" s="60" t="s">
        <v>192</v>
      </c>
      <c r="D3" s="52">
        <v>245</v>
      </c>
      <c r="E3" s="52">
        <v>245</v>
      </c>
      <c r="F3" s="52">
        <v>245</v>
      </c>
      <c r="G3" s="52">
        <v>258</v>
      </c>
      <c r="H3" s="52">
        <v>258</v>
      </c>
      <c r="I3" s="52">
        <v>248</v>
      </c>
      <c r="J3" s="52">
        <v>248</v>
      </c>
      <c r="K3" s="52">
        <v>248</v>
      </c>
      <c r="L3" s="52">
        <v>248</v>
      </c>
      <c r="M3" s="56">
        <v>261</v>
      </c>
      <c r="N3" s="52">
        <v>261</v>
      </c>
      <c r="O3" s="52">
        <v>302</v>
      </c>
      <c r="P3" s="52">
        <v>302</v>
      </c>
      <c r="Q3" s="52">
        <v>302</v>
      </c>
      <c r="R3" s="52">
        <v>315</v>
      </c>
      <c r="S3" s="52">
        <v>315</v>
      </c>
    </row>
    <row r="4" spans="1:33" s="60" customFormat="1" x14ac:dyDescent="0.3">
      <c r="B4" s="60" t="s">
        <v>193</v>
      </c>
      <c r="D4" s="52">
        <v>33</v>
      </c>
      <c r="E4" s="52">
        <v>33</v>
      </c>
      <c r="F4" s="52">
        <v>33</v>
      </c>
      <c r="G4" s="52">
        <v>33</v>
      </c>
      <c r="H4" s="52">
        <v>33</v>
      </c>
      <c r="I4" s="52">
        <v>33</v>
      </c>
      <c r="J4" s="52">
        <v>33</v>
      </c>
      <c r="K4" s="52">
        <v>33</v>
      </c>
      <c r="L4" s="52">
        <v>33</v>
      </c>
      <c r="M4" s="56">
        <v>33</v>
      </c>
      <c r="N4" s="52">
        <v>33</v>
      </c>
      <c r="O4" s="52">
        <v>33</v>
      </c>
      <c r="P4" s="52">
        <v>33</v>
      </c>
      <c r="Q4" s="52">
        <v>33</v>
      </c>
      <c r="R4" s="52">
        <v>33</v>
      </c>
      <c r="S4" s="52">
        <v>33</v>
      </c>
    </row>
    <row r="5" spans="1:33" s="60" customFormat="1" x14ac:dyDescent="0.3">
      <c r="B5" s="60" t="s">
        <v>194</v>
      </c>
      <c r="D5" s="52">
        <v>31</v>
      </c>
      <c r="E5" s="52">
        <v>31</v>
      </c>
      <c r="F5" s="52">
        <v>31</v>
      </c>
      <c r="G5" s="52">
        <v>31</v>
      </c>
      <c r="H5" s="52">
        <v>31</v>
      </c>
      <c r="I5" s="52">
        <v>31</v>
      </c>
      <c r="J5" s="52">
        <v>31</v>
      </c>
      <c r="K5" s="52">
        <v>31</v>
      </c>
      <c r="L5" s="52">
        <v>31</v>
      </c>
      <c r="M5" s="56">
        <v>31</v>
      </c>
      <c r="N5" s="52">
        <v>31</v>
      </c>
      <c r="O5" s="52">
        <v>31</v>
      </c>
      <c r="P5" s="52">
        <v>31</v>
      </c>
      <c r="Q5" s="52">
        <v>31</v>
      </c>
      <c r="R5" s="52">
        <v>31</v>
      </c>
      <c r="S5" s="52">
        <v>31</v>
      </c>
    </row>
    <row r="6" spans="1:33" s="60" customFormat="1" x14ac:dyDescent="0.3">
      <c r="B6" s="60" t="s">
        <v>195</v>
      </c>
      <c r="D6" s="52">
        <v>7</v>
      </c>
      <c r="E6" s="52">
        <v>7</v>
      </c>
      <c r="F6" s="52">
        <v>7</v>
      </c>
      <c r="G6" s="52">
        <v>7</v>
      </c>
      <c r="H6" s="52">
        <v>7</v>
      </c>
      <c r="I6" s="52">
        <v>7</v>
      </c>
      <c r="J6" s="52">
        <v>7</v>
      </c>
      <c r="K6" s="52">
        <v>7</v>
      </c>
      <c r="L6" s="52">
        <v>7</v>
      </c>
      <c r="M6" s="56">
        <v>7</v>
      </c>
      <c r="N6" s="52">
        <v>7</v>
      </c>
      <c r="O6" s="52">
        <v>7</v>
      </c>
      <c r="P6" s="52">
        <v>7</v>
      </c>
      <c r="Q6" s="52">
        <v>7</v>
      </c>
      <c r="R6" s="52">
        <v>7</v>
      </c>
      <c r="S6" s="52">
        <v>7</v>
      </c>
    </row>
    <row r="7" spans="1:33" s="60" customFormat="1" x14ac:dyDescent="0.3">
      <c r="D7" s="52">
        <f t="shared" ref="D7:F7" si="0">SUM(D3:D6)</f>
        <v>316</v>
      </c>
      <c r="E7" s="52">
        <f t="shared" si="0"/>
        <v>316</v>
      </c>
      <c r="F7" s="52">
        <f t="shared" si="0"/>
        <v>316</v>
      </c>
      <c r="G7" s="52">
        <f>SUM(G3:G6)</f>
        <v>329</v>
      </c>
      <c r="H7" s="56">
        <f t="shared" ref="H7:W7" si="1">SUM(H3:H6)</f>
        <v>329</v>
      </c>
      <c r="I7" s="56">
        <f t="shared" si="1"/>
        <v>319</v>
      </c>
      <c r="J7" s="52">
        <f t="shared" si="1"/>
        <v>319</v>
      </c>
      <c r="K7" s="52">
        <f t="shared" si="1"/>
        <v>319</v>
      </c>
      <c r="L7" s="52">
        <f t="shared" si="1"/>
        <v>319</v>
      </c>
      <c r="M7" s="56">
        <f t="shared" si="1"/>
        <v>332</v>
      </c>
      <c r="N7" s="52">
        <f t="shared" si="1"/>
        <v>332</v>
      </c>
      <c r="O7" s="56">
        <f t="shared" si="1"/>
        <v>373</v>
      </c>
      <c r="P7" s="52">
        <f t="shared" si="1"/>
        <v>373</v>
      </c>
      <c r="Q7" s="52">
        <f t="shared" si="1"/>
        <v>373</v>
      </c>
      <c r="R7" s="52">
        <f t="shared" si="1"/>
        <v>386</v>
      </c>
      <c r="S7" s="56">
        <f>SUM(S3:S6)</f>
        <v>386</v>
      </c>
      <c r="V7" s="60">
        <f t="shared" si="1"/>
        <v>0</v>
      </c>
      <c r="W7" s="60">
        <f t="shared" si="1"/>
        <v>0</v>
      </c>
    </row>
    <row r="8" spans="1:33" s="60" customFormat="1" x14ac:dyDescent="0.3"/>
    <row r="9" spans="1:33" s="44" customFormat="1" x14ac:dyDescent="0.3">
      <c r="C9" s="44" t="s">
        <v>200</v>
      </c>
      <c r="D9" s="44">
        <f>+D3/D2</f>
        <v>0.77531645569620256</v>
      </c>
      <c r="E9" s="44">
        <f t="shared" ref="E9:R9" si="2">+E3/E2</f>
        <v>0.77531645569620256</v>
      </c>
      <c r="F9" s="44">
        <f t="shared" si="2"/>
        <v>0.77531645569620256</v>
      </c>
      <c r="G9" s="44">
        <f t="shared" si="2"/>
        <v>0.78419452887537999</v>
      </c>
      <c r="H9" s="44">
        <f t="shared" si="2"/>
        <v>0.78419452887537999</v>
      </c>
      <c r="I9" s="44">
        <f t="shared" ref="I9" si="3">+I3/I2</f>
        <v>0.77742946708463945</v>
      </c>
      <c r="J9" s="44">
        <f t="shared" si="2"/>
        <v>0.77742946708463945</v>
      </c>
      <c r="K9" s="44">
        <f t="shared" si="2"/>
        <v>0.77742946708463945</v>
      </c>
      <c r="L9" s="44">
        <f t="shared" si="2"/>
        <v>0.77742946708463945</v>
      </c>
      <c r="M9" s="44">
        <f t="shared" si="2"/>
        <v>0.78614457831325302</v>
      </c>
      <c r="N9" s="44">
        <f t="shared" si="2"/>
        <v>0.78614457831325302</v>
      </c>
      <c r="O9" s="44">
        <f t="shared" si="2"/>
        <v>0.80965147453083108</v>
      </c>
      <c r="P9" s="44">
        <f t="shared" si="2"/>
        <v>0.80965147453083108</v>
      </c>
      <c r="Q9" s="44">
        <f t="shared" si="2"/>
        <v>0.80965147453083108</v>
      </c>
      <c r="R9" s="44">
        <f t="shared" ref="R9" si="4">+R3/R2</f>
        <v>0.81606217616580312</v>
      </c>
      <c r="S9" s="44">
        <f>+S3/S2</f>
        <v>0.81606217616580312</v>
      </c>
    </row>
    <row r="10" spans="1:33" s="44" customFormat="1" x14ac:dyDescent="0.3">
      <c r="C10" s="44" t="s">
        <v>199</v>
      </c>
      <c r="D10" s="44">
        <f>(+D7-D3)/D2</f>
        <v>0.22468354430379747</v>
      </c>
      <c r="E10" s="44">
        <f t="shared" ref="E10:Q10" si="5">(+E7-E3)/E2</f>
        <v>0.22468354430379747</v>
      </c>
      <c r="F10" s="44">
        <f t="shared" si="5"/>
        <v>0.22468354430379747</v>
      </c>
      <c r="G10" s="44">
        <f t="shared" si="5"/>
        <v>0.21580547112462006</v>
      </c>
      <c r="H10" s="44">
        <f t="shared" si="5"/>
        <v>0.21580547112462006</v>
      </c>
      <c r="I10" s="44">
        <f t="shared" ref="I10" si="6">(+I7-I3)/I2</f>
        <v>0.2225705329153605</v>
      </c>
      <c r="J10" s="44">
        <f t="shared" si="5"/>
        <v>0.2225705329153605</v>
      </c>
      <c r="K10" s="44">
        <f t="shared" si="5"/>
        <v>0.2225705329153605</v>
      </c>
      <c r="L10" s="44">
        <f t="shared" si="5"/>
        <v>0.2225705329153605</v>
      </c>
      <c r="M10" s="44">
        <f t="shared" si="5"/>
        <v>0.21385542168674698</v>
      </c>
      <c r="N10" s="44">
        <f t="shared" si="5"/>
        <v>0.21385542168674698</v>
      </c>
      <c r="O10" s="44">
        <f t="shared" si="5"/>
        <v>0.19034852546916889</v>
      </c>
      <c r="P10" s="44">
        <f t="shared" si="5"/>
        <v>0.19034852546916889</v>
      </c>
      <c r="Q10" s="44">
        <f t="shared" si="5"/>
        <v>0.19034852546916889</v>
      </c>
      <c r="R10" s="44">
        <f t="shared" ref="R10" si="7">(+R7-R3)/R2</f>
        <v>0.18393782383419688</v>
      </c>
      <c r="S10" s="44">
        <f>(+S7-S3)/S2</f>
        <v>0.18393782383419688</v>
      </c>
    </row>
    <row r="11" spans="1:33" s="43" customFormat="1" x14ac:dyDescent="0.3">
      <c r="R11" s="51"/>
      <c r="S11" s="51"/>
    </row>
    <row r="12" spans="1:33" s="58" customFormat="1" x14ac:dyDescent="0.3">
      <c r="B12" s="58" t="s">
        <v>197</v>
      </c>
      <c r="D12" s="49">
        <v>2668</v>
      </c>
      <c r="E12" s="49">
        <v>2868</v>
      </c>
      <c r="F12" s="49">
        <v>3068</v>
      </c>
      <c r="G12" s="49">
        <v>3668</v>
      </c>
      <c r="H12" s="49">
        <v>4068</v>
      </c>
      <c r="I12" s="49">
        <v>2070</v>
      </c>
      <c r="J12" s="49">
        <v>2670</v>
      </c>
      <c r="K12" s="49">
        <v>2870</v>
      </c>
      <c r="L12" s="49">
        <v>3070</v>
      </c>
      <c r="M12" s="49">
        <v>3670</v>
      </c>
      <c r="N12" s="49">
        <v>4070</v>
      </c>
      <c r="O12" s="49">
        <v>2680</v>
      </c>
      <c r="P12" s="49">
        <v>2880</v>
      </c>
      <c r="Q12" s="49">
        <v>3080</v>
      </c>
      <c r="R12" s="49">
        <v>3680</v>
      </c>
      <c r="S12" s="49">
        <v>4080</v>
      </c>
      <c r="V12" s="58">
        <v>5068</v>
      </c>
      <c r="W12" s="58">
        <v>6068</v>
      </c>
      <c r="X12" s="58">
        <v>8068</v>
      </c>
      <c r="Y12" s="58">
        <v>5070</v>
      </c>
      <c r="Z12" s="58">
        <v>6070</v>
      </c>
      <c r="AA12" s="58">
        <v>8070</v>
      </c>
      <c r="AB12" s="58">
        <v>5080</v>
      </c>
      <c r="AC12" s="58">
        <v>6080</v>
      </c>
      <c r="AD12" s="58">
        <v>8080</v>
      </c>
      <c r="AE12" s="58">
        <v>5090</v>
      </c>
      <c r="AF12" s="58">
        <v>6090</v>
      </c>
      <c r="AG12" s="58">
        <v>8090</v>
      </c>
    </row>
    <row r="13" spans="1:33" s="60" customFormat="1" x14ac:dyDescent="0.3">
      <c r="B13" s="60" t="s">
        <v>189</v>
      </c>
      <c r="D13" s="52">
        <v>378</v>
      </c>
      <c r="E13" s="52">
        <v>378</v>
      </c>
      <c r="F13" s="52">
        <v>378</v>
      </c>
      <c r="G13" s="52">
        <v>393</v>
      </c>
      <c r="H13" s="52">
        <v>393</v>
      </c>
      <c r="I13" s="52">
        <v>389</v>
      </c>
      <c r="J13" s="52">
        <v>389</v>
      </c>
      <c r="K13" s="52">
        <v>389</v>
      </c>
      <c r="L13" s="52">
        <v>389</v>
      </c>
      <c r="M13" s="52">
        <v>404</v>
      </c>
      <c r="N13" s="52">
        <v>404</v>
      </c>
      <c r="O13" s="52">
        <v>449</v>
      </c>
      <c r="P13" s="52">
        <v>449</v>
      </c>
      <c r="Q13" s="52">
        <v>464</v>
      </c>
      <c r="R13" s="52">
        <v>464</v>
      </c>
      <c r="S13" s="52">
        <v>464</v>
      </c>
    </row>
    <row r="14" spans="1:33" s="60" customFormat="1" ht="14.4" customHeight="1" x14ac:dyDescent="0.3">
      <c r="A14" s="45" t="s">
        <v>201</v>
      </c>
      <c r="B14" s="45"/>
      <c r="C14" s="45"/>
      <c r="D14" s="52">
        <v>307</v>
      </c>
      <c r="E14" s="52">
        <v>307</v>
      </c>
      <c r="F14" s="52">
        <v>307</v>
      </c>
      <c r="G14" s="52">
        <v>332</v>
      </c>
      <c r="H14" s="52">
        <v>322</v>
      </c>
      <c r="I14" s="52">
        <v>318</v>
      </c>
      <c r="J14" s="52">
        <v>318</v>
      </c>
      <c r="K14" s="52">
        <v>318</v>
      </c>
      <c r="L14" s="52">
        <v>318</v>
      </c>
      <c r="M14" s="52">
        <v>333</v>
      </c>
      <c r="N14" s="52">
        <v>333</v>
      </c>
      <c r="O14" s="52">
        <v>378</v>
      </c>
      <c r="P14" s="52">
        <v>378</v>
      </c>
      <c r="Q14" s="52">
        <v>393</v>
      </c>
      <c r="R14" s="52">
        <v>393</v>
      </c>
      <c r="S14" s="52">
        <v>393</v>
      </c>
    </row>
    <row r="15" spans="1:33" s="60" customFormat="1" ht="14.4" customHeight="1" x14ac:dyDescent="0.3">
      <c r="A15" s="45"/>
      <c r="B15" s="45"/>
      <c r="C15" s="45"/>
      <c r="D15" s="52">
        <v>33</v>
      </c>
      <c r="E15" s="52">
        <v>33</v>
      </c>
      <c r="F15" s="52">
        <v>33</v>
      </c>
      <c r="G15" s="52">
        <v>33</v>
      </c>
      <c r="H15" s="52">
        <v>33</v>
      </c>
      <c r="I15" s="52">
        <v>33</v>
      </c>
      <c r="J15" s="52">
        <v>33</v>
      </c>
      <c r="K15" s="52">
        <v>33</v>
      </c>
      <c r="L15" s="52">
        <v>33</v>
      </c>
      <c r="M15" s="52">
        <v>33</v>
      </c>
      <c r="N15" s="52">
        <v>33</v>
      </c>
      <c r="O15" s="52">
        <v>33</v>
      </c>
      <c r="P15" s="52">
        <v>33</v>
      </c>
      <c r="Q15" s="52">
        <v>33</v>
      </c>
      <c r="R15" s="52">
        <v>33</v>
      </c>
      <c r="S15" s="52">
        <v>33</v>
      </c>
    </row>
    <row r="16" spans="1:33" s="60" customFormat="1" x14ac:dyDescent="0.3">
      <c r="A16" s="45"/>
      <c r="B16" s="45"/>
      <c r="C16" s="45"/>
      <c r="D16" s="52">
        <v>31</v>
      </c>
      <c r="E16" s="52">
        <v>31</v>
      </c>
      <c r="F16" s="52">
        <v>31</v>
      </c>
      <c r="G16" s="52">
        <v>31</v>
      </c>
      <c r="H16" s="52">
        <v>31</v>
      </c>
      <c r="I16" s="52">
        <v>31</v>
      </c>
      <c r="J16" s="52">
        <v>31</v>
      </c>
      <c r="K16" s="52">
        <v>31</v>
      </c>
      <c r="L16" s="52">
        <v>31</v>
      </c>
      <c r="M16" s="52">
        <v>31</v>
      </c>
      <c r="N16" s="52">
        <v>31</v>
      </c>
      <c r="O16" s="52">
        <v>31</v>
      </c>
      <c r="P16" s="52">
        <v>31</v>
      </c>
      <c r="Q16" s="52">
        <v>31</v>
      </c>
      <c r="R16" s="52">
        <v>31</v>
      </c>
      <c r="S16" s="52">
        <v>31</v>
      </c>
    </row>
    <row r="17" spans="1:23" s="60" customFormat="1" x14ac:dyDescent="0.3">
      <c r="A17" s="45"/>
      <c r="B17" s="45"/>
      <c r="C17" s="45"/>
      <c r="D17" s="52">
        <v>7</v>
      </c>
      <c r="E17" s="52">
        <v>7</v>
      </c>
      <c r="F17" s="52">
        <v>7</v>
      </c>
      <c r="G17" s="52">
        <v>7</v>
      </c>
      <c r="H17" s="52">
        <v>7</v>
      </c>
      <c r="I17" s="52">
        <v>7</v>
      </c>
      <c r="J17" s="52">
        <v>7</v>
      </c>
      <c r="K17" s="52">
        <v>7</v>
      </c>
      <c r="L17" s="52">
        <v>7</v>
      </c>
      <c r="M17" s="52">
        <v>7</v>
      </c>
      <c r="N17" s="52">
        <v>7</v>
      </c>
      <c r="O17" s="52">
        <v>7</v>
      </c>
      <c r="P17" s="52">
        <v>7</v>
      </c>
      <c r="Q17" s="52">
        <v>7</v>
      </c>
      <c r="R17" s="52">
        <v>7</v>
      </c>
      <c r="S17" s="52">
        <v>7</v>
      </c>
    </row>
    <row r="18" spans="1:23" s="60" customFormat="1" x14ac:dyDescent="0.3">
      <c r="A18" s="45"/>
      <c r="B18" s="45"/>
      <c r="C18" s="45"/>
      <c r="D18" s="52">
        <f t="shared" ref="D18" si="8">SUM(D14:D17)</f>
        <v>378</v>
      </c>
      <c r="E18" s="56">
        <f t="shared" ref="E18" si="9">SUM(E14:E17)</f>
        <v>378</v>
      </c>
      <c r="F18" s="52">
        <f t="shared" ref="F18" si="10">SUM(F14:F17)</f>
        <v>378</v>
      </c>
      <c r="G18" s="52">
        <f>SUM(G14:G17)</f>
        <v>403</v>
      </c>
      <c r="H18" s="52">
        <f t="shared" ref="H18:I18" si="11">SUM(H14:H17)</f>
        <v>393</v>
      </c>
      <c r="I18" s="52">
        <f t="shared" si="11"/>
        <v>389</v>
      </c>
      <c r="J18" s="52">
        <f t="shared" ref="J18" si="12">SUM(J14:J17)</f>
        <v>389</v>
      </c>
      <c r="K18" s="56">
        <f t="shared" ref="K18" si="13">SUM(K14:K17)</f>
        <v>389</v>
      </c>
      <c r="L18" s="52">
        <f t="shared" ref="L18" si="14">SUM(L14:L17)</f>
        <v>389</v>
      </c>
      <c r="M18" s="52">
        <f t="shared" ref="M18" si="15">SUM(M14:M17)</f>
        <v>404</v>
      </c>
      <c r="N18" s="52">
        <f t="shared" ref="N18" si="16">SUM(N14:N17)</f>
        <v>404</v>
      </c>
      <c r="O18" s="52">
        <f t="shared" ref="O18" si="17">SUM(O14:O17)</f>
        <v>449</v>
      </c>
      <c r="P18" s="52">
        <f t="shared" ref="P18:Q18" si="18">SUM(P14:P17)</f>
        <v>449</v>
      </c>
      <c r="Q18" s="52">
        <f t="shared" si="18"/>
        <v>464</v>
      </c>
      <c r="R18" s="52">
        <f t="shared" ref="R18:S18" si="19">SUM(R14:R17)</f>
        <v>464</v>
      </c>
      <c r="S18" s="52">
        <f t="shared" si="19"/>
        <v>464</v>
      </c>
      <c r="V18" s="60">
        <f t="shared" ref="V18" si="20">SUM(V14:V17)</f>
        <v>0</v>
      </c>
      <c r="W18" s="60">
        <f t="shared" ref="W18" si="21">SUM(W14:W17)</f>
        <v>0</v>
      </c>
    </row>
    <row r="19" spans="1:23" s="43" customFormat="1" x14ac:dyDescent="0.3">
      <c r="A19" s="45"/>
      <c r="B19" s="45"/>
      <c r="C19" s="45"/>
    </row>
    <row r="20" spans="1:23" s="47" customFormat="1" x14ac:dyDescent="0.3">
      <c r="A20" s="46"/>
      <c r="B20" s="46"/>
      <c r="C20" s="47" t="s">
        <v>200</v>
      </c>
      <c r="D20" s="47">
        <f>+D14/D13</f>
        <v>0.81216931216931221</v>
      </c>
      <c r="E20" s="47">
        <f t="shared" ref="E20:R20" si="22">+E14/E13</f>
        <v>0.81216931216931221</v>
      </c>
      <c r="F20" s="47">
        <f t="shared" si="22"/>
        <v>0.81216931216931221</v>
      </c>
      <c r="G20" s="47">
        <f t="shared" si="22"/>
        <v>0.84478371501272265</v>
      </c>
      <c r="H20" s="47">
        <f t="shared" si="22"/>
        <v>0.8193384223918575</v>
      </c>
      <c r="I20" s="47">
        <f t="shared" ref="I20" si="23">+I14/I13</f>
        <v>0.81748071979434445</v>
      </c>
      <c r="J20" s="47">
        <f t="shared" si="22"/>
        <v>0.81748071979434445</v>
      </c>
      <c r="K20" s="47">
        <f t="shared" si="22"/>
        <v>0.81748071979434445</v>
      </c>
      <c r="L20" s="47">
        <f t="shared" si="22"/>
        <v>0.81748071979434445</v>
      </c>
      <c r="M20" s="47">
        <f t="shared" si="22"/>
        <v>0.82425742574257421</v>
      </c>
      <c r="N20" s="47">
        <f t="shared" si="22"/>
        <v>0.82425742574257421</v>
      </c>
      <c r="O20" s="47">
        <f t="shared" si="22"/>
        <v>0.84187082405345215</v>
      </c>
      <c r="P20" s="47">
        <f t="shared" si="22"/>
        <v>0.84187082405345215</v>
      </c>
      <c r="Q20" s="47">
        <f t="shared" si="22"/>
        <v>0.84698275862068961</v>
      </c>
      <c r="R20" s="47">
        <f t="shared" si="22"/>
        <v>0.84698275862068961</v>
      </c>
      <c r="S20" s="47">
        <f t="shared" ref="S20" si="24">+S14/S13</f>
        <v>0.84698275862068961</v>
      </c>
    </row>
    <row r="21" spans="1:23" s="41" customFormat="1" x14ac:dyDescent="0.3">
      <c r="C21" s="41" t="s">
        <v>199</v>
      </c>
      <c r="D21" s="41">
        <f>(+D18-D14)/D13</f>
        <v>0.18783068783068782</v>
      </c>
      <c r="E21" s="41">
        <f t="shared" ref="E21:R21" si="25">(+E18-E14)/E13</f>
        <v>0.18783068783068782</v>
      </c>
      <c r="F21" s="41">
        <f t="shared" si="25"/>
        <v>0.18783068783068782</v>
      </c>
      <c r="G21" s="41">
        <f t="shared" si="25"/>
        <v>0.1806615776081425</v>
      </c>
      <c r="H21" s="41">
        <f t="shared" si="25"/>
        <v>0.1806615776081425</v>
      </c>
      <c r="I21" s="47">
        <f t="shared" ref="I21" si="26">(+I18-I14)/I13</f>
        <v>0.18251928020565553</v>
      </c>
      <c r="J21" s="41">
        <f t="shared" si="25"/>
        <v>0.18251928020565553</v>
      </c>
      <c r="K21" s="41">
        <f t="shared" si="25"/>
        <v>0.18251928020565553</v>
      </c>
      <c r="L21" s="41">
        <f t="shared" si="25"/>
        <v>0.18251928020565553</v>
      </c>
      <c r="M21" s="41">
        <f t="shared" si="25"/>
        <v>0.17574257425742573</v>
      </c>
      <c r="N21" s="41">
        <f t="shared" si="25"/>
        <v>0.17574257425742573</v>
      </c>
      <c r="O21" s="41">
        <f t="shared" si="25"/>
        <v>0.15812917594654788</v>
      </c>
      <c r="P21" s="41">
        <f t="shared" si="25"/>
        <v>0.15812917594654788</v>
      </c>
      <c r="Q21" s="41">
        <f t="shared" si="25"/>
        <v>0.15301724137931033</v>
      </c>
      <c r="R21" s="41">
        <f t="shared" si="25"/>
        <v>0.15301724137931033</v>
      </c>
      <c r="S21" s="41">
        <f t="shared" ref="S21" si="27">(+S18-S14)/S13</f>
        <v>0.15301724137931033</v>
      </c>
      <c r="T21" s="47"/>
      <c r="U21" s="47"/>
    </row>
    <row r="22" spans="1:23" s="41" customFormat="1" x14ac:dyDescent="0.3">
      <c r="I22" s="47"/>
      <c r="T22" s="47"/>
      <c r="U22" s="47"/>
    </row>
    <row r="23" spans="1:23" s="4" customFormat="1" x14ac:dyDescent="0.3">
      <c r="D23" s="4">
        <f>+D13*0.43</f>
        <v>162.54</v>
      </c>
      <c r="I23" s="50"/>
      <c r="T23" s="50"/>
      <c r="U23" s="50"/>
    </row>
    <row r="24" spans="1:23" s="4" customFormat="1" x14ac:dyDescent="0.3">
      <c r="D24" s="4">
        <f>+D23*D20</f>
        <v>132.01</v>
      </c>
      <c r="I24" s="50"/>
      <c r="T24" s="50"/>
      <c r="U24" s="50"/>
    </row>
    <row r="25" spans="1:23" s="4" customFormat="1" x14ac:dyDescent="0.3">
      <c r="D25" s="4">
        <f>+D21*D23</f>
        <v>30.529999999999998</v>
      </c>
      <c r="I25" s="50"/>
      <c r="T25" s="50"/>
      <c r="U25" s="50"/>
    </row>
    <row r="26" spans="1:23" s="41" customFormat="1" x14ac:dyDescent="0.3">
      <c r="I26" s="47"/>
      <c r="T26" s="47"/>
      <c r="U26" s="47"/>
    </row>
    <row r="27" spans="1:23" s="41" customFormat="1" x14ac:dyDescent="0.3">
      <c r="I27" s="47"/>
      <c r="T27" s="47"/>
      <c r="U27" s="47"/>
    </row>
    <row r="28" spans="1:23" s="41" customFormat="1" x14ac:dyDescent="0.3">
      <c r="I28" s="47"/>
      <c r="T28" s="47"/>
      <c r="U28" s="47"/>
    </row>
    <row r="29" spans="1:23" s="41" customFormat="1" x14ac:dyDescent="0.3">
      <c r="I29" s="47"/>
      <c r="T29" s="47"/>
      <c r="U29" s="47"/>
    </row>
    <row r="30" spans="1:23" s="41" customFormat="1" x14ac:dyDescent="0.3">
      <c r="I30" s="47"/>
      <c r="T30" s="47"/>
      <c r="U30" s="47"/>
    </row>
    <row r="31" spans="1:23" s="41" customFormat="1" x14ac:dyDescent="0.3">
      <c r="I31" s="47"/>
      <c r="T31" s="47"/>
      <c r="U31" s="47"/>
    </row>
    <row r="32" spans="1:23" s="41" customFormat="1" x14ac:dyDescent="0.3">
      <c r="I32" s="47"/>
      <c r="T32" s="47"/>
      <c r="U32" s="47"/>
    </row>
    <row r="33" spans="1:35" s="41" customFormat="1" x14ac:dyDescent="0.3">
      <c r="I33" s="47"/>
      <c r="T33" s="47"/>
      <c r="U33" s="47"/>
    </row>
    <row r="34" spans="1:35" s="41" customFormat="1" x14ac:dyDescent="0.3">
      <c r="I34" s="47"/>
      <c r="T34" s="47"/>
      <c r="U34" s="47"/>
    </row>
    <row r="36" spans="1:35" s="42" customFormat="1" x14ac:dyDescent="0.3">
      <c r="I36" s="43"/>
      <c r="T36" s="43"/>
      <c r="U36" s="43"/>
    </row>
    <row r="37" spans="1:35" s="43" customFormat="1" x14ac:dyDescent="0.3">
      <c r="G37" s="48"/>
      <c r="H37" s="51"/>
    </row>
    <row r="38" spans="1:35" s="17" customFormat="1" x14ac:dyDescent="0.3">
      <c r="B38" s="17" t="s">
        <v>196</v>
      </c>
      <c r="D38" s="52">
        <v>2668</v>
      </c>
      <c r="E38" s="52">
        <v>2868</v>
      </c>
      <c r="F38" s="52">
        <v>3068</v>
      </c>
      <c r="G38" s="52">
        <v>3668</v>
      </c>
      <c r="H38" s="52">
        <v>4068</v>
      </c>
      <c r="I38" s="52">
        <v>2070</v>
      </c>
      <c r="J38" s="52">
        <v>2670</v>
      </c>
      <c r="K38" s="52">
        <v>2870</v>
      </c>
      <c r="L38" s="52">
        <v>3070</v>
      </c>
      <c r="M38" s="52">
        <v>3670</v>
      </c>
      <c r="N38" s="52">
        <v>4070</v>
      </c>
      <c r="O38" s="52">
        <v>2680</v>
      </c>
      <c r="P38" s="52">
        <v>2880</v>
      </c>
      <c r="Q38" s="52">
        <v>3080</v>
      </c>
      <c r="R38" s="49">
        <v>3680</v>
      </c>
      <c r="S38" s="49">
        <v>4080</v>
      </c>
      <c r="T38" s="58"/>
      <c r="U38" s="58"/>
      <c r="W38" s="59"/>
      <c r="X38" s="59">
        <v>5068</v>
      </c>
      <c r="Y38" s="59">
        <v>6068</v>
      </c>
      <c r="Z38" s="59">
        <v>8068</v>
      </c>
      <c r="AA38" s="59">
        <v>5070</v>
      </c>
      <c r="AB38" s="59">
        <v>6070</v>
      </c>
      <c r="AC38" s="59">
        <v>8070</v>
      </c>
      <c r="AD38" s="59">
        <v>5080</v>
      </c>
      <c r="AE38" s="59">
        <v>6080</v>
      </c>
      <c r="AF38" s="59">
        <v>8080</v>
      </c>
      <c r="AG38" s="59">
        <v>5090</v>
      </c>
      <c r="AH38" s="59">
        <v>6090</v>
      </c>
      <c r="AI38" s="59">
        <v>8090</v>
      </c>
    </row>
    <row r="39" spans="1:35" s="17" customFormat="1" x14ac:dyDescent="0.3">
      <c r="B39" s="17" t="s">
        <v>190</v>
      </c>
      <c r="D39" s="52">
        <v>316</v>
      </c>
      <c r="E39" s="52">
        <v>316</v>
      </c>
      <c r="F39" s="52">
        <v>316</v>
      </c>
      <c r="G39" s="52">
        <v>329</v>
      </c>
      <c r="H39" s="52">
        <v>329</v>
      </c>
      <c r="I39" s="52">
        <v>319</v>
      </c>
      <c r="J39" s="52">
        <v>319</v>
      </c>
      <c r="K39" s="52">
        <v>319</v>
      </c>
      <c r="L39" s="52">
        <v>319</v>
      </c>
      <c r="M39" s="52">
        <v>332</v>
      </c>
      <c r="N39" s="52">
        <v>332</v>
      </c>
      <c r="O39" s="52">
        <v>373</v>
      </c>
      <c r="P39" s="52">
        <v>373</v>
      </c>
      <c r="Q39" s="52">
        <v>373</v>
      </c>
      <c r="R39" s="52">
        <v>386</v>
      </c>
      <c r="S39" s="52">
        <v>386</v>
      </c>
      <c r="T39" s="60"/>
      <c r="U39" s="60"/>
    </row>
    <row r="40" spans="1:35" s="17" customFormat="1" x14ac:dyDescent="0.3">
      <c r="D40" s="52">
        <v>245</v>
      </c>
      <c r="E40" s="52">
        <v>245</v>
      </c>
      <c r="F40" s="52">
        <v>245</v>
      </c>
      <c r="G40" s="52">
        <v>258</v>
      </c>
      <c r="H40" s="52">
        <v>258</v>
      </c>
      <c r="I40" s="52">
        <v>248</v>
      </c>
      <c r="J40" s="52">
        <v>248</v>
      </c>
      <c r="K40" s="52">
        <v>248</v>
      </c>
      <c r="L40" s="52">
        <v>248</v>
      </c>
      <c r="M40" s="52">
        <v>261</v>
      </c>
      <c r="N40" s="52">
        <v>261</v>
      </c>
      <c r="O40" s="52">
        <v>302</v>
      </c>
      <c r="P40" s="52">
        <v>302</v>
      </c>
      <c r="Q40" s="52">
        <v>302</v>
      </c>
      <c r="R40" s="52">
        <v>315</v>
      </c>
      <c r="S40" s="52">
        <v>315</v>
      </c>
      <c r="T40" s="60"/>
      <c r="U40" s="60"/>
    </row>
    <row r="41" spans="1:35" s="17" customFormat="1" x14ac:dyDescent="0.3">
      <c r="D41" s="52">
        <v>33</v>
      </c>
      <c r="E41" s="52">
        <v>33</v>
      </c>
      <c r="F41" s="52">
        <v>33</v>
      </c>
      <c r="G41" s="52">
        <v>33</v>
      </c>
      <c r="H41" s="52">
        <v>33</v>
      </c>
      <c r="I41" s="52">
        <v>33</v>
      </c>
      <c r="J41" s="52">
        <v>33</v>
      </c>
      <c r="K41" s="52">
        <v>33</v>
      </c>
      <c r="L41" s="52">
        <v>33</v>
      </c>
      <c r="M41" s="52">
        <v>33</v>
      </c>
      <c r="N41" s="52">
        <v>33</v>
      </c>
      <c r="O41" s="52">
        <v>33</v>
      </c>
      <c r="P41" s="52">
        <v>33</v>
      </c>
      <c r="Q41" s="52">
        <v>33</v>
      </c>
      <c r="R41" s="52">
        <v>33</v>
      </c>
      <c r="S41" s="52">
        <v>33</v>
      </c>
      <c r="T41" s="60"/>
      <c r="U41" s="60"/>
    </row>
    <row r="42" spans="1:35" s="17" customFormat="1" x14ac:dyDescent="0.3">
      <c r="D42" s="52">
        <v>31</v>
      </c>
      <c r="E42" s="52">
        <v>31</v>
      </c>
      <c r="F42" s="52">
        <v>31</v>
      </c>
      <c r="G42" s="52">
        <v>31</v>
      </c>
      <c r="H42" s="52">
        <v>31</v>
      </c>
      <c r="I42" s="52">
        <v>31</v>
      </c>
      <c r="J42" s="52">
        <v>31</v>
      </c>
      <c r="K42" s="52">
        <v>31</v>
      </c>
      <c r="L42" s="52">
        <v>31</v>
      </c>
      <c r="M42" s="52">
        <v>31</v>
      </c>
      <c r="N42" s="52">
        <v>31</v>
      </c>
      <c r="O42" s="52">
        <v>31</v>
      </c>
      <c r="P42" s="52">
        <v>31</v>
      </c>
      <c r="Q42" s="52">
        <v>31</v>
      </c>
      <c r="R42" s="52">
        <v>31</v>
      </c>
      <c r="S42" s="52">
        <v>31</v>
      </c>
      <c r="T42" s="60"/>
      <c r="U42" s="60"/>
    </row>
    <row r="43" spans="1:35" s="17" customFormat="1" x14ac:dyDescent="0.3">
      <c r="D43" s="52">
        <v>7</v>
      </c>
      <c r="E43" s="52">
        <v>7</v>
      </c>
      <c r="F43" s="52">
        <v>7</v>
      </c>
      <c r="G43" s="52">
        <v>7</v>
      </c>
      <c r="H43" s="52">
        <v>7</v>
      </c>
      <c r="I43" s="52">
        <v>7</v>
      </c>
      <c r="J43" s="52">
        <v>7</v>
      </c>
      <c r="K43" s="52">
        <v>7</v>
      </c>
      <c r="L43" s="52">
        <v>7</v>
      </c>
      <c r="M43" s="52">
        <v>7</v>
      </c>
      <c r="N43" s="52">
        <v>7</v>
      </c>
      <c r="O43" s="52">
        <v>7</v>
      </c>
      <c r="P43" s="52">
        <v>7</v>
      </c>
      <c r="Q43" s="52">
        <v>7</v>
      </c>
      <c r="R43" s="52">
        <v>7</v>
      </c>
      <c r="S43" s="52">
        <v>7</v>
      </c>
      <c r="T43" s="60"/>
      <c r="U43" s="60"/>
    </row>
    <row r="44" spans="1:35" x14ac:dyDescent="0.3">
      <c r="D44" s="52">
        <f t="shared" ref="D44" si="28">SUM(D40:D43)</f>
        <v>316</v>
      </c>
      <c r="E44" s="52">
        <f t="shared" ref="E44" si="29">SUM(E40:E43)</f>
        <v>316</v>
      </c>
      <c r="F44" s="52">
        <f t="shared" ref="F44" si="30">SUM(F40:F43)</f>
        <v>316</v>
      </c>
      <c r="G44" s="52">
        <f t="shared" ref="G44" si="31">SUM(G40:G43)</f>
        <v>329</v>
      </c>
      <c r="H44" s="52">
        <f t="shared" ref="H44:I44" si="32">SUM(H40:H43)</f>
        <v>329</v>
      </c>
      <c r="I44" s="52">
        <f t="shared" si="32"/>
        <v>319</v>
      </c>
      <c r="J44" s="52">
        <f t="shared" ref="J44" si="33">SUM(J40:J43)</f>
        <v>319</v>
      </c>
      <c r="K44" s="52">
        <f t="shared" ref="K44" si="34">SUM(K40:K43)</f>
        <v>319</v>
      </c>
      <c r="L44" s="52">
        <f t="shared" ref="L44" si="35">SUM(L40:L43)</f>
        <v>319</v>
      </c>
      <c r="M44" s="52">
        <f t="shared" ref="M44" si="36">SUM(M40:M43)</f>
        <v>332</v>
      </c>
      <c r="N44" s="52">
        <f t="shared" ref="N44" si="37">SUM(N40:N43)</f>
        <v>332</v>
      </c>
      <c r="O44" s="52">
        <f t="shared" ref="O44" si="38">SUM(O40:O43)</f>
        <v>373</v>
      </c>
      <c r="P44" s="52">
        <f t="shared" ref="P44" si="39">SUM(P40:P43)</f>
        <v>373</v>
      </c>
      <c r="Q44" s="52">
        <f t="shared" ref="Q44" si="40">SUM(Q40:Q43)</f>
        <v>373</v>
      </c>
      <c r="R44" s="52">
        <f t="shared" ref="R44:S44" si="41">SUM(R40:R43)</f>
        <v>386</v>
      </c>
      <c r="S44" s="52">
        <f t="shared" si="41"/>
        <v>386</v>
      </c>
    </row>
    <row r="46" spans="1:35" s="47" customFormat="1" x14ac:dyDescent="0.3">
      <c r="A46" s="46"/>
      <c r="B46" s="46"/>
      <c r="C46" s="47" t="s">
        <v>200</v>
      </c>
      <c r="D46" s="47">
        <f>+D40/D39</f>
        <v>0.77531645569620256</v>
      </c>
      <c r="E46" s="47">
        <f t="shared" ref="E46:H46" si="42">+E40/E39</f>
        <v>0.77531645569620256</v>
      </c>
      <c r="F46" s="47">
        <f t="shared" si="42"/>
        <v>0.77531645569620256</v>
      </c>
      <c r="G46" s="47">
        <f t="shared" si="42"/>
        <v>0.78419452887537999</v>
      </c>
      <c r="H46" s="47">
        <f t="shared" si="42"/>
        <v>0.78419452887537999</v>
      </c>
      <c r="I46" s="47">
        <f t="shared" ref="I46" si="43">+I40/I39</f>
        <v>0.77742946708463945</v>
      </c>
      <c r="J46" s="47">
        <f t="shared" ref="J46:S46" si="44">+J40/J39</f>
        <v>0.77742946708463945</v>
      </c>
      <c r="K46" s="47">
        <f t="shared" si="44"/>
        <v>0.77742946708463945</v>
      </c>
      <c r="L46" s="47">
        <f t="shared" si="44"/>
        <v>0.77742946708463945</v>
      </c>
      <c r="M46" s="47">
        <f t="shared" si="44"/>
        <v>0.78614457831325302</v>
      </c>
      <c r="N46" s="47">
        <f t="shared" si="44"/>
        <v>0.78614457831325302</v>
      </c>
      <c r="O46" s="47">
        <f t="shared" si="44"/>
        <v>0.80965147453083108</v>
      </c>
      <c r="P46" s="47">
        <f t="shared" si="44"/>
        <v>0.80965147453083108</v>
      </c>
      <c r="Q46" s="47">
        <f t="shared" si="44"/>
        <v>0.80965147453083108</v>
      </c>
      <c r="R46" s="47">
        <f t="shared" si="44"/>
        <v>0.81606217616580312</v>
      </c>
      <c r="S46" s="47">
        <f t="shared" si="44"/>
        <v>0.81606217616580312</v>
      </c>
    </row>
    <row r="47" spans="1:35" s="41" customFormat="1" x14ac:dyDescent="0.3">
      <c r="C47" s="41" t="s">
        <v>199</v>
      </c>
      <c r="D47" s="41">
        <f>(+D44-D40)/D39</f>
        <v>0.22468354430379747</v>
      </c>
      <c r="E47" s="41">
        <f t="shared" ref="E47:H47" si="45">(+E44-E40)/E39</f>
        <v>0.22468354430379747</v>
      </c>
      <c r="F47" s="41">
        <f t="shared" si="45"/>
        <v>0.22468354430379747</v>
      </c>
      <c r="G47" s="41">
        <f t="shared" si="45"/>
        <v>0.21580547112462006</v>
      </c>
      <c r="H47" s="41">
        <f t="shared" si="45"/>
        <v>0.21580547112462006</v>
      </c>
      <c r="I47" s="47">
        <f t="shared" ref="I47" si="46">(+I44-I40)/I39</f>
        <v>0.2225705329153605</v>
      </c>
      <c r="J47" s="41">
        <f t="shared" ref="J47:S47" si="47">(+J44-J40)/J39</f>
        <v>0.2225705329153605</v>
      </c>
      <c r="K47" s="41">
        <f t="shared" si="47"/>
        <v>0.2225705329153605</v>
      </c>
      <c r="L47" s="41">
        <f t="shared" si="47"/>
        <v>0.2225705329153605</v>
      </c>
      <c r="M47" s="41">
        <f t="shared" si="47"/>
        <v>0.21385542168674698</v>
      </c>
      <c r="N47" s="41">
        <f t="shared" si="47"/>
        <v>0.21385542168674698</v>
      </c>
      <c r="O47" s="41">
        <f t="shared" si="47"/>
        <v>0.19034852546916889</v>
      </c>
      <c r="P47" s="41">
        <f t="shared" si="47"/>
        <v>0.19034852546916889</v>
      </c>
      <c r="Q47" s="41">
        <f t="shared" si="47"/>
        <v>0.19034852546916889</v>
      </c>
      <c r="R47" s="41">
        <f t="shared" si="47"/>
        <v>0.18393782383419688</v>
      </c>
      <c r="S47" s="41">
        <f t="shared" si="47"/>
        <v>0.18393782383419688</v>
      </c>
      <c r="T47" s="47"/>
      <c r="U47" s="47"/>
    </row>
    <row r="49" spans="1:35" x14ac:dyDescent="0.3">
      <c r="K49" s="16"/>
    </row>
    <row r="50" spans="1:35" s="17" customFormat="1" x14ac:dyDescent="0.3">
      <c r="B50" s="17" t="s">
        <v>198</v>
      </c>
      <c r="D50" s="52">
        <v>2668</v>
      </c>
      <c r="E50" s="52">
        <v>2868</v>
      </c>
      <c r="F50" s="52">
        <v>3068</v>
      </c>
      <c r="G50" s="52">
        <v>3668</v>
      </c>
      <c r="H50" s="52">
        <v>4068</v>
      </c>
      <c r="I50" s="52">
        <v>2070</v>
      </c>
      <c r="J50" s="52">
        <v>2670</v>
      </c>
      <c r="K50" s="52">
        <v>2870</v>
      </c>
      <c r="L50" s="52">
        <v>3070</v>
      </c>
      <c r="M50" s="52">
        <v>3670</v>
      </c>
      <c r="N50" s="52">
        <v>4070</v>
      </c>
      <c r="O50" s="52">
        <v>2680</v>
      </c>
      <c r="P50" s="52">
        <v>2880</v>
      </c>
      <c r="Q50" s="52">
        <v>3080</v>
      </c>
      <c r="R50" s="49">
        <v>3680</v>
      </c>
      <c r="S50" s="49">
        <v>4080</v>
      </c>
      <c r="T50" s="58"/>
      <c r="U50" s="58"/>
      <c r="V50" s="59"/>
      <c r="W50" s="59"/>
      <c r="X50" s="59">
        <v>5068</v>
      </c>
      <c r="Y50" s="59">
        <v>6068</v>
      </c>
      <c r="Z50" s="59">
        <v>8068</v>
      </c>
      <c r="AA50" s="59">
        <v>5070</v>
      </c>
      <c r="AB50" s="59">
        <v>6070</v>
      </c>
      <c r="AC50" s="59">
        <v>8070</v>
      </c>
      <c r="AD50" s="59">
        <v>5080</v>
      </c>
      <c r="AE50" s="59">
        <v>6080</v>
      </c>
      <c r="AF50" s="59">
        <v>8080</v>
      </c>
      <c r="AG50" s="59">
        <v>5090</v>
      </c>
      <c r="AH50" s="59">
        <v>6090</v>
      </c>
      <c r="AI50" s="59">
        <v>8090</v>
      </c>
    </row>
    <row r="51" spans="1:35" s="17" customFormat="1" x14ac:dyDescent="0.3">
      <c r="B51" s="17" t="s">
        <v>190</v>
      </c>
      <c r="D51" s="52">
        <v>378</v>
      </c>
      <c r="E51" s="52">
        <v>378</v>
      </c>
      <c r="F51" s="52">
        <v>378</v>
      </c>
      <c r="G51" s="52">
        <v>393</v>
      </c>
      <c r="H51" s="52">
        <v>393</v>
      </c>
      <c r="I51" s="52">
        <v>389</v>
      </c>
      <c r="J51" s="52">
        <v>389</v>
      </c>
      <c r="K51" s="52">
        <v>389</v>
      </c>
      <c r="L51" s="52">
        <v>389</v>
      </c>
      <c r="M51" s="52">
        <v>404</v>
      </c>
      <c r="N51" s="52">
        <v>404</v>
      </c>
      <c r="O51" s="52">
        <v>449</v>
      </c>
      <c r="P51" s="52">
        <v>449</v>
      </c>
      <c r="Q51" s="52">
        <v>449</v>
      </c>
      <c r="R51" s="52">
        <v>464</v>
      </c>
      <c r="S51" s="52">
        <v>464</v>
      </c>
      <c r="T51" s="60"/>
      <c r="U51" s="60"/>
    </row>
    <row r="52" spans="1:35" s="61" customFormat="1" x14ac:dyDescent="0.3">
      <c r="D52" s="55">
        <v>307</v>
      </c>
      <c r="E52" s="55">
        <v>307</v>
      </c>
      <c r="F52" s="55">
        <v>307</v>
      </c>
      <c r="G52" s="55">
        <v>322</v>
      </c>
      <c r="H52" s="55">
        <v>322</v>
      </c>
      <c r="I52" s="55">
        <v>318</v>
      </c>
      <c r="J52" s="55">
        <v>318</v>
      </c>
      <c r="K52" s="55">
        <v>318</v>
      </c>
      <c r="L52" s="55">
        <v>318</v>
      </c>
      <c r="M52" s="55">
        <v>333</v>
      </c>
      <c r="N52" s="55">
        <v>333</v>
      </c>
      <c r="O52" s="55">
        <v>378</v>
      </c>
      <c r="P52" s="55">
        <v>378</v>
      </c>
      <c r="Q52" s="55">
        <v>378</v>
      </c>
      <c r="R52" s="55">
        <v>393</v>
      </c>
      <c r="S52" s="66">
        <v>393</v>
      </c>
      <c r="T52" s="62"/>
      <c r="U52" s="62"/>
    </row>
    <row r="53" spans="1:35" s="61" customFormat="1" x14ac:dyDescent="0.3">
      <c r="D53" s="55">
        <v>33</v>
      </c>
      <c r="E53" s="55">
        <v>33</v>
      </c>
      <c r="F53" s="55">
        <v>33</v>
      </c>
      <c r="G53" s="55">
        <v>33</v>
      </c>
      <c r="H53" s="55">
        <v>33</v>
      </c>
      <c r="I53" s="55">
        <v>33</v>
      </c>
      <c r="J53" s="55">
        <v>33</v>
      </c>
      <c r="K53" s="55">
        <v>33</v>
      </c>
      <c r="L53" s="55">
        <v>33</v>
      </c>
      <c r="M53" s="55">
        <v>33</v>
      </c>
      <c r="N53" s="55">
        <v>33</v>
      </c>
      <c r="O53" s="55">
        <v>33</v>
      </c>
      <c r="P53" s="55">
        <v>33</v>
      </c>
      <c r="Q53" s="55">
        <v>33</v>
      </c>
      <c r="R53" s="55">
        <v>33</v>
      </c>
      <c r="S53" s="66">
        <v>33</v>
      </c>
      <c r="T53" s="62"/>
      <c r="U53" s="62"/>
    </row>
    <row r="54" spans="1:35" s="61" customFormat="1" x14ac:dyDescent="0.3">
      <c r="D54" s="55">
        <v>31</v>
      </c>
      <c r="E54" s="55">
        <v>31</v>
      </c>
      <c r="F54" s="55">
        <v>31</v>
      </c>
      <c r="G54" s="55">
        <v>31</v>
      </c>
      <c r="H54" s="55">
        <v>31</v>
      </c>
      <c r="I54" s="55">
        <v>31</v>
      </c>
      <c r="J54" s="55">
        <v>31</v>
      </c>
      <c r="K54" s="55">
        <v>31</v>
      </c>
      <c r="L54" s="55">
        <v>31</v>
      </c>
      <c r="M54" s="55">
        <v>31</v>
      </c>
      <c r="N54" s="55">
        <v>31</v>
      </c>
      <c r="O54" s="55">
        <v>31</v>
      </c>
      <c r="P54" s="55">
        <v>31</v>
      </c>
      <c r="Q54" s="55">
        <v>31</v>
      </c>
      <c r="R54" s="55">
        <v>31</v>
      </c>
      <c r="S54" s="55">
        <v>31</v>
      </c>
      <c r="T54" s="62"/>
      <c r="U54" s="62"/>
    </row>
    <row r="55" spans="1:35" s="61" customFormat="1" x14ac:dyDescent="0.3">
      <c r="D55" s="55">
        <v>7</v>
      </c>
      <c r="E55" s="55">
        <v>7</v>
      </c>
      <c r="F55" s="55">
        <v>7</v>
      </c>
      <c r="G55" s="55">
        <v>7</v>
      </c>
      <c r="H55" s="55">
        <v>7</v>
      </c>
      <c r="I55" s="55">
        <v>7</v>
      </c>
      <c r="J55" s="55">
        <v>7</v>
      </c>
      <c r="K55" s="55">
        <v>7</v>
      </c>
      <c r="L55" s="55">
        <v>7</v>
      </c>
      <c r="M55" s="55">
        <v>7</v>
      </c>
      <c r="N55" s="55">
        <v>7</v>
      </c>
      <c r="O55" s="55">
        <v>7</v>
      </c>
      <c r="P55" s="55">
        <v>7</v>
      </c>
      <c r="Q55" s="55">
        <v>7</v>
      </c>
      <c r="R55" s="55">
        <v>7</v>
      </c>
      <c r="S55" s="55">
        <v>7</v>
      </c>
      <c r="T55" s="62"/>
      <c r="U55" s="62"/>
    </row>
    <row r="56" spans="1:35" s="17" customFormat="1" x14ac:dyDescent="0.3">
      <c r="D56" s="55">
        <f>SUM(D52:D55)</f>
        <v>378</v>
      </c>
      <c r="E56" s="52">
        <f t="shared" ref="E56" si="48">SUM(E52:E55)</f>
        <v>378</v>
      </c>
      <c r="F56" s="52">
        <f t="shared" ref="F56" si="49">SUM(F52:F55)</f>
        <v>378</v>
      </c>
      <c r="G56" s="52">
        <f t="shared" ref="G56" si="50">SUM(G52:G55)</f>
        <v>393</v>
      </c>
      <c r="H56" s="52">
        <f t="shared" ref="H56" si="51">SUM(H52:H55)</f>
        <v>393</v>
      </c>
      <c r="I56" s="52">
        <f t="shared" ref="I56" si="52">SUM(I52:I55)</f>
        <v>389</v>
      </c>
      <c r="J56" s="52">
        <f t="shared" ref="J56" si="53">SUM(J52:J55)</f>
        <v>389</v>
      </c>
      <c r="K56" s="52">
        <f t="shared" ref="K56" si="54">SUM(K52:K55)</f>
        <v>389</v>
      </c>
      <c r="L56" s="52">
        <f t="shared" ref="L56" si="55">SUM(L52:L55)</f>
        <v>389</v>
      </c>
      <c r="M56" s="52">
        <f t="shared" ref="M56" si="56">SUM(M52:M55)</f>
        <v>404</v>
      </c>
      <c r="N56" s="52">
        <f t="shared" ref="N56" si="57">SUM(N52:N55)</f>
        <v>404</v>
      </c>
      <c r="O56" s="56">
        <f t="shared" ref="O56" si="58">SUM(O52:O55)</f>
        <v>449</v>
      </c>
      <c r="P56" s="52">
        <f t="shared" ref="P56" si="59">SUM(P52:P55)</f>
        <v>449</v>
      </c>
      <c r="Q56" s="52">
        <f t="shared" ref="Q56" si="60">SUM(Q52:Q55)</f>
        <v>449</v>
      </c>
      <c r="R56" s="56">
        <f t="shared" ref="R56:S56" si="61">SUM(R52:R55)</f>
        <v>464</v>
      </c>
      <c r="S56" s="52">
        <f t="shared" si="61"/>
        <v>464</v>
      </c>
      <c r="T56" s="60"/>
      <c r="U56" s="60"/>
    </row>
    <row r="58" spans="1:35" s="47" customFormat="1" x14ac:dyDescent="0.3">
      <c r="A58" s="46"/>
      <c r="B58" s="46"/>
      <c r="C58" s="47" t="s">
        <v>200</v>
      </c>
      <c r="D58" s="47">
        <f t="shared" ref="D58" si="62">+D52/D51</f>
        <v>0.81216931216931221</v>
      </c>
      <c r="E58" s="47">
        <f t="shared" ref="E58:S58" si="63">+E52/E51</f>
        <v>0.81216931216931221</v>
      </c>
      <c r="F58" s="47">
        <f t="shared" si="63"/>
        <v>0.81216931216931221</v>
      </c>
      <c r="G58" s="47">
        <f t="shared" si="63"/>
        <v>0.8193384223918575</v>
      </c>
      <c r="H58" s="47">
        <f t="shared" si="63"/>
        <v>0.8193384223918575</v>
      </c>
      <c r="I58" s="47">
        <f t="shared" si="63"/>
        <v>0.81748071979434445</v>
      </c>
      <c r="J58" s="47">
        <f t="shared" si="63"/>
        <v>0.81748071979434445</v>
      </c>
      <c r="K58" s="47">
        <f t="shared" si="63"/>
        <v>0.81748071979434445</v>
      </c>
      <c r="L58" s="47">
        <f t="shared" si="63"/>
        <v>0.81748071979434445</v>
      </c>
      <c r="M58" s="47">
        <f t="shared" si="63"/>
        <v>0.82425742574257421</v>
      </c>
      <c r="N58" s="47">
        <f t="shared" si="63"/>
        <v>0.82425742574257421</v>
      </c>
      <c r="O58" s="47">
        <f t="shared" si="63"/>
        <v>0.84187082405345215</v>
      </c>
      <c r="P58" s="47">
        <f t="shared" si="63"/>
        <v>0.84187082405345215</v>
      </c>
      <c r="Q58" s="47">
        <f t="shared" si="63"/>
        <v>0.84187082405345215</v>
      </c>
      <c r="R58" s="47">
        <f t="shared" si="63"/>
        <v>0.84698275862068961</v>
      </c>
      <c r="S58" s="47">
        <f t="shared" ref="S58" si="64">+S52/S51</f>
        <v>0.84698275862068961</v>
      </c>
    </row>
    <row r="59" spans="1:35" s="41" customFormat="1" x14ac:dyDescent="0.3">
      <c r="C59" s="41" t="s">
        <v>199</v>
      </c>
      <c r="D59" s="41">
        <f t="shared" ref="D59" si="65">(+D56-D52)/D51</f>
        <v>0.18783068783068782</v>
      </c>
      <c r="E59" s="41">
        <f t="shared" ref="E59:R59" si="66">(+E56-E52)/E51</f>
        <v>0.18783068783068782</v>
      </c>
      <c r="F59" s="41">
        <f t="shared" si="66"/>
        <v>0.18783068783068782</v>
      </c>
      <c r="G59" s="41">
        <f t="shared" si="66"/>
        <v>0.1806615776081425</v>
      </c>
      <c r="H59" s="41">
        <f t="shared" si="66"/>
        <v>0.1806615776081425</v>
      </c>
      <c r="I59" s="47">
        <f t="shared" si="66"/>
        <v>0.18251928020565553</v>
      </c>
      <c r="J59" s="41">
        <f t="shared" si="66"/>
        <v>0.18251928020565553</v>
      </c>
      <c r="K59" s="41">
        <f t="shared" si="66"/>
        <v>0.18251928020565553</v>
      </c>
      <c r="L59" s="41">
        <f t="shared" si="66"/>
        <v>0.18251928020565553</v>
      </c>
      <c r="M59" s="41">
        <f t="shared" si="66"/>
        <v>0.17574257425742573</v>
      </c>
      <c r="N59" s="41">
        <f t="shared" si="66"/>
        <v>0.17574257425742573</v>
      </c>
      <c r="O59" s="41">
        <f t="shared" si="66"/>
        <v>0.15812917594654788</v>
      </c>
      <c r="P59" s="41">
        <f t="shared" si="66"/>
        <v>0.15812917594654788</v>
      </c>
      <c r="Q59" s="41">
        <f t="shared" si="66"/>
        <v>0.15812917594654788</v>
      </c>
      <c r="R59" s="41">
        <f t="shared" si="66"/>
        <v>0.15301724137931033</v>
      </c>
      <c r="S59" s="41">
        <f t="shared" ref="S59" si="67">(+S56-S52)/S51</f>
        <v>0.15301724137931033</v>
      </c>
      <c r="T59" s="47"/>
      <c r="U59" s="47"/>
    </row>
    <row r="60" spans="1:35" s="53" customFormat="1" x14ac:dyDescent="0.3">
      <c r="I60" s="54"/>
      <c r="T60" s="54"/>
      <c r="U60" s="54"/>
    </row>
    <row r="61" spans="1:35" s="53" customFormat="1" x14ac:dyDescent="0.3">
      <c r="I61" s="54"/>
      <c r="T61" s="54"/>
      <c r="U61" s="54"/>
    </row>
    <row r="62" spans="1:35" s="53" customFormat="1" x14ac:dyDescent="0.3">
      <c r="I62" s="54"/>
      <c r="T62" s="54"/>
      <c r="U62" s="54"/>
    </row>
    <row r="67" spans="2:33" x14ac:dyDescent="0.3">
      <c r="G67" s="43"/>
      <c r="I67"/>
    </row>
    <row r="68" spans="2:33" x14ac:dyDescent="0.3">
      <c r="G68" s="43"/>
      <c r="I68"/>
    </row>
    <row r="69" spans="2:33" x14ac:dyDescent="0.3">
      <c r="G69" s="43"/>
      <c r="I69"/>
    </row>
    <row r="70" spans="2:33" x14ac:dyDescent="0.3">
      <c r="G70" s="43"/>
      <c r="I70"/>
    </row>
    <row r="71" spans="2:33" x14ac:dyDescent="0.3">
      <c r="B71" t="s">
        <v>191</v>
      </c>
      <c r="D71">
        <v>2668</v>
      </c>
      <c r="E71">
        <v>2868</v>
      </c>
      <c r="F71">
        <v>3068</v>
      </c>
      <c r="G71" s="43"/>
      <c r="H71">
        <v>3668</v>
      </c>
      <c r="I71">
        <v>4068</v>
      </c>
      <c r="J71">
        <v>2670</v>
      </c>
      <c r="K71">
        <v>2870</v>
      </c>
      <c r="L71">
        <v>3070</v>
      </c>
      <c r="N71">
        <v>4070</v>
      </c>
      <c r="O71">
        <v>2680</v>
      </c>
      <c r="P71">
        <v>2880</v>
      </c>
      <c r="Q71">
        <v>3080</v>
      </c>
      <c r="R71" s="39">
        <v>4080</v>
      </c>
      <c r="S71" s="39"/>
      <c r="V71" s="39">
        <v>5068</v>
      </c>
      <c r="W71" s="39">
        <v>6068</v>
      </c>
      <c r="X71" s="39">
        <v>8068</v>
      </c>
      <c r="Y71" s="39">
        <v>5070</v>
      </c>
      <c r="Z71" s="39">
        <v>6070</v>
      </c>
      <c r="AA71" s="39">
        <v>8070</v>
      </c>
      <c r="AB71" s="39">
        <v>5080</v>
      </c>
      <c r="AC71" s="39">
        <v>6080</v>
      </c>
      <c r="AD71" s="39">
        <v>8080</v>
      </c>
      <c r="AE71" s="39">
        <v>5090</v>
      </c>
      <c r="AF71" s="39">
        <v>6090</v>
      </c>
      <c r="AG71" s="39">
        <v>8090</v>
      </c>
    </row>
    <row r="72" spans="2:33" x14ac:dyDescent="0.3">
      <c r="F72">
        <v>300</v>
      </c>
      <c r="G72" s="43"/>
      <c r="I72"/>
    </row>
    <row r="73" spans="2:33" x14ac:dyDescent="0.3">
      <c r="F73">
        <v>229</v>
      </c>
      <c r="G73" s="43"/>
      <c r="I73"/>
    </row>
    <row r="74" spans="2:33" x14ac:dyDescent="0.3">
      <c r="F74">
        <v>33</v>
      </c>
      <c r="G74" s="43"/>
      <c r="I74"/>
    </row>
    <row r="75" spans="2:33" x14ac:dyDescent="0.3">
      <c r="F75">
        <v>31</v>
      </c>
      <c r="G75" s="43"/>
      <c r="I75"/>
    </row>
    <row r="76" spans="2:33" x14ac:dyDescent="0.3">
      <c r="F76">
        <v>7</v>
      </c>
      <c r="G76" s="43"/>
      <c r="I76"/>
    </row>
    <row r="77" spans="2:33" x14ac:dyDescent="0.3">
      <c r="F77">
        <f>+F73+F74+F75+F76</f>
        <v>300</v>
      </c>
      <c r="G77" s="43"/>
      <c r="I77"/>
    </row>
    <row r="78" spans="2:33" x14ac:dyDescent="0.3">
      <c r="G78" s="43"/>
      <c r="I78"/>
    </row>
    <row r="79" spans="2:33" x14ac:dyDescent="0.3">
      <c r="G79" s="43"/>
      <c r="I79"/>
    </row>
    <row r="80" spans="2:33" x14ac:dyDescent="0.3">
      <c r="F80">
        <f>+F73/F72</f>
        <v>0.76333333333333331</v>
      </c>
      <c r="G80" s="43"/>
      <c r="I80"/>
    </row>
    <row r="81" spans="1:35" x14ac:dyDescent="0.3">
      <c r="F81">
        <f>(+F72-F73)/F72</f>
        <v>0.23666666666666666</v>
      </c>
      <c r="G81" s="43"/>
      <c r="I81"/>
    </row>
    <row r="82" spans="1:35" x14ac:dyDescent="0.3">
      <c r="G82" s="43"/>
      <c r="I82"/>
    </row>
    <row r="83" spans="1:35" x14ac:dyDescent="0.3">
      <c r="G83" s="43"/>
      <c r="I83"/>
    </row>
    <row r="84" spans="1:35" x14ac:dyDescent="0.3">
      <c r="G84" s="43"/>
      <c r="I84"/>
    </row>
    <row r="85" spans="1:35" x14ac:dyDescent="0.3">
      <c r="G85" s="43"/>
      <c r="I85"/>
    </row>
    <row r="86" spans="1:35" x14ac:dyDescent="0.3">
      <c r="G86" s="43"/>
      <c r="I86"/>
    </row>
    <row r="87" spans="1:35" x14ac:dyDescent="0.3">
      <c r="G87" s="43"/>
      <c r="I87"/>
    </row>
    <row r="88" spans="1:35" x14ac:dyDescent="0.3">
      <c r="G88" s="43"/>
      <c r="I88"/>
    </row>
    <row r="89" spans="1:35" x14ac:dyDescent="0.3">
      <c r="G89" s="43"/>
      <c r="I89"/>
    </row>
    <row r="90" spans="1:35" s="17" customFormat="1" x14ac:dyDescent="0.3">
      <c r="B90" s="17" t="s">
        <v>196</v>
      </c>
      <c r="D90" s="52"/>
      <c r="E90" s="52"/>
      <c r="F90" s="52">
        <v>3068</v>
      </c>
      <c r="G90" s="52"/>
      <c r="H90" s="52">
        <v>4068</v>
      </c>
      <c r="I90" s="52"/>
      <c r="J90" s="52"/>
      <c r="K90" s="52"/>
      <c r="L90" s="52">
        <v>3070</v>
      </c>
      <c r="M90" s="52"/>
      <c r="N90" s="52">
        <v>4070</v>
      </c>
      <c r="O90" s="52"/>
      <c r="P90" s="52"/>
      <c r="Q90" s="52">
        <v>3080</v>
      </c>
      <c r="R90" s="49"/>
      <c r="S90" s="49">
        <v>4080</v>
      </c>
      <c r="T90" s="58"/>
      <c r="U90" s="58"/>
      <c r="W90" s="59"/>
      <c r="X90" s="59">
        <v>5068</v>
      </c>
      <c r="Y90" s="59">
        <v>6068</v>
      </c>
      <c r="Z90" s="59">
        <v>8068</v>
      </c>
      <c r="AA90" s="59">
        <v>5070</v>
      </c>
      <c r="AB90" s="59">
        <v>6070</v>
      </c>
      <c r="AC90" s="59">
        <v>8070</v>
      </c>
      <c r="AD90" s="59">
        <v>5080</v>
      </c>
      <c r="AE90" s="59">
        <v>6080</v>
      </c>
      <c r="AF90" s="59">
        <v>8080</v>
      </c>
      <c r="AG90" s="59">
        <v>5090</v>
      </c>
      <c r="AH90" s="59">
        <v>6090</v>
      </c>
      <c r="AI90" s="59">
        <v>8090</v>
      </c>
    </row>
    <row r="91" spans="1:35" s="17" customFormat="1" x14ac:dyDescent="0.3">
      <c r="B91" s="17" t="s">
        <v>190</v>
      </c>
      <c r="D91" s="52"/>
      <c r="E91" s="52"/>
      <c r="F91" s="56">
        <v>346</v>
      </c>
      <c r="G91" s="56"/>
      <c r="H91" s="56">
        <v>359</v>
      </c>
      <c r="I91" s="56"/>
      <c r="J91" s="56"/>
      <c r="K91" s="56"/>
      <c r="L91" s="56">
        <v>349</v>
      </c>
      <c r="M91" s="56"/>
      <c r="N91" s="56">
        <v>362</v>
      </c>
      <c r="O91" s="52"/>
      <c r="P91" s="52"/>
      <c r="Q91" s="52">
        <v>373</v>
      </c>
      <c r="R91" s="52"/>
      <c r="S91" s="52">
        <v>386</v>
      </c>
      <c r="T91" s="60"/>
      <c r="U91" s="60"/>
    </row>
    <row r="92" spans="1:35" s="17" customFormat="1" x14ac:dyDescent="0.3">
      <c r="D92" s="52"/>
      <c r="E92" s="52"/>
      <c r="F92" s="52">
        <v>245</v>
      </c>
      <c r="G92" s="52"/>
      <c r="H92" s="52">
        <v>258</v>
      </c>
      <c r="I92" s="52"/>
      <c r="J92" s="52"/>
      <c r="K92" s="52"/>
      <c r="L92" s="52">
        <v>248</v>
      </c>
      <c r="M92" s="52"/>
      <c r="N92" s="52">
        <v>261</v>
      </c>
      <c r="O92" s="52"/>
      <c r="P92" s="52"/>
      <c r="Q92" s="52">
        <v>302</v>
      </c>
      <c r="R92" s="52"/>
      <c r="S92" s="52">
        <v>315</v>
      </c>
      <c r="T92" s="60"/>
      <c r="U92" s="60"/>
    </row>
    <row r="93" spans="1:35" s="17" customFormat="1" x14ac:dyDescent="0.3">
      <c r="A93" s="40" t="s">
        <v>206</v>
      </c>
      <c r="B93" s="40"/>
      <c r="C93" s="17" t="s">
        <v>205</v>
      </c>
      <c r="D93" s="56"/>
      <c r="E93" s="56"/>
      <c r="F93" s="56">
        <v>30</v>
      </c>
      <c r="G93" s="56"/>
      <c r="H93" s="56">
        <v>30</v>
      </c>
      <c r="I93" s="56"/>
      <c r="J93" s="56"/>
      <c r="K93" s="56"/>
      <c r="L93" s="56">
        <v>30</v>
      </c>
      <c r="M93" s="56"/>
      <c r="N93" s="56">
        <v>30</v>
      </c>
      <c r="O93" s="56"/>
      <c r="P93" s="56"/>
      <c r="Q93" s="56"/>
      <c r="R93" s="56"/>
      <c r="S93" s="56"/>
      <c r="T93" s="60"/>
      <c r="U93" s="60"/>
    </row>
    <row r="94" spans="1:35" s="17" customFormat="1" x14ac:dyDescent="0.3">
      <c r="A94" s="40"/>
      <c r="B94" s="40"/>
      <c r="C94" s="17" t="s">
        <v>203</v>
      </c>
      <c r="D94" s="52"/>
      <c r="E94" s="52"/>
      <c r="F94" s="52">
        <v>33</v>
      </c>
      <c r="G94" s="52"/>
      <c r="H94" s="52">
        <v>33</v>
      </c>
      <c r="I94" s="52"/>
      <c r="J94" s="52"/>
      <c r="K94" s="52"/>
      <c r="L94" s="52">
        <v>33</v>
      </c>
      <c r="M94" s="52"/>
      <c r="N94" s="52">
        <v>33</v>
      </c>
      <c r="O94" s="52"/>
      <c r="P94" s="52"/>
      <c r="Q94" s="52">
        <v>33</v>
      </c>
      <c r="R94" s="52"/>
      <c r="S94" s="52">
        <v>33</v>
      </c>
      <c r="T94" s="60"/>
      <c r="U94" s="60"/>
    </row>
    <row r="95" spans="1:35" s="17" customFormat="1" x14ac:dyDescent="0.3">
      <c r="A95" s="40"/>
      <c r="B95" s="40"/>
      <c r="C95" s="17" t="s">
        <v>80</v>
      </c>
      <c r="D95" s="52"/>
      <c r="E95" s="52"/>
      <c r="F95" s="52">
        <v>31</v>
      </c>
      <c r="G95" s="52"/>
      <c r="H95" s="52">
        <v>31</v>
      </c>
      <c r="I95" s="52"/>
      <c r="J95" s="52"/>
      <c r="K95" s="52"/>
      <c r="L95" s="52">
        <v>31</v>
      </c>
      <c r="M95" s="52"/>
      <c r="N95" s="52">
        <v>31</v>
      </c>
      <c r="O95" s="52"/>
      <c r="P95" s="52"/>
      <c r="Q95" s="52">
        <v>31</v>
      </c>
      <c r="R95" s="52"/>
      <c r="S95" s="52">
        <v>31</v>
      </c>
      <c r="T95" s="60"/>
      <c r="U95" s="60"/>
    </row>
    <row r="96" spans="1:35" s="17" customFormat="1" x14ac:dyDescent="0.3">
      <c r="A96" s="40"/>
      <c r="B96" s="40"/>
      <c r="C96" s="17" t="s">
        <v>204</v>
      </c>
      <c r="D96" s="52"/>
      <c r="E96" s="52"/>
      <c r="F96" s="52">
        <v>7</v>
      </c>
      <c r="G96" s="52"/>
      <c r="H96" s="52">
        <v>7</v>
      </c>
      <c r="I96" s="52"/>
      <c r="J96" s="52"/>
      <c r="K96" s="52"/>
      <c r="L96" s="52">
        <v>7</v>
      </c>
      <c r="M96" s="52"/>
      <c r="N96" s="52">
        <v>7</v>
      </c>
      <c r="O96" s="52"/>
      <c r="P96" s="52"/>
      <c r="Q96" s="52">
        <v>7</v>
      </c>
      <c r="R96" s="52"/>
      <c r="S96" s="52">
        <v>7</v>
      </c>
      <c r="T96" s="60"/>
      <c r="U96" s="60"/>
    </row>
    <row r="97" spans="1:35" x14ac:dyDescent="0.3">
      <c r="A97" s="40"/>
      <c r="B97" s="40"/>
      <c r="D97" s="52"/>
      <c r="E97" s="52"/>
      <c r="F97" s="52">
        <f t="shared" ref="F97" si="68">SUM(F92:F96)</f>
        <v>346</v>
      </c>
      <c r="G97" s="52"/>
      <c r="H97" s="52">
        <f t="shared" ref="H97" si="69">SUM(H92:H96)</f>
        <v>359</v>
      </c>
      <c r="I97" s="52"/>
      <c r="J97" s="52"/>
      <c r="K97" s="52"/>
      <c r="L97" s="52">
        <f t="shared" ref="L97" si="70">SUM(L92:L96)</f>
        <v>349</v>
      </c>
      <c r="M97" s="52"/>
      <c r="N97" s="52">
        <f t="shared" ref="N97" si="71">SUM(N92:N96)</f>
        <v>362</v>
      </c>
      <c r="O97" s="52"/>
      <c r="P97" s="52"/>
      <c r="Q97" s="52">
        <f t="shared" ref="Q97" si="72">SUM(Q92:Q96)</f>
        <v>373</v>
      </c>
      <c r="R97" s="52"/>
      <c r="S97" s="52">
        <f t="shared" ref="S97" si="73">SUM(S92:S96)</f>
        <v>386</v>
      </c>
    </row>
    <row r="99" spans="1:35" s="47" customFormat="1" x14ac:dyDescent="0.3">
      <c r="A99" s="46"/>
      <c r="B99" s="46"/>
      <c r="C99" s="47" t="s">
        <v>200</v>
      </c>
      <c r="F99" s="47">
        <f>+F92/F91</f>
        <v>0.70809248554913296</v>
      </c>
      <c r="H99" s="47">
        <f>+H92/H91</f>
        <v>0.71866295264623958</v>
      </c>
      <c r="L99" s="47">
        <f>+L92/L91</f>
        <v>0.71060171919770776</v>
      </c>
      <c r="N99" s="47">
        <f>+N92/N91</f>
        <v>0.72099447513812154</v>
      </c>
      <c r="Q99" s="47">
        <f>+Q92/Q91</f>
        <v>0.80965147453083108</v>
      </c>
      <c r="S99" s="47">
        <f>+S92/S91</f>
        <v>0.81606217616580312</v>
      </c>
    </row>
    <row r="100" spans="1:35" s="41" customFormat="1" x14ac:dyDescent="0.3">
      <c r="C100" s="41" t="s">
        <v>199</v>
      </c>
      <c r="F100" s="41">
        <f>(+F97-F92)/F91</f>
        <v>0.29190751445086704</v>
      </c>
      <c r="H100" s="41">
        <f>(+H97-H92)/H91</f>
        <v>0.28133704735376047</v>
      </c>
      <c r="I100" s="47"/>
      <c r="L100" s="41">
        <f>(+L97-L92)/L91</f>
        <v>0.28939828080229224</v>
      </c>
      <c r="N100" s="41">
        <f>(+N97-N92)/N91</f>
        <v>0.27900552486187846</v>
      </c>
      <c r="Q100" s="41">
        <f>(+Q97-Q92)/Q91</f>
        <v>0.19034852546916889</v>
      </c>
      <c r="S100" s="41">
        <f>(+S97-S92)/S91</f>
        <v>0.18393782383419688</v>
      </c>
      <c r="T100" s="47"/>
      <c r="U100" s="47"/>
    </row>
    <row r="102" spans="1:35" x14ac:dyDescent="0.3">
      <c r="K102" s="16"/>
    </row>
    <row r="103" spans="1:35" s="17" customFormat="1" x14ac:dyDescent="0.3">
      <c r="B103" s="17" t="s">
        <v>198</v>
      </c>
      <c r="D103" s="52"/>
      <c r="E103" s="52"/>
      <c r="F103" s="52">
        <v>3068</v>
      </c>
      <c r="G103" s="52"/>
      <c r="H103" s="52">
        <v>4068</v>
      </c>
      <c r="I103" s="52"/>
      <c r="J103" s="52"/>
      <c r="K103" s="52"/>
      <c r="L103" s="52">
        <v>3070</v>
      </c>
      <c r="M103" s="52"/>
      <c r="N103" s="52">
        <v>4070</v>
      </c>
      <c r="O103" s="52"/>
      <c r="P103" s="52"/>
      <c r="Q103" s="52">
        <v>3080</v>
      </c>
      <c r="R103" s="49"/>
      <c r="S103" s="49">
        <v>4080</v>
      </c>
      <c r="T103" s="58"/>
      <c r="U103" s="58"/>
      <c r="V103" s="59"/>
      <c r="W103" s="59"/>
      <c r="X103" s="59">
        <v>5068</v>
      </c>
      <c r="Y103" s="59">
        <v>6068</v>
      </c>
      <c r="Z103" s="59">
        <v>8068</v>
      </c>
      <c r="AA103" s="59">
        <v>5070</v>
      </c>
      <c r="AB103" s="59">
        <v>6070</v>
      </c>
      <c r="AC103" s="59">
        <v>8070</v>
      </c>
      <c r="AD103" s="59">
        <v>5080</v>
      </c>
      <c r="AE103" s="59">
        <v>6080</v>
      </c>
      <c r="AF103" s="59">
        <v>8080</v>
      </c>
      <c r="AG103" s="59">
        <v>5090</v>
      </c>
      <c r="AH103" s="59">
        <v>6090</v>
      </c>
      <c r="AI103" s="59">
        <v>8090</v>
      </c>
    </row>
    <row r="104" spans="1:35" s="17" customFormat="1" x14ac:dyDescent="0.3">
      <c r="B104" s="17" t="s">
        <v>190</v>
      </c>
      <c r="D104" s="52"/>
      <c r="E104" s="52"/>
      <c r="F104" s="52">
        <v>378</v>
      </c>
      <c r="G104" s="52"/>
      <c r="H104" s="52">
        <v>393</v>
      </c>
      <c r="I104" s="52"/>
      <c r="J104" s="52"/>
      <c r="K104" s="52"/>
      <c r="L104" s="52">
        <v>389</v>
      </c>
      <c r="M104" s="52"/>
      <c r="N104" s="52">
        <v>404</v>
      </c>
      <c r="O104" s="52"/>
      <c r="P104" s="52"/>
      <c r="Q104" s="52">
        <v>449</v>
      </c>
      <c r="R104" s="52"/>
      <c r="S104" s="52">
        <v>464</v>
      </c>
      <c r="T104" s="60"/>
      <c r="U104" s="60"/>
    </row>
    <row r="105" spans="1:35" s="61" customFormat="1" x14ac:dyDescent="0.3">
      <c r="D105" s="55"/>
      <c r="E105" s="55"/>
      <c r="F105" s="55">
        <v>307</v>
      </c>
      <c r="G105" s="55"/>
      <c r="H105" s="55">
        <v>322</v>
      </c>
      <c r="I105" s="55"/>
      <c r="J105" s="55"/>
      <c r="K105" s="55"/>
      <c r="L105" s="55">
        <v>318</v>
      </c>
      <c r="M105" s="55"/>
      <c r="N105" s="55">
        <v>333</v>
      </c>
      <c r="O105" s="55"/>
      <c r="P105" s="55"/>
      <c r="Q105" s="55">
        <v>378</v>
      </c>
      <c r="R105" s="55"/>
      <c r="S105" s="66">
        <v>393</v>
      </c>
      <c r="T105" s="62"/>
      <c r="U105" s="62"/>
    </row>
    <row r="106" spans="1:35" s="61" customFormat="1" x14ac:dyDescent="0.3">
      <c r="D106" s="55"/>
      <c r="E106" s="55"/>
      <c r="F106" s="55">
        <v>33</v>
      </c>
      <c r="G106" s="55"/>
      <c r="H106" s="55">
        <v>33</v>
      </c>
      <c r="I106" s="55"/>
      <c r="J106" s="55"/>
      <c r="K106" s="55"/>
      <c r="L106" s="55">
        <v>33</v>
      </c>
      <c r="M106" s="55"/>
      <c r="N106" s="55">
        <v>33</v>
      </c>
      <c r="O106" s="55"/>
      <c r="P106" s="55"/>
      <c r="Q106" s="55">
        <v>33</v>
      </c>
      <c r="R106" s="55"/>
      <c r="S106" s="66">
        <v>33</v>
      </c>
      <c r="T106" s="62"/>
      <c r="U106" s="62"/>
    </row>
    <row r="107" spans="1:35" s="61" customFormat="1" x14ac:dyDescent="0.3">
      <c r="D107" s="55"/>
      <c r="E107" s="55"/>
      <c r="F107" s="55">
        <v>31</v>
      </c>
      <c r="G107" s="55"/>
      <c r="H107" s="55">
        <v>31</v>
      </c>
      <c r="I107" s="55"/>
      <c r="J107" s="55"/>
      <c r="K107" s="55"/>
      <c r="L107" s="55">
        <v>31</v>
      </c>
      <c r="M107" s="55"/>
      <c r="N107" s="55">
        <v>31</v>
      </c>
      <c r="O107" s="55"/>
      <c r="P107" s="55"/>
      <c r="Q107" s="55">
        <v>31</v>
      </c>
      <c r="R107" s="55"/>
      <c r="S107" s="55">
        <v>31</v>
      </c>
      <c r="T107" s="62"/>
      <c r="U107" s="62"/>
    </row>
    <row r="108" spans="1:35" s="61" customFormat="1" x14ac:dyDescent="0.3">
      <c r="D108" s="55"/>
      <c r="E108" s="55"/>
      <c r="F108" s="55">
        <v>7</v>
      </c>
      <c r="G108" s="55"/>
      <c r="H108" s="55">
        <v>7</v>
      </c>
      <c r="I108" s="55"/>
      <c r="J108" s="55"/>
      <c r="K108" s="55"/>
      <c r="L108" s="55">
        <v>7</v>
      </c>
      <c r="M108" s="55"/>
      <c r="N108" s="55">
        <v>7</v>
      </c>
      <c r="O108" s="55"/>
      <c r="P108" s="55"/>
      <c r="Q108" s="55">
        <v>7</v>
      </c>
      <c r="R108" s="55"/>
      <c r="S108" s="55">
        <v>7</v>
      </c>
      <c r="T108" s="62"/>
      <c r="U108" s="62"/>
    </row>
    <row r="109" spans="1:35" s="17" customFormat="1" x14ac:dyDescent="0.3">
      <c r="D109" s="55"/>
      <c r="E109" s="52"/>
      <c r="F109" s="52">
        <f t="shared" ref="F109" si="74">SUM(F105:F108)</f>
        <v>378</v>
      </c>
      <c r="G109" s="52"/>
      <c r="H109" s="52">
        <f t="shared" ref="H109" si="75">SUM(H105:H108)</f>
        <v>393</v>
      </c>
      <c r="I109" s="52"/>
      <c r="J109" s="52"/>
      <c r="K109" s="52"/>
      <c r="L109" s="52">
        <f t="shared" ref="L109" si="76">SUM(L105:L108)</f>
        <v>389</v>
      </c>
      <c r="M109" s="52"/>
      <c r="N109" s="52">
        <f t="shared" ref="N109" si="77">SUM(N105:N108)</f>
        <v>404</v>
      </c>
      <c r="O109" s="56"/>
      <c r="P109" s="52"/>
      <c r="Q109" s="52">
        <f t="shared" ref="Q109" si="78">SUM(Q105:Q108)</f>
        <v>449</v>
      </c>
      <c r="R109" s="56"/>
      <c r="S109" s="52">
        <f t="shared" ref="S109" si="79">SUM(S105:S108)</f>
        <v>464</v>
      </c>
      <c r="T109" s="60"/>
      <c r="U109" s="60"/>
    </row>
  </sheetData>
  <mergeCells count="2">
    <mergeCell ref="A93:B97"/>
    <mergeCell ref="A14:C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147E15862D9E47BFD69DFDE6AD4E23" ma:contentTypeVersion="13" ma:contentTypeDescription="Create a new document." ma:contentTypeScope="" ma:versionID="9af48123eb8319dcf09a62f48bf662a4">
  <xsd:schema xmlns:xsd="http://www.w3.org/2001/XMLSchema" xmlns:xs="http://www.w3.org/2001/XMLSchema" xmlns:p="http://schemas.microsoft.com/office/2006/metadata/properties" xmlns:ns2="2270d4be-6baf-47ca-8f57-1da756c1cf5e" xmlns:ns3="b4b51179-86cb-4ca1-9cf3-6d9ccd4fcf52" targetNamespace="http://schemas.microsoft.com/office/2006/metadata/properties" ma:root="true" ma:fieldsID="9816c2f95460aac00487c02ea60d197a" ns2:_="" ns3:_="">
    <xsd:import namespace="2270d4be-6baf-47ca-8f57-1da756c1cf5e"/>
    <xsd:import namespace="b4b51179-86cb-4ca1-9cf3-6d9ccd4fcf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0d4be-6baf-47ca-8f57-1da756c1cf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6cdb70e-335d-49fc-a55a-763829695d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51179-86cb-4ca1-9cf3-6d9ccd4fcf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33e526d-e14f-4762-8e02-86c39bfad224}" ma:internalName="TaxCatchAll" ma:showField="CatchAllData" ma:web="b4b51179-86cb-4ca1-9cf3-6d9ccd4fcf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b51179-86cb-4ca1-9cf3-6d9ccd4fcf52" xsi:nil="true"/>
    <lcf76f155ced4ddcb4097134ff3c332f xmlns="2270d4be-6baf-47ca-8f57-1da756c1cf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4CEA4-2F4C-43EC-B127-F250E85A4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0d4be-6baf-47ca-8f57-1da756c1cf5e"/>
    <ds:schemaRef ds:uri="b4b51179-86cb-4ca1-9cf3-6d9ccd4fc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99B7CE-6D3B-4180-947F-25B11C04CDE1}">
  <ds:schemaRefs>
    <ds:schemaRef ds:uri="http://schemas.microsoft.com/office/2006/metadata/properties"/>
    <ds:schemaRef ds:uri="http://schemas.microsoft.com/office/infopath/2007/PartnerControls"/>
    <ds:schemaRef ds:uri="b4b51179-86cb-4ca1-9cf3-6d9ccd4fcf52"/>
    <ds:schemaRef ds:uri="2270d4be-6baf-47ca-8f57-1da756c1cf5e"/>
  </ds:schemaRefs>
</ds:datastoreItem>
</file>

<file path=customXml/itemProps3.xml><?xml version="1.0" encoding="utf-8"?>
<ds:datastoreItem xmlns:ds="http://schemas.openxmlformats.org/officeDocument/2006/customXml" ds:itemID="{8F0E2546-B47D-413F-8478-19C9E1ABB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HARDWARE</vt:lpstr>
      <vt:lpstr>DOOR</vt:lpstr>
      <vt:lpstr>Sheet1</vt:lpstr>
      <vt:lpstr>FRAME</vt:lpstr>
      <vt:lpstr>door table</vt:lpstr>
      <vt:lpstr>frame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Weymer</dc:creator>
  <cp:lastModifiedBy>Paul Weymer</cp:lastModifiedBy>
  <dcterms:created xsi:type="dcterms:W3CDTF">2026-02-27T21:29:29Z</dcterms:created>
  <dcterms:modified xsi:type="dcterms:W3CDTF">2026-03-27T17:53:14Z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0x0101001E147E15862D9E47BFD69DFDE6AD4E23</vt:lpwstr>
  </property>
  <property fmtid="{D5CDD505-2E9C-101B-9397-08002B2CF9AE}" pid="3" name="MediaServiceImageTags">
    <vt:lpwstr/>
  </property>
</Properties>
</file>